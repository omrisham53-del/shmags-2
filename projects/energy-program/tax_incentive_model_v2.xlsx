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תונים והנחות" sheetId="1" state="visible" r:id="rId1"/>
    <sheet name="ניתו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#,##0.000"/>
    <numFmt numFmtId="167" formatCode="#,##0 ₪"/>
    <numFmt numFmtId="168" formatCode="0.0&quot;×&quot;"/>
    <numFmt numFmtId="169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b val="1"/>
      <color rgb="00C00000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FF0000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C00000"/>
      <sz val="13"/>
    </font>
    <font>
      <name val="Arial"/>
      <color rgb="00FFFFFF"/>
    </font>
    <font>
      <name val="Arial"/>
      <i val="1"/>
      <color rgb="00FF0000"/>
      <sz val="9"/>
    </font>
  </fonts>
  <fills count="1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6B6B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538135"/>
      </patternFill>
    </fill>
    <fill>
      <patternFill patternType="solid">
        <fgColor rgb="002E75B6"/>
      </patternFill>
    </fill>
    <fill>
      <patternFill patternType="solid">
        <fgColor rgb="007B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right" vertical="center" readingOrder="2"/>
    </xf>
    <xf numFmtId="0" fontId="2" fillId="4" borderId="0" applyAlignment="1" pivotButton="0" quotePrefix="0" xfId="0">
      <alignment horizontal="right" vertical="center" readingOrder="2"/>
    </xf>
    <xf numFmtId="0" fontId="2" fillId="5" borderId="0" applyAlignment="1" pivotButton="0" quotePrefix="0" xfId="0">
      <alignment horizontal="right" vertical="center" readingOrder="2"/>
    </xf>
    <xf numFmtId="0" fontId="2" fillId="6" borderId="0" applyAlignment="1" pivotButton="0" quotePrefix="0" xfId="0">
      <alignment horizontal="right" vertical="center" readingOrder="2"/>
    </xf>
    <xf numFmtId="0" fontId="2" fillId="7" borderId="0" applyAlignment="1" pivotButton="0" quotePrefix="0" xfId="0">
      <alignment horizontal="right" vertical="center" readingOrder="2"/>
    </xf>
    <xf numFmtId="0" fontId="2" fillId="8" borderId="0" applyAlignment="1" pivotButton="0" quotePrefix="0" xfId="0">
      <alignment horizontal="right" vertical="center" readingOrder="2"/>
    </xf>
    <xf numFmtId="0" fontId="3" fillId="1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wrapText="1" readingOrder="2"/>
    </xf>
    <xf numFmtId="164" fontId="0" fillId="3" borderId="0" applyAlignment="1" pivotButton="0" quotePrefix="0" xfId="0">
      <alignment horizontal="center" vertical="center" readingOrder="2"/>
    </xf>
    <xf numFmtId="164" fontId="0" fillId="4" borderId="0" applyAlignment="1" pivotButton="0" quotePrefix="0" xfId="0">
      <alignment horizontal="center" vertical="center" readingOrder="2"/>
    </xf>
    <xf numFmtId="165" fontId="0" fillId="2" borderId="0" applyAlignment="1" pivotButton="0" quotePrefix="0" xfId="0">
      <alignment horizontal="center" vertical="center" readingOrder="2"/>
    </xf>
    <xf numFmtId="166" fontId="0" fillId="4" borderId="0" applyAlignment="1" pivotButton="0" quotePrefix="0" xfId="0">
      <alignment horizontal="center" vertical="center" readingOrder="2"/>
    </xf>
    <xf numFmtId="167" fontId="0" fillId="5" borderId="0" applyAlignment="1" pivotButton="0" quotePrefix="0" xfId="0">
      <alignment horizontal="center" vertical="center" readingOrder="2"/>
    </xf>
    <xf numFmtId="0" fontId="3" fillId="9" borderId="0" applyAlignment="1" pivotButton="0" quotePrefix="0" xfId="0">
      <alignment horizontal="right" vertical="center" readingOrder="2"/>
    </xf>
    <xf numFmtId="0" fontId="3" fillId="9" borderId="0" applyAlignment="1" pivotButton="0" quotePrefix="0" xfId="0">
      <alignment horizontal="center" vertical="center" readingOrder="2"/>
    </xf>
    <xf numFmtId="0" fontId="4" fillId="9" borderId="0" applyAlignment="1" pivotButton="0" quotePrefix="0" xfId="0">
      <alignment horizontal="right" vertical="center" readingOrder="2"/>
    </xf>
    <xf numFmtId="168" fontId="5" fillId="2" borderId="0" applyAlignment="1" pivotButton="0" quotePrefix="0" xfId="0">
      <alignment horizontal="center" vertical="center" readingOrder="2"/>
    </xf>
    <xf numFmtId="0" fontId="6" fillId="0" borderId="0" pivotButton="0" quotePrefix="0" xfId="0"/>
    <xf numFmtId="0" fontId="2" fillId="0" borderId="0" applyAlignment="1" pivotButton="0" quotePrefix="0" xfId="0">
      <alignment horizontal="right" vertical="center" readingOrder="2"/>
    </xf>
    <xf numFmtId="164" fontId="0" fillId="0" borderId="0" applyAlignment="1" pivotButton="0" quotePrefix="0" xfId="0">
      <alignment horizontal="center" vertical="center" readingOrder="2"/>
    </xf>
    <xf numFmtId="0" fontId="1" fillId="11" borderId="0" applyAlignment="1" pivotButton="0" quotePrefix="0" xfId="0">
      <alignment horizontal="center" vertical="center" readingOrder="2"/>
    </xf>
    <xf numFmtId="0" fontId="7" fillId="1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center" vertical="center" readingOrder="2"/>
    </xf>
    <xf numFmtId="3" fontId="0" fillId="4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3" fontId="8" fillId="2" borderId="0" applyAlignment="1" pivotButton="0" quotePrefix="0" xfId="0">
      <alignment horizontal="center" vertical="center" readingOrder="2"/>
    </xf>
    <xf numFmtId="3" fontId="0" fillId="5" borderId="0" applyAlignment="1" pivotButton="0" quotePrefix="0" xfId="0">
      <alignment horizontal="center" vertical="center" readingOrder="2"/>
    </xf>
    <xf numFmtId="2" fontId="0" fillId="4" borderId="0" applyAlignment="1" pivotButton="0" quotePrefix="0" xfId="0">
      <alignment horizontal="center" vertical="center" readingOrder="2"/>
    </xf>
    <xf numFmtId="164" fontId="0" fillId="5" borderId="0" applyAlignment="1" pivotButton="0" quotePrefix="0" xfId="0">
      <alignment horizontal="center" vertical="center" readingOrder="2"/>
    </xf>
    <xf numFmtId="0" fontId="9" fillId="2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center" vertical="center" readingOrder="2"/>
    </xf>
    <xf numFmtId="4" fontId="0" fillId="0" borderId="0" applyAlignment="1" pivotButton="0" quotePrefix="0" xfId="0">
      <alignment horizontal="center" vertical="center" readingOrder="2"/>
    </xf>
    <xf numFmtId="3" fontId="0" fillId="0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167" fontId="0" fillId="4" borderId="0" applyAlignment="1" pivotButton="0" quotePrefix="0" xfId="0">
      <alignment horizontal="center" vertical="center" readingOrder="2"/>
    </xf>
    <xf numFmtId="167" fontId="0" fillId="0" borderId="0" applyAlignment="1" pivotButton="0" quotePrefix="0" xfId="0">
      <alignment horizontal="center" vertical="center" readingOrder="2"/>
    </xf>
    <xf numFmtId="169" fontId="0" fillId="3" borderId="0" applyAlignment="1" pivotButton="0" quotePrefix="0" xfId="0">
      <alignment horizontal="center" vertical="center" readingOrder="2"/>
    </xf>
    <xf numFmtId="164" fontId="0" fillId="2" borderId="0" applyAlignment="1" pivotButton="0" quotePrefix="0" xfId="0">
      <alignment horizontal="center" vertical="center" readingOrder="2"/>
    </xf>
    <xf numFmtId="0" fontId="9" fillId="0" borderId="0" applyAlignment="1" pivotButton="0" quotePrefix="0" xfId="0">
      <alignment horizontal="right" vertical="center" readingOrder="2"/>
    </xf>
    <xf numFmtId="0" fontId="10" fillId="10" borderId="0" applyAlignment="1" pivotButton="0" quotePrefix="0" xfId="0">
      <alignment horizontal="right" vertical="center" readingOrder="2"/>
    </xf>
    <xf numFmtId="0" fontId="2" fillId="9" borderId="0" applyAlignment="1" pivotButton="0" quotePrefix="0" xfId="0">
      <alignment horizontal="right" vertical="center" readingOrder="2"/>
    </xf>
    <xf numFmtId="166" fontId="0" fillId="2" borderId="0" applyAlignment="1" pivotButton="0" quotePrefix="0" xfId="0">
      <alignment horizontal="center" vertical="center" readingOrder="2"/>
    </xf>
    <xf numFmtId="168" fontId="11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3" fillId="12" borderId="0" applyAlignment="1" pivotButton="0" quotePrefix="0" xfId="0">
      <alignment horizontal="right" vertical="center" readingOrder="2"/>
    </xf>
    <xf numFmtId="0" fontId="1" fillId="11" borderId="0" applyAlignment="1" pivotButton="0" quotePrefix="0" xfId="0">
      <alignment horizontal="right" vertical="center" readingOrder="2"/>
    </xf>
    <xf numFmtId="167" fontId="0" fillId="6" borderId="0" applyAlignment="1" pivotButton="0" quotePrefix="0" xfId="0">
      <alignment horizontal="center" vertical="center" readingOrder="2"/>
    </xf>
    <xf numFmtId="167" fontId="0" fillId="7" borderId="0" applyAlignment="1" pivotButton="0" quotePrefix="0" xfId="0">
      <alignment horizontal="center" vertical="center" readingOrder="2"/>
    </xf>
    <xf numFmtId="167" fontId="0" fillId="8" borderId="0" applyAlignment="1" pivotButton="0" quotePrefix="0" xfId="0">
      <alignment horizontal="center" vertical="center" readingOrder="2"/>
    </xf>
    <xf numFmtId="0" fontId="1" fillId="13" borderId="0" applyAlignment="1" pivotButton="0" quotePrefix="0" xfId="0">
      <alignment horizontal="right" vertical="center" readingOrder="2"/>
    </xf>
    <xf numFmtId="0" fontId="1" fillId="14" borderId="0" applyAlignment="1" pivotButton="0" quotePrefix="0" xfId="0">
      <alignment horizontal="right" vertical="center" readingOrder="2"/>
    </xf>
    <xf numFmtId="0" fontId="1" fillId="15" borderId="0" applyAlignment="1" pivotButton="0" quotePrefix="0" xfId="0">
      <alignment horizontal="right" vertical="center" readingOrder="2"/>
    </xf>
    <xf numFmtId="0" fontId="9" fillId="6" borderId="0" applyAlignment="1" pivotButton="0" quotePrefix="0" xfId="0">
      <alignment horizontal="right" vertical="center" readingOrder="2"/>
    </xf>
    <xf numFmtId="0" fontId="9" fillId="7" borderId="0" applyAlignment="1" pivotButton="0" quotePrefix="0" xfId="0">
      <alignment horizontal="right" vertical="center" readingOrder="2"/>
    </xf>
    <xf numFmtId="0" fontId="9" fillId="8" borderId="0" applyAlignment="1" pivotButton="0" quotePrefix="0" xfId="0">
      <alignment horizontal="right" vertical="center" readingOrder="2"/>
    </xf>
    <xf numFmtId="0" fontId="9" fillId="2" borderId="0" applyAlignment="1" pivotButton="0" quotePrefix="0" xfId="0">
      <alignment horizontal="right" vertical="center" readingOrder="2"/>
    </xf>
    <xf numFmtId="167" fontId="0" fillId="2" borderId="0" applyAlignment="1" pivotButton="0" quotePrefix="0" xfId="0">
      <alignment horizontal="center" vertical="center" readingOrder="2"/>
    </xf>
    <xf numFmtId="0" fontId="9" fillId="9" borderId="0" applyAlignment="1" pivotButton="0" quotePrefix="0" xfId="0">
      <alignment horizontal="right" vertical="center" readingOrder="2"/>
    </xf>
    <xf numFmtId="167" fontId="0" fillId="9" borderId="0" applyAlignment="1" pivotButton="0" quotePrefix="0" xfId="0">
      <alignment horizontal="center" vertical="center" readingOrder="2"/>
    </xf>
    <xf numFmtId="164" fontId="0" fillId="6" borderId="0" applyAlignment="1" pivotButton="0" quotePrefix="0" xfId="0">
      <alignment horizontal="center" vertical="center" readingOrder="2"/>
    </xf>
    <xf numFmtId="164" fontId="0" fillId="7" borderId="0" applyAlignment="1" pivotButton="0" quotePrefix="0" xfId="0">
      <alignment horizontal="center" vertical="center" readingOrder="2"/>
    </xf>
    <xf numFmtId="164" fontId="0" fillId="8" borderId="0" applyAlignment="1" pivotButton="0" quotePrefix="0" xfId="0">
      <alignment horizontal="center" vertical="center" readingOrder="2"/>
    </xf>
    <xf numFmtId="169" fontId="6" fillId="2" borderId="0" applyAlignment="1" pivotButton="0" quotePrefix="0" xfId="0">
      <alignment horizontal="center" vertical="center" readingOrder="2"/>
    </xf>
    <xf numFmtId="0" fontId="7" fillId="9" borderId="0" applyAlignment="1" pivotButton="0" quotePrefix="0" xfId="0">
      <alignment horizontal="right" vertical="center" readingOrder="2"/>
    </xf>
    <xf numFmtId="0" fontId="12" fillId="0" borderId="0" applyAlignment="1" pivotButton="0" quotePrefix="0" xfId="0">
      <alignment horizontal="right" vertical="center" readingOrder="2"/>
    </xf>
    <xf numFmtId="169" fontId="7" fillId="9" borderId="0" applyAlignment="1" pivotButton="0" quotePrefix="0" xfId="0">
      <alignment horizontal="center" vertical="center" readingOrder="2"/>
    </xf>
    <xf numFmtId="169" fontId="0" fillId="2" borderId="0" applyAlignment="1" pivotButton="0" quotePrefix="0" xfId="0">
      <alignment horizontal="center" vertical="center" readingOrder="2"/>
    </xf>
    <xf numFmtId="169" fontId="0" fillId="9" borderId="0" applyAlignment="1" pivotButton="0" quotePrefix="0" xfId="0">
      <alignment horizontal="center" vertical="center" readingOrder="2"/>
    </xf>
    <xf numFmtId="0" fontId="13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7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20" customWidth="1" min="4" max="4"/>
    <col width="36" customWidth="1" min="5" max="5"/>
    <col width="18" customWidth="1" min="6" max="6"/>
    <col width="20" customWidth="1" min="7" max="7"/>
    <col width="20" customWidth="1" min="8" max="8"/>
    <col width="20" customWidth="1" min="9" max="9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 (לא הערכה)</t>
        </is>
      </c>
    </row>
    <row r="5">
      <c r="B5" s="5" t="inlineStr">
        <is>
          <t>נתון מוערך/נגזר (עם מקור)</t>
        </is>
      </c>
    </row>
    <row r="6">
      <c r="B6" s="6" t="inlineStr">
        <is>
          <t>תרחיש A — טכנולוגיה קיימת</t>
        </is>
      </c>
    </row>
    <row r="7">
      <c r="B7" s="7" t="inlineStr">
        <is>
          <t>תרחיש B — יעיל, ללא תמריץ</t>
        </is>
      </c>
    </row>
    <row r="8">
      <c r="B8" s="8" t="inlineStr">
        <is>
          <t>תרחיש C — יעיל, עם תמריץ</t>
        </is>
      </c>
    </row>
    <row r="9">
      <c r="B9" s="9" t="inlineStr">
        <is>
          <t>1. פרמטרים פיננסיים</t>
        </is>
      </c>
    </row>
    <row r="10">
      <c r="B10" s="3" t="inlineStr">
        <is>
          <t>שיעור מס חברות</t>
        </is>
      </c>
      <c r="C10" s="10" t="inlineStr">
        <is>
          <t>%</t>
        </is>
      </c>
      <c r="D10" s="10" t="inlineStr">
        <is>
          <t>רשות המסים</t>
        </is>
      </c>
      <c r="E10" s="11" t="inlineStr"/>
      <c r="F10" s="12" t="n">
        <v>0.23</v>
      </c>
    </row>
    <row r="11">
      <c r="B11" s="4" t="inlineStr">
        <is>
          <t>שיעור היוון (יזמי / פרטי)</t>
        </is>
      </c>
      <c r="C11" s="10" t="inlineStr">
        <is>
          <t>%</t>
        </is>
      </c>
      <c r="D11" s="10" t="inlineStr">
        <is>
          <t>סוכם עם דניאל</t>
        </is>
      </c>
      <c r="E11" s="11" t="inlineStr">
        <is>
          <t>6% — הוחלט עם דניאל 2026-07-13 (לעומת 10% תעשייתי שנשקל קודם)</t>
        </is>
      </c>
      <c r="F11" s="13" t="n">
        <v>0.06</v>
      </c>
    </row>
    <row r="12">
      <c r="B12" s="2" t="inlineStr">
        <is>
          <t>מחיר חשמל ממוצע לתעשייה</t>
        </is>
      </c>
      <c r="C12" s="10" t="inlineStr">
        <is>
          <t>אג'/קוט"ש</t>
        </is>
      </c>
      <c r="D12" s="10" t="inlineStr">
        <is>
          <t>חברת החשמל</t>
        </is>
      </c>
      <c r="E12" s="11" t="inlineStr">
        <is>
          <t>ממוצע SMP 2024 — נתון כללי, ייתכן שיעודכן לממוצע משוקלל לפי שעות תעו"ז</t>
        </is>
      </c>
      <c r="F12" s="14" t="n">
        <v>14</v>
      </c>
    </row>
    <row r="14">
      <c r="B14" s="9" t="inlineStr">
        <is>
          <t>1ב. מחירי דלקים ומקדמי המרה (עבור בסיס משאבות חום)</t>
        </is>
      </c>
    </row>
    <row r="15">
      <c r="B15" s="4" t="inlineStr">
        <is>
          <t>מחיר סולר בתעשייה</t>
        </is>
      </c>
      <c r="C15" s="10" t="inlineStr">
        <is>
          <t>₪/ליטר</t>
        </is>
      </c>
      <c r="D15" s="10" t="inlineStr">
        <is>
          <t>משרד האנרגיה 2024 [1]</t>
        </is>
      </c>
      <c r="E15" s="11" t="inlineStr">
        <is>
          <t>מחירים תיאורטיים של מוצרי דלק שאינם בפיקוח, לפני מע"מ ובלו</t>
        </is>
      </c>
      <c r="F15" s="15" t="n">
        <v>2.59368</v>
      </c>
    </row>
    <row r="16">
      <c r="B16" s="5" t="inlineStr">
        <is>
          <t>מחיר מזוט בתעשייה</t>
        </is>
      </c>
      <c r="C16" s="10" t="inlineStr">
        <is>
          <t>₪/טון</t>
        </is>
      </c>
      <c r="D16" s="10" t="inlineStr">
        <is>
          <t>משרד האנרגיה 2024 [1]</t>
        </is>
      </c>
      <c r="E16" s="11" t="inlineStr">
        <is>
          <t>תוקן מהיחידה שהוזנה במקור (₪/ק"ג -&gt; ₪/טון) — הערך המקורי לא עקבי עם טווח המחירים בדוח המקורי</t>
        </is>
      </c>
      <c r="F16" s="16" t="n">
        <v>2344.72</v>
      </c>
    </row>
    <row r="17">
      <c r="B17" s="4" t="inlineStr">
        <is>
          <t>יחס קלורי — סולר</t>
        </is>
      </c>
      <c r="C17" s="10" t="inlineStr">
        <is>
          <t>טון דלק/MWh</t>
        </is>
      </c>
      <c r="D17" s="10" t="inlineStr">
        <is>
          <t>אקסל של עמרי (MRV) [2]</t>
        </is>
      </c>
      <c r="E17" s="11" t="inlineStr"/>
      <c r="F17" s="15" t="n">
        <v>0.08500000000000001</v>
      </c>
    </row>
    <row r="18">
      <c r="B18" s="4" t="inlineStr">
        <is>
          <t>יחס קלורי — מזוט</t>
        </is>
      </c>
      <c r="C18" s="10" t="inlineStr">
        <is>
          <t>טון דלק/MWh</t>
        </is>
      </c>
      <c r="D18" s="10" t="inlineStr">
        <is>
          <t>אקסל של עמרי (MRV) [2]</t>
        </is>
      </c>
      <c r="E18" s="11" t="inlineStr"/>
      <c r="F18" s="15" t="n">
        <v>0.08799999999999999</v>
      </c>
    </row>
    <row r="19">
      <c r="B19" s="4" t="inlineStr">
        <is>
          <t>צפיפות סולר</t>
        </is>
      </c>
      <c r="C19" s="10" t="inlineStr">
        <is>
          <t>ק"ג/ליטר</t>
        </is>
      </c>
      <c r="D19" s="10" t="inlineStr">
        <is>
          <t>אקסל של עמרי (MRV) [2]</t>
        </is>
      </c>
      <c r="E19" s="11" t="inlineStr">
        <is>
          <t>להמרת טון סולר לליטר במידה ונבחר סולר כדלק בסיס</t>
        </is>
      </c>
      <c r="F19" s="15" t="n">
        <v>0.82</v>
      </c>
    </row>
    <row r="21">
      <c r="B21" s="9" t="inlineStr">
        <is>
          <t>2. פרמטר תמריץ — מכפיל פחת (פחת מואץ)</t>
        </is>
      </c>
    </row>
    <row r="22">
      <c r="B22" s="17" t="inlineStr">
        <is>
          <t>מכפיל שיעור הפחת  ←  פרמטר המדיניות המרכזי</t>
        </is>
      </c>
      <c r="C22" s="18" t="inlineStr">
        <is>
          <t>מכפיל</t>
        </is>
      </c>
      <c r="D22" s="10" t="inlineStr">
        <is>
          <t>פרמטר ניתן לשינוי</t>
        </is>
      </c>
      <c r="E22" s="19" t="inlineStr">
        <is>
          <t>1.0 = ללא תמריץ | 2.0 = קפריסין (כפול, 5 שנים) | 5.0 = 2 שנים</t>
        </is>
      </c>
      <c r="F22" s="20" t="n">
        <v>2</v>
      </c>
    </row>
    <row r="23">
      <c r="B23" s="21" t="inlineStr">
        <is>
          <t>מכפיל 2.0 + פחת סטנדרטי 10% = שיעור מואץ 20%/שנה למשך 5 שנים. סה"כ ניכוי = 100% CapEx — היתרון הוא קדמות הניכוי (Time Value of Money).</t>
        </is>
      </c>
    </row>
    <row r="24">
      <c r="B24" s="21" t="inlineStr">
        <is>
          <t>דוגמאות: 1.0 = 10%/שנה × 10 שנים (סטנדרטי) | 2.0 = 20%/שנה × 5 שנים | 3.33 = 33%/שנה × 3 שנים | 5.0 = 50%/שנה × 2 שנים (מודל קפריסין/אירלנד)</t>
        </is>
      </c>
    </row>
    <row r="26">
      <c r="B26" s="9" t="inlineStr">
        <is>
          <t>3. שיעורי פחת סטנדרטיים — תקנות מס הכנסה</t>
        </is>
      </c>
    </row>
    <row r="27">
      <c r="B27" s="22" t="inlineStr">
        <is>
          <t>משאבות חום</t>
        </is>
      </c>
      <c r="C27" s="10" t="inlineStr">
        <is>
          <t>% לשנה</t>
        </is>
      </c>
      <c r="D27" s="10" t="inlineStr">
        <is>
          <t>תקנות פחת</t>
        </is>
      </c>
      <c r="E27" s="10" t="inlineStr">
        <is>
          <t>ציוד מכני</t>
        </is>
      </c>
      <c r="F27" s="23" t="n">
        <v>0.1</v>
      </c>
    </row>
    <row r="28">
      <c r="B28" s="22" t="inlineStr">
        <is>
          <t>צ'ילרים</t>
        </is>
      </c>
      <c r="C28" s="10" t="inlineStr">
        <is>
          <t>% לשנה</t>
        </is>
      </c>
      <c r="D28" s="10" t="inlineStr">
        <is>
          <t>תקנות פחת</t>
        </is>
      </c>
      <c r="E28" s="10" t="inlineStr">
        <is>
          <t>ציוד מכני</t>
        </is>
      </c>
      <c r="F28" s="23" t="n">
        <v>0.1</v>
      </c>
    </row>
    <row r="29">
      <c r="B29" s="22" t="inlineStr">
        <is>
          <t>מדחסי VSD</t>
        </is>
      </c>
      <c r="C29" s="10" t="inlineStr">
        <is>
          <t>% לשנה</t>
        </is>
      </c>
      <c r="D29" s="10" t="inlineStr">
        <is>
          <t>תקנות פחת</t>
        </is>
      </c>
      <c r="E29" s="10" t="inlineStr">
        <is>
          <t>ציוד מכני</t>
        </is>
      </c>
      <c r="F29" s="23" t="n">
        <v>0.1</v>
      </c>
    </row>
    <row r="31">
      <c r="B31" s="21" t="inlineStr">
        <is>
          <t>* שיעורי הפחת הם הנחות עבודה — יש לוודא מול יועץ מס לפני הגשה</t>
        </is>
      </c>
    </row>
    <row r="33">
      <c r="B33" s="9" t="inlineStr">
        <is>
          <t>4. הנחות לפי טכנולוגיה — כל הנתונים לעדכון בטבלה זו</t>
        </is>
      </c>
    </row>
    <row r="34">
      <c r="B34" s="24" t="inlineStr">
        <is>
          <t>פרמטר</t>
        </is>
      </c>
      <c r="C34" s="24" t="inlineStr">
        <is>
          <t>יחידות</t>
        </is>
      </c>
      <c r="D34" s="24" t="inlineStr">
        <is>
          <t>מקור</t>
        </is>
      </c>
      <c r="E34" s="24" t="inlineStr">
        <is>
          <t>הערות</t>
        </is>
      </c>
      <c r="F34" s="25" t="inlineStr">
        <is>
          <t>משאבות חום (חימום מים)</t>
        </is>
      </c>
      <c r="G34" s="25" t="inlineStr">
        <is>
          <t>צ'ילרים</t>
        </is>
      </c>
      <c r="H34" s="25" t="inlineStr">
        <is>
          <t>מדחסי VSD</t>
        </is>
      </c>
    </row>
    <row r="35">
      <c r="F35" s="26" t="inlineStr">
        <is>
          <t>vs. תנור מזוט/סולר</t>
        </is>
      </c>
      <c r="G35" s="26" t="inlineStr">
        <is>
          <t>vs. מערכת קירור קונבנציונלית</t>
        </is>
      </c>
      <c r="H35" s="26" t="inlineStr">
        <is>
          <t>vs. מדחס מהירות קבועה</t>
        </is>
      </c>
    </row>
    <row r="36">
      <c r="B36" s="22" t="inlineStr">
        <is>
          <t>קיבולת מותקנת</t>
        </is>
      </c>
      <c r="C36" s="10" t="inlineStr">
        <is>
          <t>ראו הערה</t>
        </is>
      </c>
      <c r="D36" s="11" t="inlineStr">
        <is>
          <t>baseline-technology-data.md — נקודת קיבולת נבחרת</t>
        </is>
      </c>
      <c r="F36" s="27" t="n">
        <v>40</v>
      </c>
      <c r="G36" s="27" t="n">
        <v>500</v>
      </c>
      <c r="H36" s="27" t="n">
        <v>45</v>
      </c>
    </row>
    <row r="37">
      <c r="B37" s="22" t="inlineStr">
        <is>
          <t>שעות פעילות שנתיות</t>
        </is>
      </c>
      <c r="C37" s="10" t="inlineStr">
        <is>
          <t>שעות</t>
        </is>
      </c>
      <c r="D37" s="11" t="inlineStr">
        <is>
          <t>ראו הערה בעמודת הטכנולוגיה</t>
        </is>
      </c>
      <c r="E37" s="28" t="inlineStr">
        <is>
          <t>ממתין לייעוץ מהנדס EcoTraders (משאבות חום) | צ'ילרים: 3,000 שעות (מספר עבודה) | VSD: 6,400 שעות (אמצע 6,000-6,800)</t>
        </is>
      </c>
      <c r="F37" s="29" t="inlineStr">
        <is>
          <t>PENDING</t>
        </is>
      </c>
      <c r="G37" s="30" t="n">
        <v>3000</v>
      </c>
      <c r="H37" s="30" t="n">
        <v>6400</v>
      </c>
    </row>
    <row r="38">
      <c r="B38" s="22" t="inlineStr">
        <is>
          <t>COP — משאבת חום (יעיל)</t>
        </is>
      </c>
      <c r="C38" s="10" t="inlineStr">
        <is>
          <t>יחס</t>
        </is>
      </c>
      <c r="D38" s="11" t="inlineStr">
        <is>
          <t>Sprsun — עמוד מפרט מוצר [3]</t>
        </is>
      </c>
      <c r="E38" s="28" t="inlineStr">
        <is>
          <t>רלוונטי למשאבות חום בלבד</t>
        </is>
      </c>
      <c r="F38" s="31" t="n">
        <v>4.13</v>
      </c>
    </row>
    <row r="39">
      <c r="B39" s="22" t="inlineStr">
        <is>
          <t>יעילות בעירה — תנור בסיס</t>
        </is>
      </c>
      <c r="C39" s="10" t="inlineStr">
        <is>
          <t>%</t>
        </is>
      </c>
      <c r="D39" s="11" t="inlineStr">
        <is>
          <t>ASME PTC 4 [4]</t>
        </is>
      </c>
      <c r="E39" s="28" t="inlineStr">
        <is>
          <t>רלוונטי למשאבות חום בלבד</t>
        </is>
      </c>
      <c r="F39" s="32" t="n">
        <v>0.835</v>
      </c>
    </row>
    <row r="40">
      <c r="B40" s="22" t="inlineStr">
        <is>
          <t>סוג דלק בסיס</t>
        </is>
      </c>
      <c r="C40" s="10" t="inlineStr">
        <is>
          <t>טקסט</t>
        </is>
      </c>
      <c r="D40" s="11" t="inlineStr">
        <is>
          <t>הנחת עבודה — ניתן לשנות</t>
        </is>
      </c>
      <c r="E40" s="28" t="inlineStr">
        <is>
          <t>רלוונטי למשאבות חום בלבד — "מזוט" או "סולר"</t>
        </is>
      </c>
      <c r="F40" s="33" t="inlineStr">
        <is>
          <t>מזוט</t>
        </is>
      </c>
    </row>
    <row r="41">
      <c r="B41" s="22" t="inlineStr">
        <is>
          <t>יעילות אנרגטית — בסיסי</t>
        </is>
      </c>
      <c r="C41" s="10" t="inlineStr">
        <is>
          <t>ראו הערה</t>
        </is>
      </c>
      <c r="D41" s="11" t="inlineStr">
        <is>
          <t>ראו הערה בעמודת הטכנולוגיה</t>
        </is>
      </c>
      <c r="E41" s="28" t="inlineStr">
        <is>
          <t>רלוונטי לצ'ילרים/VSD בלבד</t>
        </is>
      </c>
      <c r="G41" s="31" t="n">
        <v>0.6</v>
      </c>
      <c r="H41" s="31" t="n">
        <v>21.5</v>
      </c>
    </row>
    <row r="42">
      <c r="B42" s="22" t="inlineStr">
        <is>
          <t>יעילות אנרגטית — יעיל</t>
        </is>
      </c>
      <c r="C42" s="10" t="inlineStr">
        <is>
          <t>ראו הערה</t>
        </is>
      </c>
      <c r="D42" s="11" t="inlineStr">
        <is>
          <t>ראו הערה בעמודת הטכנולוגיה</t>
        </is>
      </c>
      <c r="E42" s="28" t="inlineStr">
        <is>
          <t>רלוונטי לצ'ילרים/VSD בלבד</t>
        </is>
      </c>
      <c r="G42" s="31" t="n">
        <v>0.48</v>
      </c>
      <c r="H42" s="31" t="n">
        <v>16.5</v>
      </c>
    </row>
    <row r="43">
      <c r="B43" s="22" t="inlineStr">
        <is>
          <t>חיסכון אנרגטי (מחושב)</t>
        </is>
      </c>
      <c r="C43" s="10" t="inlineStr">
        <is>
          <t>% מצריכה</t>
        </is>
      </c>
      <c r="D43" s="11" t="inlineStr">
        <is>
          <t>חישוב</t>
        </is>
      </c>
      <c r="E43" s="28" t="inlineStr">
        <is>
          <t>רלוונטי לצ'ילרים/VSD בלבד — נגזר משורות 41-42</t>
        </is>
      </c>
      <c r="F43" s="34" t="inlineStr">
        <is>
          <t>-</t>
        </is>
      </c>
      <c r="G43" s="23">
        <f>IF(AND(ISNUMBER(G41),ISNUMBER(G42)),(G41-G42)/G41,"PENDING")</f>
        <v/>
      </c>
      <c r="H43" s="23">
        <f>IF(AND(ISNUMBER(H41),ISNUMBER(H42)),(H41-H42)/H41,"PENDING")</f>
        <v/>
      </c>
    </row>
    <row r="44">
      <c r="B44" s="22" t="inlineStr">
        <is>
          <t>צריכת אנרגיה/דלק שנתית — בסיסי</t>
        </is>
      </c>
      <c r="C44" s="10" t="inlineStr">
        <is>
          <t>ראו הערה</t>
        </is>
      </c>
      <c r="D44" s="11" t="inlineStr">
        <is>
          <t>חישוב — קיבולת × שעות × יעילות/COP</t>
        </is>
      </c>
      <c r="E44" s="28" t="inlineStr">
        <is>
          <t>טון דלק (משאבות חום) | קוט"ש (צ'ילרים/VSD)</t>
        </is>
      </c>
      <c r="F44" s="35">
        <f>IF(AND(ISNUMBER(F36),ISNUMBER(F37),ISNUMBER(F39)),(F36*F37/1000/F39)*IF(F40="מזוט",'נתונים והנחות'!$F$18,'נתונים והנחות'!$F$17),"PENDING")</f>
        <v/>
      </c>
      <c r="G44" s="36">
        <f>IF(AND(ISNUMBER(G36),ISNUMBER(G37),ISNUMBER(G41)),G36*G41*G37,"PENDING")</f>
        <v/>
      </c>
      <c r="H44" s="36">
        <f>IF(AND(ISNUMBER(H36),ISNUMBER(H37)),H36*H37,"PENDING")</f>
        <v/>
      </c>
    </row>
    <row r="45">
      <c r="B45" s="22" t="inlineStr">
        <is>
          <t>צריכת חשמל שנתית — יעיל</t>
        </is>
      </c>
      <c r="C45" s="10" t="inlineStr">
        <is>
          <t>קוט"ש/שנה</t>
        </is>
      </c>
      <c r="D45" s="11" t="inlineStr">
        <is>
          <t>חישוב</t>
        </is>
      </c>
      <c r="E45" s="28" t="inlineStr">
        <is>
          <t>הצד היעיל תמיד חשמלי בכל הטכנולוגיות</t>
        </is>
      </c>
      <c r="F45" s="36">
        <f>IF(AND(ISNUMBER(F36),ISNUMBER(F37),ISNUMBER(F38)),F36*F37/F38,"PENDING")</f>
        <v/>
      </c>
      <c r="G45" s="36">
        <f>IF(AND(ISNUMBER(G44),ISNUMBER(G43)),G44*(1-G43),"PENDING")</f>
        <v/>
      </c>
      <c r="H45" s="36">
        <f>IF(AND(ISNUMBER(H44),ISNUMBER(H43)),H44*(1-H43),"PENDING")</f>
        <v/>
      </c>
    </row>
    <row r="47">
      <c r="B47" s="22" t="inlineStr">
        <is>
          <t>CapEx — ציוד קיים (בסיסי)</t>
        </is>
      </c>
      <c r="C47" s="10" t="inlineStr">
        <is>
          <t>₪</t>
        </is>
      </c>
      <c r="D47" s="11" t="inlineStr">
        <is>
          <t>ראו הערה בעמודת הטכנולוגיה</t>
        </is>
      </c>
      <c r="F47" s="37" t="inlineStr">
        <is>
          <t>PENDING</t>
        </is>
      </c>
      <c r="G47" s="16" t="n">
        <v>1781000</v>
      </c>
      <c r="H47" s="16" t="n">
        <v>255061</v>
      </c>
    </row>
    <row r="48">
      <c r="B48" s="22" t="inlineStr">
        <is>
          <t>CapEx — ציוד יעיל</t>
        </is>
      </c>
      <c r="C48" s="10" t="inlineStr">
        <is>
          <t>₪</t>
        </is>
      </c>
      <c r="D48" s="11" t="inlineStr">
        <is>
          <t>ראו הערה בעמודת הטכנולוגיה</t>
        </is>
      </c>
      <c r="F48" s="16" t="n">
        <v>165177</v>
      </c>
      <c r="G48" s="38" t="n">
        <v>2093000</v>
      </c>
      <c r="H48" s="38" t="n">
        <v>312450</v>
      </c>
    </row>
    <row r="49">
      <c r="B49" s="22" t="inlineStr">
        <is>
          <t>ΔCapEx = יעיל − בסיסי</t>
        </is>
      </c>
      <c r="C49" s="10" t="inlineStr">
        <is>
          <t>₪</t>
        </is>
      </c>
      <c r="D49" s="11" t="inlineStr">
        <is>
          <t>חישוב</t>
        </is>
      </c>
      <c r="F49" s="39">
        <f>IF(ISNUMBER(F48)*ISNUMBER(F47),F48-F47,"PENDING")</f>
        <v/>
      </c>
      <c r="G49" s="39">
        <f>IF(ISNUMBER(G48)*ISNUMBER(G47),G48-G47,"PENDING")</f>
        <v/>
      </c>
      <c r="H49" s="39">
        <f>IF(ISNUMBER(H48)*ISNUMBER(H47),H48-H47,"PENDING")</f>
        <v/>
      </c>
    </row>
    <row r="50">
      <c r="B50" s="22" t="inlineStr">
        <is>
          <t>אורך חיים — ציוד בסיסי</t>
        </is>
      </c>
      <c r="C50" s="10" t="inlineStr">
        <is>
          <t>שנים</t>
        </is>
      </c>
      <c r="D50" s="11" t="inlineStr">
        <is>
          <t>ממצאי הנדסה / הנחת עבודה</t>
        </is>
      </c>
      <c r="F50" s="40" t="n">
        <v>15</v>
      </c>
      <c r="G50" s="40" t="n">
        <v>15</v>
      </c>
      <c r="H50" s="40" t="n">
        <v>12</v>
      </c>
    </row>
    <row r="51">
      <c r="B51" s="22" t="inlineStr">
        <is>
          <t>אורך חיים — ציוד יעיל</t>
        </is>
      </c>
      <c r="C51" s="10" t="inlineStr">
        <is>
          <t>שנים</t>
        </is>
      </c>
      <c r="D51" s="11" t="inlineStr">
        <is>
          <t>ממצאי הנדסה / הנחת עבודה</t>
        </is>
      </c>
      <c r="F51" s="40" t="n">
        <v>10</v>
      </c>
      <c r="G51" s="40" t="n">
        <v>17</v>
      </c>
      <c r="H51" s="40" t="n">
        <v>12</v>
      </c>
    </row>
    <row r="52">
      <c r="B52" s="22" t="inlineStr">
        <is>
          <t>גורם שחיקת ביצועים</t>
        </is>
      </c>
      <c r="C52" s="10" t="inlineStr">
        <is>
          <t>%/שנה</t>
        </is>
      </c>
      <c r="D52" s="11" t="inlineStr">
        <is>
          <t>הנחת עבודה (0.5-1%/שנה טיפוסי לציוד מכני)</t>
        </is>
      </c>
      <c r="F52" s="41" t="n">
        <v>0.005</v>
      </c>
      <c r="G52" s="41" t="n">
        <v>0.005</v>
      </c>
      <c r="H52" s="41" t="n">
        <v>0.005</v>
      </c>
    </row>
    <row r="53">
      <c r="B53" s="22" t="inlineStr">
        <is>
          <t>OPEX אחר — בסיסי (תחזוקה, חלפים...)</t>
        </is>
      </c>
      <c r="C53" s="10" t="inlineStr">
        <is>
          <t>₪/שנה</t>
        </is>
      </c>
      <c r="D53" s="11" t="inlineStr">
        <is>
          <t>נתוני רפי (טרם התקבל)</t>
        </is>
      </c>
      <c r="E53" s="28" t="inlineStr">
        <is>
          <t>⚠ ממתין לנתוני רפי</t>
        </is>
      </c>
      <c r="F53" s="37" t="inlineStr">
        <is>
          <t>PENDING</t>
        </is>
      </c>
      <c r="G53" s="37" t="inlineStr">
        <is>
          <t>PENDING</t>
        </is>
      </c>
      <c r="H53" s="37" t="inlineStr">
        <is>
          <t>PENDING</t>
        </is>
      </c>
    </row>
    <row r="54">
      <c r="B54" s="22" t="inlineStr">
        <is>
          <t>OPEX אחר — יעיל (תחזוקה, חלפים...)</t>
        </is>
      </c>
      <c r="C54" s="10" t="inlineStr">
        <is>
          <t>₪/שנה</t>
        </is>
      </c>
      <c r="D54" s="11" t="inlineStr">
        <is>
          <t>נתוני רפי (טרם התקבל)</t>
        </is>
      </c>
      <c r="E54" s="28" t="inlineStr">
        <is>
          <t>⚠ ממתין לנתוני רפי</t>
        </is>
      </c>
      <c r="F54" s="37" t="inlineStr">
        <is>
          <t>PENDING</t>
        </is>
      </c>
      <c r="G54" s="37" t="inlineStr">
        <is>
          <t>PENDING</t>
        </is>
      </c>
      <c r="H54" s="37" t="inlineStr">
        <is>
          <t>PENDING</t>
        </is>
      </c>
    </row>
    <row r="55">
      <c r="B55" s="22" t="inlineStr">
        <is>
          <t>OPEX אנרגיה/דלק שנה 1 — בסיסי</t>
        </is>
      </c>
      <c r="C55" s="10" t="inlineStr">
        <is>
          <t>₪/שנה</t>
        </is>
      </c>
      <c r="D55" s="11" t="inlineStr">
        <is>
          <t>חישוב</t>
        </is>
      </c>
      <c r="E55" s="28" t="inlineStr">
        <is>
          <t>חישוב</t>
        </is>
      </c>
      <c r="F55" s="39">
        <f>IF(ISNUMBER(F44),IF(F40="מזוט",F44*'נתונים והנחות'!$F$16,F44*1000/'נתונים והנחות'!$F$19*'נתונים והנחות'!$F$15),"PENDING")</f>
        <v/>
      </c>
      <c r="G55" s="39">
        <f>IF(ISNUMBER(G44),G44*'נתונים והנחות'!$F$12/100,"PENDING")</f>
        <v/>
      </c>
      <c r="H55" s="39">
        <f>IF(ISNUMBER(H44),H44*'נתונים והנחות'!$F$12/100,"PENDING")</f>
        <v/>
      </c>
    </row>
    <row r="56">
      <c r="B56" s="22" t="inlineStr">
        <is>
          <t>OPEX אנרגיה שנה 1 — יעיל</t>
        </is>
      </c>
      <c r="C56" s="10" t="inlineStr">
        <is>
          <t>₪/שנה</t>
        </is>
      </c>
      <c r="D56" s="11" t="inlineStr">
        <is>
          <t>חישוב</t>
        </is>
      </c>
      <c r="E56" s="28" t="inlineStr">
        <is>
          <t>חישוב</t>
        </is>
      </c>
      <c r="F56" s="39">
        <f>IF(ISNUMBER(F45),F45*'נתונים והנחות'!$F$12/100,"PENDING")</f>
        <v/>
      </c>
      <c r="G56" s="39">
        <f>IF(ISNUMBER(G45),G45*'נתונים והנחות'!$F$12/100,"PENDING")</f>
        <v/>
      </c>
      <c r="H56" s="39">
        <f>IF(ISNUMBER(H45),H45*'נתונים והנחות'!$F$12/100,"PENDING")</f>
        <v/>
      </c>
    </row>
    <row r="58">
      <c r="B58" s="21" t="inlineStr">
        <is>
          <t>* OPEX אחר ממתין לנתוני רפי. שאר הנתונים מקורם ב-baseline-technology-data.md ומספרים בהערות/מקורות למטה.</t>
        </is>
      </c>
    </row>
    <row r="61">
      <c r="B61" s="9" t="inlineStr">
        <is>
          <t>5. מקורות ומתודולוגיה</t>
        </is>
      </c>
    </row>
    <row r="62" ht="30" customHeight="1">
      <c r="B62" s="42" t="inlineStr">
        <is>
          <t>[1]</t>
        </is>
      </c>
      <c r="C62" s="28" t="inlineStr">
        <is>
          <t>משרד האנרגיה, מינהל הדלק והגז — "מחירים תיאורטיים של מוצרי דלק שאינם בפיקוח", שנת 2024. קובץ המקור: orl22024_4.xlsx. מחירי סולר/מזוט בתעשייה ממוצעים לשנת 2024, לפני מע"מ ובלו.</t>
        </is>
      </c>
    </row>
    <row r="63" ht="30" customHeight="1">
      <c r="B63" s="42" t="inlineStr">
        <is>
          <t>[2]</t>
        </is>
      </c>
      <c r="C63" s="28" t="inlineStr">
        <is>
          <t>אקסל של עמרי — מקדמי MRV (Monitoring, Reporting &amp; Verification) הרשמיים של ישראל: ערכים קלוריים לסולר/מזוט וצפיפות סולר.</t>
        </is>
      </c>
    </row>
    <row r="64" ht="30" customHeight="1">
      <c r="B64" s="42" t="inlineStr">
        <is>
          <t>[3]</t>
        </is>
      </c>
      <c r="C64" s="28" t="inlineStr">
        <is>
          <t>Sprsun commercial heat pump product pages — COP 4.13 at 40kW (37-45kW model), COP 3.23-3.24 at 70kW (42-70kW model). Real capacity ceiling is 70kW, not the 150kW originally assumed in an earlier draft.</t>
        </is>
      </c>
    </row>
    <row r="65" ht="30" customHeight="1">
      <c r="B65" s="42" t="inlineStr">
        <is>
          <t>[4]</t>
        </is>
      </c>
      <c r="C65" s="28" t="inlineStr">
        <is>
          <t>ASME PTC 4 (fuel-to-heat combustion efficiency, fire-tube/water-tube units without heat recovery, 80-88% typical range — 83.5% midpoint used).</t>
        </is>
      </c>
    </row>
    <row r="66" ht="30" customHeight="1">
      <c r="B66" s="42" t="inlineStr">
        <is>
          <t>[5]</t>
        </is>
      </c>
      <c r="C66" s="28" t="inlineStr">
        <is>
          <t>ASHRAE 90.1 Table 6.8.1-3 (chiller code-minimum, 500 RT bracket) + DOE FEMP designated-efficient level — baseline 0.60 kW/ton, efficient 0.48 kW/ton.</t>
        </is>
      </c>
    </row>
    <row r="67" ht="30" customHeight="1">
      <c r="B67" s="42" t="inlineStr">
        <is>
          <t>[6]</t>
        </is>
      </c>
      <c r="C67" s="28" t="inlineStr">
        <is>
          <t>capex_all_rounds_annotated.xlsx, sheet "עלות לטון קירור" — 96 real chiller line items from the 2017-2022 grant program rounds, 27 with usable capacity data. Median ₪4,186/ton used for efficient CapEx (recommended over the mean in the source sheet due to flagged outliers). Baseline (₪3,562/ton = ₪4,186 / 1.175) estimated via a 10-25% efficiency cost premium (DOE FEMP cost-effectiveness data + general market commentary, midpoint used) — a derived estimate, not a direct quote.</t>
        </is>
      </c>
    </row>
    <row r="68" ht="30" customHeight="1">
      <c r="B68" s="42" t="inlineStr">
        <is>
          <t>[7]</t>
        </is>
      </c>
      <c r="C68" s="28" t="inlineStr">
        <is>
          <t>capex_all_rounds_annotated.xlsx, sheet "חישוב ממוצע" — grant program averages: heat pumps ₪165,177/unit (49 units), VSD ₪312,450/unit (5 units). Blended averages, not split by capacity or baseline/efficient — applied as the efficient-side CapEx.</t>
        </is>
      </c>
    </row>
    <row r="69" ht="30" customHeight="1">
      <c r="B69" s="42" t="inlineStr">
        <is>
          <t>[8]</t>
        </is>
      </c>
      <c r="C69" s="28" t="inlineStr">
        <is>
          <t>US Air Compressor (usaircompressor.com) — real listed prices: 60 HP (45kW) fixed-speed $18,150-19,800, 200 HP (150kW) fixed-speed $65,999.99. VSD baseline CapEx (₪255,061) estimated by dividing the grant-average VSD CapEx by a 15-30% VSD-over-fixed-speed premium (midpoint 22.5%) — a derived estimate.</t>
        </is>
      </c>
    </row>
    <row r="70" ht="30" customHeight="1">
      <c r="B70" s="42" t="inlineStr">
        <is>
          <t>[9]</t>
        </is>
      </c>
      <c r="C70" s="28" t="inlineStr">
        <is>
          <t>CAGI specific power ranges (ISO 1217 basis) — fixed-speed 20-23 kW/100cfm, VSD 15-18 kW/100cfm at 100 psi reference pressure. Midpoints used (21.5 / 16.5).</t>
        </is>
      </c>
    </row>
    <row r="72" ht="30" customHeight="1">
      <c r="B72" s="28" t="inlineStr">
        <is>
          <t>מקרא רמת ביטחון: ירוק = נתון אמיתי ממקור ראשוני (לא הערכה) | כתום-אפרסק = נתון נגזר/מוערך עם מתודולוגיה מוסברת | צהוב = ממתין לנתונים (רפי / ייעוץ מהנדס). ראו projects/energy-program/baseline-technology-data.md לפירוט המקורות המלא כולל קישורים.</t>
        </is>
      </c>
    </row>
  </sheetData>
  <mergeCells count="18">
    <mergeCell ref="B9:I9"/>
    <mergeCell ref="C63:H63"/>
    <mergeCell ref="C65:H65"/>
    <mergeCell ref="C62:H62"/>
    <mergeCell ref="B21:I21"/>
    <mergeCell ref="C66:H66"/>
    <mergeCell ref="B24:I24"/>
    <mergeCell ref="C70:H70"/>
    <mergeCell ref="C67:H67"/>
    <mergeCell ref="C69:H69"/>
    <mergeCell ref="B14:I14"/>
    <mergeCell ref="B33:H33"/>
    <mergeCell ref="C64:H64"/>
    <mergeCell ref="B23:I23"/>
    <mergeCell ref="B72:H72"/>
    <mergeCell ref="B61:H61"/>
    <mergeCell ref="C68:H68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0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20" customWidth="1" min="4" max="4"/>
    <col width="36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 (לא הערכה)</t>
        </is>
      </c>
    </row>
    <row r="5">
      <c r="B5" s="5" t="inlineStr">
        <is>
          <t>נתון מוערך/נגזר (עם מקור)</t>
        </is>
      </c>
    </row>
    <row r="6">
      <c r="B6" s="6" t="inlineStr">
        <is>
          <t>תרחיש A — טכנולוגיה קיימת</t>
        </is>
      </c>
    </row>
    <row r="7">
      <c r="B7" s="7" t="inlineStr">
        <is>
          <t>תרחיש B — יעיל, ללא תמריץ</t>
        </is>
      </c>
    </row>
    <row r="8">
      <c r="B8" s="43" t="inlineStr">
        <is>
          <t>ניתוח כלכלי — פחת מואץ לפי טכנולוגיה | השוואת שלושה תרחישים</t>
        </is>
      </c>
    </row>
    <row r="9">
      <c r="B9" s="44" t="inlineStr">
        <is>
          <t>פרמטר מדיניות מרכזי</t>
        </is>
      </c>
    </row>
    <row r="10">
      <c r="B10" s="9" t="inlineStr">
        <is>
          <t>1. פרמטרים פיננסיים</t>
        </is>
      </c>
    </row>
    <row r="11">
      <c r="B11" s="3" t="inlineStr">
        <is>
          <t>שיעור מס חברות</t>
        </is>
      </c>
      <c r="C11" s="10" t="inlineStr">
        <is>
          <t>%</t>
        </is>
      </c>
      <c r="D11" s="10" t="inlineStr">
        <is>
          <t>נתונים והנחות</t>
        </is>
      </c>
      <c r="F11" s="12">
        <f>'נתונים והנחות'!$F$10</f>
        <v/>
      </c>
    </row>
    <row r="12">
      <c r="B12" s="4" t="inlineStr">
        <is>
          <t>שיעור היוון</t>
        </is>
      </c>
      <c r="C12" s="10" t="inlineStr">
        <is>
          <t>%</t>
        </is>
      </c>
      <c r="D12" s="10" t="inlineStr">
        <is>
          <t>נתונים והנחות</t>
        </is>
      </c>
      <c r="F12" s="13">
        <f>'נתונים והנחות'!$F$11</f>
        <v/>
      </c>
    </row>
    <row r="13">
      <c r="B13" s="2" t="inlineStr">
        <is>
          <t>מחיר חשמל (₪/קוט"ש)</t>
        </is>
      </c>
      <c r="C13" s="10" t="inlineStr">
        <is>
          <t>₪/קוט"ש</t>
        </is>
      </c>
      <c r="D13" s="10" t="inlineStr">
        <is>
          <t>נתונים והנחות</t>
        </is>
      </c>
      <c r="F13" s="45">
        <f>'נתונים והנחות'!$F$12/100</f>
        <v/>
      </c>
    </row>
    <row r="15">
      <c r="B15" s="9" t="inlineStr">
        <is>
          <t>2. פרמטר תמריץ — מכפיל פחת</t>
        </is>
      </c>
    </row>
    <row r="16">
      <c r="B16" s="17" t="inlineStr">
        <is>
          <t>מכפיל שיעור הפחת  ←  שנה ב'נתונים והנחות'!F22</t>
        </is>
      </c>
      <c r="C16" s="18" t="inlineStr">
        <is>
          <t>מכפיל</t>
        </is>
      </c>
      <c r="D16" s="10" t="inlineStr">
        <is>
          <t>נתונים והנחות</t>
        </is>
      </c>
      <c r="F16" s="46">
        <f>'נתונים והנחות'!$F$22</f>
        <v/>
      </c>
    </row>
    <row r="17">
      <c r="B17" s="47" t="inlineStr">
        <is>
          <t>מכפיל × פחת סטנדרטי = שיעור מואץ | סה"כ ניכוי = 100% CapEx | תקופת פחת = 1 ÷ שיעור מואץ</t>
        </is>
      </c>
    </row>
    <row r="19">
      <c r="B19" s="9" t="inlineStr">
        <is>
          <t>3. ניתוחים לפי טכנולוגיה</t>
        </is>
      </c>
    </row>
    <row r="21">
      <c r="B21" s="48" t="inlineStr">
        <is>
          <t>3.1  משאבות חום (חימום מים)</t>
        </is>
      </c>
    </row>
    <row r="22">
      <c r="B22" s="47" t="inlineStr">
        <is>
          <t>* החלפת תנור מזוט/סולר במשאבת חום | אורך חיים: 10 vs 15 שנה | כל הנתונים: גיליון 'נתונים והנחות' — סעיף 4</t>
        </is>
      </c>
    </row>
    <row r="23">
      <c r="B23" s="49" t="inlineStr">
        <is>
          <t>ב. לוחות פחת (ציוד בסיסי vs. יעיל)</t>
        </is>
      </c>
    </row>
    <row r="24">
      <c r="B24" s="24" t="inlineStr">
        <is>
          <t>פרמטר</t>
        </is>
      </c>
      <c r="C24" s="24" t="inlineStr">
        <is>
          <t>יחידות</t>
        </is>
      </c>
      <c r="D24" s="24" t="inlineStr">
        <is>
          <t>מקור</t>
        </is>
      </c>
      <c r="E24" s="24" t="inlineStr">
        <is>
          <t>הערות</t>
        </is>
      </c>
      <c r="F24" s="24" t="inlineStr">
        <is>
          <t>שנה 0 (השקעה)</t>
        </is>
      </c>
      <c r="G24" s="24" t="inlineStr">
        <is>
          <t>שנה 1</t>
        </is>
      </c>
      <c r="H24" s="24" t="inlineStr">
        <is>
          <t>שנה 2</t>
        </is>
      </c>
      <c r="I24" s="24" t="inlineStr">
        <is>
          <t>שנה 3</t>
        </is>
      </c>
      <c r="J24" s="24" t="inlineStr">
        <is>
          <t>שנה 4</t>
        </is>
      </c>
      <c r="K24" s="24" t="inlineStr">
        <is>
          <t>שנה 5</t>
        </is>
      </c>
      <c r="L24" s="24" t="inlineStr">
        <is>
          <t>שנה 6</t>
        </is>
      </c>
      <c r="M24" s="24" t="inlineStr">
        <is>
          <t>שנה 7</t>
        </is>
      </c>
      <c r="N24" s="24" t="inlineStr">
        <is>
          <t>שנה 8</t>
        </is>
      </c>
      <c r="O24" s="24" t="inlineStr">
        <is>
          <t>שנה 9</t>
        </is>
      </c>
      <c r="P24" s="24" t="inlineStr">
        <is>
          <t>שנה 10</t>
        </is>
      </c>
      <c r="Q24" s="24" t="inlineStr">
        <is>
          <t>שנה 11</t>
        </is>
      </c>
      <c r="R24" s="24" t="inlineStr">
        <is>
          <t>שנה 12</t>
        </is>
      </c>
      <c r="S24" s="24" t="inlineStr">
        <is>
          <t>שנה 13</t>
        </is>
      </c>
      <c r="T24" s="24" t="inlineStr">
        <is>
          <t>שנה 14</t>
        </is>
      </c>
      <c r="U24" s="24" t="inlineStr">
        <is>
          <t>שנה 15</t>
        </is>
      </c>
      <c r="V24" s="24" t="inlineStr">
        <is>
          <t>שנה 16</t>
        </is>
      </c>
      <c r="W24" s="24" t="inlineStr">
        <is>
          <t>שנה 17</t>
        </is>
      </c>
      <c r="X24" s="24" t="inlineStr">
        <is>
          <t>שנה 18</t>
        </is>
      </c>
      <c r="Y24" s="24" t="inlineStr">
        <is>
          <t>שנה 19</t>
        </is>
      </c>
      <c r="Z24" s="24" t="inlineStr">
        <is>
          <t>שנה 20</t>
        </is>
      </c>
    </row>
    <row r="25">
      <c r="B25" s="6" t="inlineStr">
        <is>
          <t>פחת סטנדרטי — תנור מזוט/סולר</t>
        </is>
      </c>
      <c r="C25" s="10" t="inlineStr">
        <is>
          <t>₪</t>
        </is>
      </c>
      <c r="D25" s="10" t="inlineStr">
        <is>
          <t>חישוב</t>
        </is>
      </c>
      <c r="E25" s="10" t="inlineStr">
        <is>
          <t>קו ישר | 10%/שנה | עד 10 שנים | CapEx בסיסי</t>
        </is>
      </c>
      <c r="F25" s="50" t="n">
        <v>0</v>
      </c>
      <c r="G25" s="50">
        <f>IF(ISNUMBER('נתונים והנחות'!$F$47),'נתונים והנחות'!$F$47*0.1,0)</f>
        <v/>
      </c>
      <c r="H25" s="50">
        <f>IF(ISNUMBER('נתונים והנחות'!$F$47),'נתונים והנחות'!$F$47*0.1,0)</f>
        <v/>
      </c>
      <c r="I25" s="50">
        <f>IF(ISNUMBER('נתונים והנחות'!$F$47),'נתונים והנחות'!$F$47*0.1,0)</f>
        <v/>
      </c>
      <c r="J25" s="50">
        <f>IF(ISNUMBER('נתונים והנחות'!$F$47),'נתונים והנחות'!$F$47*0.1,0)</f>
        <v/>
      </c>
      <c r="K25" s="50">
        <f>IF(ISNUMBER('נתונים והנחות'!$F$47),'נתונים והנחות'!$F$47*0.1,0)</f>
        <v/>
      </c>
      <c r="L25" s="50">
        <f>IF(ISNUMBER('נתונים והנחות'!$F$47),'נתונים והנחות'!$F$47*0.1,0)</f>
        <v/>
      </c>
      <c r="M25" s="50">
        <f>IF(ISNUMBER('נתונים והנחות'!$F$47),'נתונים והנחות'!$F$47*0.1,0)</f>
        <v/>
      </c>
      <c r="N25" s="50">
        <f>IF(ISNUMBER('נתונים והנחות'!$F$47),'נתונים והנחות'!$F$47*0.1,0)</f>
        <v/>
      </c>
      <c r="O25" s="50">
        <f>IF(ISNUMBER('נתונים והנחות'!$F$47),'נתונים והנחות'!$F$47*0.1,0)</f>
        <v/>
      </c>
      <c r="P25" s="50">
        <f>IF(ISNUMBER('נתונים והנחות'!$F$47),'נתונים והנחות'!$F$47*0.1,0)</f>
        <v/>
      </c>
      <c r="Q25" s="50">
        <f>0</f>
        <v/>
      </c>
      <c r="R25" s="50">
        <f>0</f>
        <v/>
      </c>
      <c r="S25" s="50">
        <f>0</f>
        <v/>
      </c>
      <c r="T25" s="50">
        <f>0</f>
        <v/>
      </c>
      <c r="U25" s="50">
        <f>0</f>
        <v/>
      </c>
      <c r="V25" s="50">
        <f>0</f>
        <v/>
      </c>
      <c r="W25" s="50">
        <f>0</f>
        <v/>
      </c>
      <c r="X25" s="50">
        <f>0</f>
        <v/>
      </c>
      <c r="Y25" s="50">
        <f>0</f>
        <v/>
      </c>
      <c r="Z25" s="50">
        <f>0</f>
        <v/>
      </c>
    </row>
    <row r="26">
      <c r="B26" s="6" t="inlineStr">
        <is>
          <t>מגן מס — תנור מזוט/סולר</t>
        </is>
      </c>
      <c r="C26" s="10" t="inlineStr">
        <is>
          <t>₪</t>
        </is>
      </c>
      <c r="D26" s="10" t="inlineStr">
        <is>
          <t>חישוב</t>
        </is>
      </c>
      <c r="E26" s="10">
        <f> פחת × שיעור מס</f>
        <v/>
      </c>
      <c r="F26" s="50" t="n">
        <v>0</v>
      </c>
      <c r="G26" s="50">
        <f>G25*'נתונים והנחות'!$F$10</f>
        <v/>
      </c>
      <c r="H26" s="50">
        <f>H25*'נתונים והנחות'!$F$10</f>
        <v/>
      </c>
      <c r="I26" s="50">
        <f>I25*'נתונים והנחות'!$F$10</f>
        <v/>
      </c>
      <c r="J26" s="50">
        <f>J25*'נתונים והנחות'!$F$10</f>
        <v/>
      </c>
      <c r="K26" s="50">
        <f>K25*'נתונים והנחות'!$F$10</f>
        <v/>
      </c>
      <c r="L26" s="50">
        <f>L25*'נתונים והנחות'!$F$10</f>
        <v/>
      </c>
      <c r="M26" s="50">
        <f>M25*'נתונים והנחות'!$F$10</f>
        <v/>
      </c>
      <c r="N26" s="50">
        <f>N25*'נתונים והנחות'!$F$10</f>
        <v/>
      </c>
      <c r="O26" s="50">
        <f>O25*'נתונים והנחות'!$F$10</f>
        <v/>
      </c>
      <c r="P26" s="50">
        <f>P25*'נתונים והנחות'!$F$10</f>
        <v/>
      </c>
      <c r="Q26" s="50">
        <f>Q25*'נתונים והנחות'!$F$10</f>
        <v/>
      </c>
      <c r="R26" s="50">
        <f>R25*'נתונים והנחות'!$F$10</f>
        <v/>
      </c>
      <c r="S26" s="50">
        <f>S25*'נתונים והנחות'!$F$10</f>
        <v/>
      </c>
      <c r="T26" s="50">
        <f>T25*'נתונים והנחות'!$F$10</f>
        <v/>
      </c>
      <c r="U26" s="50">
        <f>U25*'נתונים והנחות'!$F$10</f>
        <v/>
      </c>
      <c r="V26" s="50">
        <f>V25*'נתונים והנחות'!$F$10</f>
        <v/>
      </c>
      <c r="W26" s="50">
        <f>W25*'נתונים והנחות'!$F$10</f>
        <v/>
      </c>
      <c r="X26" s="50">
        <f>X25*'נתונים והנחות'!$F$10</f>
        <v/>
      </c>
      <c r="Y26" s="50">
        <f>Y25*'נתונים והנחות'!$F$10</f>
        <v/>
      </c>
      <c r="Z26" s="50">
        <f>Z25*'נתונים והנחות'!$F$10</f>
        <v/>
      </c>
    </row>
    <row r="27">
      <c r="B27" s="7" t="inlineStr">
        <is>
          <t>פחת סטנדרטי — משאבות חום (חימום מים)</t>
        </is>
      </c>
      <c r="C27" s="10" t="inlineStr">
        <is>
          <t>₪</t>
        </is>
      </c>
      <c r="D27" s="10" t="inlineStr">
        <is>
          <t>חישוב</t>
        </is>
      </c>
      <c r="E27" s="10" t="inlineStr">
        <is>
          <t>קו ישר | 10%/שנה | עד 10 שנים | CapEx יעיל</t>
        </is>
      </c>
      <c r="F27" s="51" t="n">
        <v>0</v>
      </c>
      <c r="G27" s="51">
        <f>IF(ISNUMBER('נתונים והנחות'!$F$48),'נתונים והנחות'!$F$48*0.1,0)</f>
        <v/>
      </c>
      <c r="H27" s="51">
        <f>IF(ISNUMBER('נתונים והנחות'!$F$48),'נתונים והנחות'!$F$48*0.1,0)</f>
        <v/>
      </c>
      <c r="I27" s="51">
        <f>IF(ISNUMBER('נתונים והנחות'!$F$48),'נתונים והנחות'!$F$48*0.1,0)</f>
        <v/>
      </c>
      <c r="J27" s="51">
        <f>IF(ISNUMBER('נתונים והנחות'!$F$48),'נתונים והנחות'!$F$48*0.1,0)</f>
        <v/>
      </c>
      <c r="K27" s="51">
        <f>IF(ISNUMBER('נתונים והנחות'!$F$48),'נתונים והנחות'!$F$48*0.1,0)</f>
        <v/>
      </c>
      <c r="L27" s="51">
        <f>IF(ISNUMBER('נתונים והנחות'!$F$48),'נתונים והנחות'!$F$48*0.1,0)</f>
        <v/>
      </c>
      <c r="M27" s="51">
        <f>IF(ISNUMBER('נתונים והנחות'!$F$48),'נתונים והנחות'!$F$48*0.1,0)</f>
        <v/>
      </c>
      <c r="N27" s="51">
        <f>IF(ISNUMBER('נתונים והנחות'!$F$48),'נתונים והנחות'!$F$48*0.1,0)</f>
        <v/>
      </c>
      <c r="O27" s="51">
        <f>IF(ISNUMBER('נתונים והנחות'!$F$48),'נתונים והנחות'!$F$48*0.1,0)</f>
        <v/>
      </c>
      <c r="P27" s="51">
        <f>IF(ISNUMBER('נתונים והנחות'!$F$48),'נתונים והנחות'!$F$48*0.1,0)</f>
        <v/>
      </c>
      <c r="Q27" s="51">
        <f>0</f>
        <v/>
      </c>
      <c r="R27" s="51">
        <f>0</f>
        <v/>
      </c>
      <c r="S27" s="51">
        <f>0</f>
        <v/>
      </c>
      <c r="T27" s="51">
        <f>0</f>
        <v/>
      </c>
      <c r="U27" s="51">
        <f>0</f>
        <v/>
      </c>
      <c r="V27" s="51">
        <f>0</f>
        <v/>
      </c>
      <c r="W27" s="51">
        <f>0</f>
        <v/>
      </c>
      <c r="X27" s="51">
        <f>0</f>
        <v/>
      </c>
      <c r="Y27" s="51">
        <f>0</f>
        <v/>
      </c>
      <c r="Z27" s="51">
        <f>0</f>
        <v/>
      </c>
    </row>
    <row r="28">
      <c r="B28" s="7" t="inlineStr">
        <is>
          <t>מגן מס סטנדרטי — משאבות חום (חימום מים)</t>
        </is>
      </c>
      <c r="C28" s="10" t="inlineStr">
        <is>
          <t>₪</t>
        </is>
      </c>
      <c r="D28" s="10" t="inlineStr">
        <is>
          <t>חישוב</t>
        </is>
      </c>
      <c r="E28" s="10">
        <f> פחת × שיעור מס</f>
        <v/>
      </c>
      <c r="F28" s="51" t="n">
        <v>0</v>
      </c>
      <c r="G28" s="51">
        <f>G27*'נתונים והנחות'!$F$10</f>
        <v/>
      </c>
      <c r="H28" s="51">
        <f>H27*'נתונים והנחות'!$F$10</f>
        <v/>
      </c>
      <c r="I28" s="51">
        <f>I27*'נתונים והנחות'!$F$10</f>
        <v/>
      </c>
      <c r="J28" s="51">
        <f>J27*'נתונים והנחות'!$F$10</f>
        <v/>
      </c>
      <c r="K28" s="51">
        <f>K27*'נתונים והנחות'!$F$10</f>
        <v/>
      </c>
      <c r="L28" s="51">
        <f>L27*'נתונים והנחות'!$F$10</f>
        <v/>
      </c>
      <c r="M28" s="51">
        <f>M27*'נתונים והנחות'!$F$10</f>
        <v/>
      </c>
      <c r="N28" s="51">
        <f>N27*'נתונים והנחות'!$F$10</f>
        <v/>
      </c>
      <c r="O28" s="51">
        <f>O27*'נתונים והנחות'!$F$10</f>
        <v/>
      </c>
      <c r="P28" s="51">
        <f>P27*'נתונים והנחות'!$F$10</f>
        <v/>
      </c>
      <c r="Q28" s="51">
        <f>Q27*'נתונים והנחות'!$F$10</f>
        <v/>
      </c>
      <c r="R28" s="51">
        <f>R27*'נתונים והנחות'!$F$10</f>
        <v/>
      </c>
      <c r="S28" s="51">
        <f>S27*'נתונים והנחות'!$F$10</f>
        <v/>
      </c>
      <c r="T28" s="51">
        <f>T27*'נתונים והנחות'!$F$10</f>
        <v/>
      </c>
      <c r="U28" s="51">
        <f>U27*'נתונים והנחות'!$F$10</f>
        <v/>
      </c>
      <c r="V28" s="51">
        <f>V27*'נתונים והנחות'!$F$10</f>
        <v/>
      </c>
      <c r="W28" s="51">
        <f>W27*'נתונים והנחות'!$F$10</f>
        <v/>
      </c>
      <c r="X28" s="51">
        <f>X27*'נתונים והנחות'!$F$10</f>
        <v/>
      </c>
      <c r="Y28" s="51">
        <f>Y27*'נתונים והנחות'!$F$10</f>
        <v/>
      </c>
      <c r="Z28" s="51">
        <f>Z27*'נתונים והנחות'!$F$10</f>
        <v/>
      </c>
    </row>
    <row r="29">
      <c r="B29" s="8" t="inlineStr">
        <is>
          <t>פחת מואץ — משאבות חום (חימום מים)</t>
        </is>
      </c>
      <c r="C29" s="10" t="inlineStr">
        <is>
          <t>₪</t>
        </is>
      </c>
      <c r="D29" s="10" t="inlineStr">
        <is>
          <t>חישוב</t>
        </is>
      </c>
      <c r="E29" s="10">
        <f> CapEx יעיל × (פחת סטנדרטי × מכפיל) | תקופה = 1 ÷ שיעור מואץ</f>
        <v/>
      </c>
      <c r="F29" s="52" t="n">
        <v>0</v>
      </c>
      <c r="G29" s="52">
        <f>IF(ISNUMBER('נתונים והנחות'!$F$48),IF(1&lt;=ROUND(1/(0.1*'נתונים והנחות'!$F$22),0),'נתונים והנחות'!$F$48*0.1*'נתונים והנחות'!$F$22,0),0)</f>
        <v/>
      </c>
      <c r="H29" s="52">
        <f>IF(ISNUMBER('נתונים והנחות'!$F$48),IF(2&lt;=ROUND(1/(0.1*'נתונים והנחות'!$F$22),0),'נתונים והנחות'!$F$48*0.1*'נתונים והנחות'!$F$22,0),0)</f>
        <v/>
      </c>
      <c r="I29" s="52">
        <f>IF(ISNUMBER('נתונים והנחות'!$F$48),IF(3&lt;=ROUND(1/(0.1*'נתונים והנחות'!$F$22),0),'נתונים והנחות'!$F$48*0.1*'נתונים והנחות'!$F$22,0),0)</f>
        <v/>
      </c>
      <c r="J29" s="52">
        <f>IF(ISNUMBER('נתונים והנחות'!$F$48),IF(4&lt;=ROUND(1/(0.1*'נתונים והנחות'!$F$22),0),'נתונים והנחות'!$F$48*0.1*'נתונים והנחות'!$F$22,0),0)</f>
        <v/>
      </c>
      <c r="K29" s="52">
        <f>IF(ISNUMBER('נתונים והנחות'!$F$48),IF(5&lt;=ROUND(1/(0.1*'נתונים והנחות'!$F$22),0),'נתונים והנחות'!$F$48*0.1*'נתונים והנחות'!$F$22,0),0)</f>
        <v/>
      </c>
      <c r="L29" s="52">
        <f>IF(ISNUMBER('נתונים והנחות'!$F$48),IF(6&lt;=ROUND(1/(0.1*'נתונים והנחות'!$F$22),0),'נתונים והנחות'!$F$48*0.1*'נתונים והנחות'!$F$22,0),0)</f>
        <v/>
      </c>
      <c r="M29" s="52">
        <f>IF(ISNUMBER('נתונים והנחות'!$F$48),IF(7&lt;=ROUND(1/(0.1*'נתונים והנחות'!$F$22),0),'נתונים והנחות'!$F$48*0.1*'נתונים והנחות'!$F$22,0),0)</f>
        <v/>
      </c>
      <c r="N29" s="52">
        <f>IF(ISNUMBER('נתונים והנחות'!$F$48),IF(8&lt;=ROUND(1/(0.1*'נתונים והנחות'!$F$22),0),'נתונים והנחות'!$F$48*0.1*'נתונים והנחות'!$F$22,0),0)</f>
        <v/>
      </c>
      <c r="O29" s="52">
        <f>IF(ISNUMBER('נתונים והנחות'!$F$48),IF(9&lt;=ROUND(1/(0.1*'נתונים והנחות'!$F$22),0),'נתונים והנחות'!$F$48*0.1*'נתונים והנחות'!$F$22,0),0)</f>
        <v/>
      </c>
      <c r="P29" s="52">
        <f>IF(ISNUMBER('נתונים והנחות'!$F$48),IF(10&lt;=ROUND(1/(0.1*'נתונים והנחות'!$F$22),0),'נתונים והנחות'!$F$48*0.1*'נתונים והנחות'!$F$22,0),0)</f>
        <v/>
      </c>
      <c r="Q29" s="52">
        <f>IF(ISNUMBER('נתונים והנחות'!$F$48),IF(11&lt;=ROUND(1/(0.1*'נתונים והנחות'!$F$22),0),'נתונים והנחות'!$F$48*0.1*'נתונים והנחות'!$F$22,0),0)</f>
        <v/>
      </c>
      <c r="R29" s="52">
        <f>IF(ISNUMBER('נתונים והנחות'!$F$48),IF(12&lt;=ROUND(1/(0.1*'נתונים והנחות'!$F$22),0),'נתונים והנחות'!$F$48*0.1*'נתונים והנחות'!$F$22,0),0)</f>
        <v/>
      </c>
      <c r="S29" s="52">
        <f>IF(ISNUMBER('נתונים והנחות'!$F$48),IF(13&lt;=ROUND(1/(0.1*'נתונים והנחות'!$F$22),0),'נתונים והנחות'!$F$48*0.1*'נתונים והנחות'!$F$22,0),0)</f>
        <v/>
      </c>
      <c r="T29" s="52">
        <f>IF(ISNUMBER('נתונים והנחות'!$F$48),IF(14&lt;=ROUND(1/(0.1*'נתונים והנחות'!$F$22),0),'נתונים והנחות'!$F$48*0.1*'נתונים והנחות'!$F$22,0),0)</f>
        <v/>
      </c>
      <c r="U29" s="52">
        <f>IF(ISNUMBER('נתונים והנחות'!$F$48),IF(15&lt;=ROUND(1/(0.1*'נתונים והנחות'!$F$22),0),'נתונים והנחות'!$F$48*0.1*'נתונים והנחות'!$F$22,0),0)</f>
        <v/>
      </c>
      <c r="V29" s="52">
        <f>IF(ISNUMBER('נתונים והנחות'!$F$48),IF(16&lt;=ROUND(1/(0.1*'נתונים והנחות'!$F$22),0),'נתונים והנחות'!$F$48*0.1*'נתונים והנחות'!$F$22,0),0)</f>
        <v/>
      </c>
      <c r="W29" s="52">
        <f>IF(ISNUMBER('נתונים והנחות'!$F$48),IF(17&lt;=ROUND(1/(0.1*'נתונים והנחות'!$F$22),0),'נתונים והנחות'!$F$48*0.1*'נתונים והנחות'!$F$22,0),0)</f>
        <v/>
      </c>
      <c r="X29" s="52">
        <f>IF(ISNUMBER('נתונים והנחות'!$F$48),IF(18&lt;=ROUND(1/(0.1*'נתונים והנחות'!$F$22),0),'נתונים והנחות'!$F$48*0.1*'נתונים והנחות'!$F$22,0),0)</f>
        <v/>
      </c>
      <c r="Y29" s="52">
        <f>IF(ISNUMBER('נתונים והנחות'!$F$48),IF(19&lt;=ROUND(1/(0.1*'נתונים והנחות'!$F$22),0),'נתונים והנחות'!$F$48*0.1*'נתונים והנחות'!$F$22,0),0)</f>
        <v/>
      </c>
      <c r="Z29" s="52">
        <f>IF(ISNUMBER('נתונים והנחות'!$F$48),IF(20&lt;=ROUND(1/(0.1*'נתונים והנחות'!$F$22),0),'נתונים והנחות'!$F$48*0.1*'נתונים והנחות'!$F$22,0),0)</f>
        <v/>
      </c>
    </row>
    <row r="30">
      <c r="B30" s="8" t="inlineStr">
        <is>
          <t>מגן מס מואץ — משאבות חום (חימום מים)</t>
        </is>
      </c>
      <c r="C30" s="10" t="inlineStr">
        <is>
          <t>₪</t>
        </is>
      </c>
      <c r="D30" s="10" t="inlineStr">
        <is>
          <t>חישוב</t>
        </is>
      </c>
      <c r="E30" s="10">
        <f> פחת מואץ × שיעור מס</f>
        <v/>
      </c>
      <c r="F30" s="52" t="n">
        <v>0</v>
      </c>
      <c r="G30" s="52">
        <f>G29*'נתונים והנחות'!$F$10</f>
        <v/>
      </c>
      <c r="H30" s="52">
        <f>H29*'נתונים והנחות'!$F$10</f>
        <v/>
      </c>
      <c r="I30" s="52">
        <f>I29*'נתונים והנחות'!$F$10</f>
        <v/>
      </c>
      <c r="J30" s="52">
        <f>J29*'נתונים והנחות'!$F$10</f>
        <v/>
      </c>
      <c r="K30" s="52">
        <f>K29*'נתונים והנחות'!$F$10</f>
        <v/>
      </c>
      <c r="L30" s="52">
        <f>L29*'נתונים והנחות'!$F$10</f>
        <v/>
      </c>
      <c r="M30" s="52">
        <f>M29*'נתונים והנחות'!$F$10</f>
        <v/>
      </c>
      <c r="N30" s="52">
        <f>N29*'נתונים והנחות'!$F$10</f>
        <v/>
      </c>
      <c r="O30" s="52">
        <f>O29*'נתונים והנחות'!$F$10</f>
        <v/>
      </c>
      <c r="P30" s="52">
        <f>P29*'נתונים והנחות'!$F$10</f>
        <v/>
      </c>
      <c r="Q30" s="52">
        <f>Q29*'נתונים והנחות'!$F$10</f>
        <v/>
      </c>
      <c r="R30" s="52">
        <f>R29*'נתונים והנחות'!$F$10</f>
        <v/>
      </c>
      <c r="S30" s="52">
        <f>S29*'נתונים והנחות'!$F$10</f>
        <v/>
      </c>
      <c r="T30" s="52">
        <f>T29*'נתונים והנחות'!$F$10</f>
        <v/>
      </c>
      <c r="U30" s="52">
        <f>U29*'נתונים והנחות'!$F$10</f>
        <v/>
      </c>
      <c r="V30" s="52">
        <f>V29*'נתונים והנחות'!$F$10</f>
        <v/>
      </c>
      <c r="W30" s="52">
        <f>W29*'נתונים והנחות'!$F$10</f>
        <v/>
      </c>
      <c r="X30" s="52">
        <f>X29*'נתונים והנחות'!$F$10</f>
        <v/>
      </c>
      <c r="Y30" s="52">
        <f>Y29*'נתונים והנחות'!$F$10</f>
        <v/>
      </c>
      <c r="Z30" s="52">
        <f>Z29*'נתונים והנחות'!$F$10</f>
        <v/>
      </c>
    </row>
    <row r="32">
      <c r="B32" s="49" t="inlineStr">
        <is>
          <t>ג. ניתוח תזרים מזומנים — שלושה תרחישים</t>
        </is>
      </c>
    </row>
    <row r="33">
      <c r="B33" s="24" t="inlineStr">
        <is>
          <t>פרמטר</t>
        </is>
      </c>
      <c r="C33" s="24" t="inlineStr">
        <is>
          <t>יחידות</t>
        </is>
      </c>
      <c r="D33" s="24" t="inlineStr">
        <is>
          <t>מקור</t>
        </is>
      </c>
      <c r="E33" s="24" t="inlineStr">
        <is>
          <t>הערות</t>
        </is>
      </c>
      <c r="F33" s="24" t="inlineStr">
        <is>
          <t>שנה 0 (השקעה)</t>
        </is>
      </c>
      <c r="G33" s="24" t="inlineStr">
        <is>
          <t>שנה 1</t>
        </is>
      </c>
      <c r="H33" s="24" t="inlineStr">
        <is>
          <t>שנה 2</t>
        </is>
      </c>
      <c r="I33" s="24" t="inlineStr">
        <is>
          <t>שנה 3</t>
        </is>
      </c>
      <c r="J33" s="24" t="inlineStr">
        <is>
          <t>שנה 4</t>
        </is>
      </c>
      <c r="K33" s="24" t="inlineStr">
        <is>
          <t>שנה 5</t>
        </is>
      </c>
      <c r="L33" s="24" t="inlineStr">
        <is>
          <t>שנה 6</t>
        </is>
      </c>
      <c r="M33" s="24" t="inlineStr">
        <is>
          <t>שנה 7</t>
        </is>
      </c>
      <c r="N33" s="24" t="inlineStr">
        <is>
          <t>שנה 8</t>
        </is>
      </c>
      <c r="O33" s="24" t="inlineStr">
        <is>
          <t>שנה 9</t>
        </is>
      </c>
      <c r="P33" s="24" t="inlineStr">
        <is>
          <t>שנה 10</t>
        </is>
      </c>
      <c r="Q33" s="24" t="inlineStr">
        <is>
          <t>שנה 11</t>
        </is>
      </c>
      <c r="R33" s="24" t="inlineStr">
        <is>
          <t>שנה 12</t>
        </is>
      </c>
      <c r="S33" s="24" t="inlineStr">
        <is>
          <t>שנה 13</t>
        </is>
      </c>
      <c r="T33" s="24" t="inlineStr">
        <is>
          <t>שנה 14</t>
        </is>
      </c>
      <c r="U33" s="24" t="inlineStr">
        <is>
          <t>שנה 15</t>
        </is>
      </c>
      <c r="V33" s="24" t="inlineStr">
        <is>
          <t>שנה 16</t>
        </is>
      </c>
      <c r="W33" s="24" t="inlineStr">
        <is>
          <t>שנה 17</t>
        </is>
      </c>
      <c r="X33" s="24" t="inlineStr">
        <is>
          <t>שנה 18</t>
        </is>
      </c>
      <c r="Y33" s="24" t="inlineStr">
        <is>
          <t>שנה 19</t>
        </is>
      </c>
      <c r="Z33" s="24" t="inlineStr">
        <is>
          <t>שנה 20</t>
        </is>
      </c>
    </row>
    <row r="34">
      <c r="B34" s="53" t="inlineStr">
        <is>
          <t>תרחיש A — רכישת תנור מזוט/סולר (ציוד קיים / לא יעיל)</t>
        </is>
      </c>
    </row>
    <row r="35">
      <c r="B35" s="6" t="inlineStr">
        <is>
          <t>השקעה ראשונית</t>
        </is>
      </c>
      <c r="C35" s="10" t="inlineStr">
        <is>
          <t>₪</t>
        </is>
      </c>
      <c r="D35" s="10" t="inlineStr">
        <is>
          <t>חישוב</t>
        </is>
      </c>
      <c r="F35" s="50">
        <f>IF(ISNUMBER('נתונים והנחות'!$F$47),-'נתונים והנחות'!$F$47,"PENDING")</f>
        <v/>
      </c>
    </row>
    <row r="36">
      <c r="B36" s="6" t="inlineStr">
        <is>
          <t>OPEX אנרגיה</t>
        </is>
      </c>
      <c r="C36" s="10" t="inlineStr">
        <is>
          <t>₪</t>
        </is>
      </c>
      <c r="D36" s="10" t="inlineStr">
        <is>
          <t>חישוב</t>
        </is>
      </c>
      <c r="F36" s="50" t="n">
        <v>0</v>
      </c>
      <c r="G36" s="50">
        <f>IF(ISNUMBER('נתונים והנחות'!$F$55),-'נתונים והנחות'!$F$55,0)</f>
        <v/>
      </c>
      <c r="H36" s="50">
        <f>IF(ISNUMBER('נתונים והנחות'!$F$55),-'נתונים והנחות'!$F$55,0)</f>
        <v/>
      </c>
      <c r="I36" s="50">
        <f>IF(ISNUMBER('נתונים והנחות'!$F$55),-'נתונים והנחות'!$F$55,0)</f>
        <v/>
      </c>
      <c r="J36" s="50">
        <f>IF(ISNUMBER('נתונים והנחות'!$F$55),-'נתונים והנחות'!$F$55,0)</f>
        <v/>
      </c>
      <c r="K36" s="50">
        <f>IF(ISNUMBER('נתונים והנחות'!$F$55),-'נתונים והנחות'!$F$55,0)</f>
        <v/>
      </c>
      <c r="L36" s="50">
        <f>IF(ISNUMBER('נתונים והנחות'!$F$55),-'נתונים והנחות'!$F$55,0)</f>
        <v/>
      </c>
      <c r="M36" s="50">
        <f>IF(ISNUMBER('נתונים והנחות'!$F$55),-'נתונים והנחות'!$F$55,0)</f>
        <v/>
      </c>
      <c r="N36" s="50">
        <f>IF(ISNUMBER('נתונים והנחות'!$F$55),-'נתונים והנחות'!$F$55,0)</f>
        <v/>
      </c>
      <c r="O36" s="50">
        <f>IF(ISNUMBER('נתונים והנחות'!$F$55),-'נתונים והנחות'!$F$55,0)</f>
        <v/>
      </c>
      <c r="P36" s="50">
        <f>IF(ISNUMBER('נתונים והנחות'!$F$55),-'נתונים והנחות'!$F$55,0)</f>
        <v/>
      </c>
      <c r="Q36" s="50">
        <f>IF(ISNUMBER('נתונים והנחות'!$F$55),-'נתונים והנחות'!$F$55,0)</f>
        <v/>
      </c>
      <c r="R36" s="50">
        <f>IF(ISNUMBER('נתונים והנחות'!$F$55),-'נתונים והנחות'!$F$55,0)</f>
        <v/>
      </c>
      <c r="S36" s="50">
        <f>IF(ISNUMBER('נתונים והנחות'!$F$55),-'נתונים והנחות'!$F$55,0)</f>
        <v/>
      </c>
      <c r="T36" s="50">
        <f>IF(ISNUMBER('נתונים והנחות'!$F$55),-'נתונים והנחות'!$F$55,0)</f>
        <v/>
      </c>
      <c r="U36" s="50">
        <f>IF(ISNUMBER('נתונים והנחות'!$F$55),-'נתונים והנחות'!$F$55,0)</f>
        <v/>
      </c>
      <c r="V36" s="50">
        <f>0</f>
        <v/>
      </c>
      <c r="W36" s="50">
        <f>0</f>
        <v/>
      </c>
      <c r="X36" s="50">
        <f>0</f>
        <v/>
      </c>
      <c r="Y36" s="50">
        <f>0</f>
        <v/>
      </c>
      <c r="Z36" s="50">
        <f>0</f>
        <v/>
      </c>
    </row>
    <row r="37">
      <c r="B37" s="6" t="inlineStr">
        <is>
          <t>OPEX אחר (תחזוקה וכו')</t>
        </is>
      </c>
      <c r="C37" s="10" t="inlineStr">
        <is>
          <t>₪</t>
        </is>
      </c>
      <c r="D37" s="10" t="inlineStr">
        <is>
          <t>חישוב</t>
        </is>
      </c>
      <c r="F37" s="50" t="n">
        <v>0</v>
      </c>
      <c r="G37" s="50">
        <f>IF(ISNUMBER('נתונים והנחות'!$F$53),-'נתונים והנחות'!$F$53,0)</f>
        <v/>
      </c>
      <c r="H37" s="50">
        <f>IF(ISNUMBER('נתונים והנחות'!$F$53),-'נתונים והנחות'!$F$53,0)</f>
        <v/>
      </c>
      <c r="I37" s="50">
        <f>IF(ISNUMBER('נתונים והנחות'!$F$53),-'נתונים והנחות'!$F$53,0)</f>
        <v/>
      </c>
      <c r="J37" s="50">
        <f>IF(ISNUMBER('נתונים והנחות'!$F$53),-'נתונים והנחות'!$F$53,0)</f>
        <v/>
      </c>
      <c r="K37" s="50">
        <f>IF(ISNUMBER('נתונים והנחות'!$F$53),-'נתונים והנחות'!$F$53,0)</f>
        <v/>
      </c>
      <c r="L37" s="50">
        <f>IF(ISNUMBER('נתונים והנחות'!$F$53),-'נתונים והנחות'!$F$53,0)</f>
        <v/>
      </c>
      <c r="M37" s="50">
        <f>IF(ISNUMBER('נתונים והנחות'!$F$53),-'נתונים והנחות'!$F$53,0)</f>
        <v/>
      </c>
      <c r="N37" s="50">
        <f>IF(ISNUMBER('נתונים והנחות'!$F$53),-'נתונים והנחות'!$F$53,0)</f>
        <v/>
      </c>
      <c r="O37" s="50">
        <f>IF(ISNUMBER('נתונים והנחות'!$F$53),-'נתונים והנחות'!$F$53,0)</f>
        <v/>
      </c>
      <c r="P37" s="50">
        <f>IF(ISNUMBER('נתונים והנחות'!$F$53),-'נתונים והנחות'!$F$53,0)</f>
        <v/>
      </c>
      <c r="Q37" s="50">
        <f>IF(ISNUMBER('נתונים והנחות'!$F$53),-'נתונים והנחות'!$F$53,0)</f>
        <v/>
      </c>
      <c r="R37" s="50">
        <f>IF(ISNUMBER('נתונים והנחות'!$F$53),-'נתונים והנחות'!$F$53,0)</f>
        <v/>
      </c>
      <c r="S37" s="50">
        <f>IF(ISNUMBER('נתונים והנחות'!$F$53),-'נתונים והנחות'!$F$53,0)</f>
        <v/>
      </c>
      <c r="T37" s="50">
        <f>IF(ISNUMBER('נתונים והנחות'!$F$53),-'נתונים והנחות'!$F$53,0)</f>
        <v/>
      </c>
      <c r="U37" s="50">
        <f>IF(ISNUMBER('נתונים והנחות'!$F$53),-'נתונים והנחות'!$F$53,0)</f>
        <v/>
      </c>
      <c r="V37" s="50">
        <f>0</f>
        <v/>
      </c>
      <c r="W37" s="50">
        <f>0</f>
        <v/>
      </c>
      <c r="X37" s="50">
        <f>0</f>
        <v/>
      </c>
      <c r="Y37" s="50">
        <f>0</f>
        <v/>
      </c>
      <c r="Z37" s="50">
        <f>0</f>
        <v/>
      </c>
    </row>
    <row r="38">
      <c r="B38" s="6" t="inlineStr">
        <is>
          <t>תזרים נקי — תרחיש A</t>
        </is>
      </c>
      <c r="C38" s="10" t="inlineStr">
        <is>
          <t>₪</t>
        </is>
      </c>
      <c r="D38" s="10" t="inlineStr">
        <is>
          <t>חישוב</t>
        </is>
      </c>
      <c r="F38" s="50">
        <f>F35</f>
        <v/>
      </c>
      <c r="G38" s="50">
        <f>G36+G37+G26</f>
        <v/>
      </c>
      <c r="H38" s="50">
        <f>H36+H37+H26</f>
        <v/>
      </c>
      <c r="I38" s="50">
        <f>I36+I37+I26</f>
        <v/>
      </c>
      <c r="J38" s="50">
        <f>J36+J37+J26</f>
        <v/>
      </c>
      <c r="K38" s="50">
        <f>K36+K37+K26</f>
        <v/>
      </c>
      <c r="L38" s="50">
        <f>L36+L37+L26</f>
        <v/>
      </c>
      <c r="M38" s="50">
        <f>M36+M37+M26</f>
        <v/>
      </c>
      <c r="N38" s="50">
        <f>N36+N37+N26</f>
        <v/>
      </c>
      <c r="O38" s="50">
        <f>O36+O37+O26</f>
        <v/>
      </c>
      <c r="P38" s="50">
        <f>P36+P37+P26</f>
        <v/>
      </c>
      <c r="Q38" s="50">
        <f>Q36+Q37+Q26</f>
        <v/>
      </c>
      <c r="R38" s="50">
        <f>R36+R37+R26</f>
        <v/>
      </c>
      <c r="S38" s="50">
        <f>S36+S37+S26</f>
        <v/>
      </c>
      <c r="T38" s="50">
        <f>T36+T37+T26</f>
        <v/>
      </c>
      <c r="U38" s="50">
        <f>U36+U37+U26</f>
        <v/>
      </c>
      <c r="V38" s="50">
        <f>V36+V37+V26</f>
        <v/>
      </c>
      <c r="W38" s="50">
        <f>W36+W37+W26</f>
        <v/>
      </c>
      <c r="X38" s="50">
        <f>X36+X37+X26</f>
        <v/>
      </c>
      <c r="Y38" s="50">
        <f>Y36+Y37+Y26</f>
        <v/>
      </c>
      <c r="Z38" s="50">
        <f>Z36+Z37+Z26</f>
        <v/>
      </c>
    </row>
    <row r="39">
      <c r="B39" s="6" t="inlineStr">
        <is>
          <t>תזרים מהוון — תרחיש A</t>
        </is>
      </c>
      <c r="C39" s="10" t="inlineStr">
        <is>
          <t>₪</t>
        </is>
      </c>
      <c r="D39" s="10" t="inlineStr">
        <is>
          <t>חישוב</t>
        </is>
      </c>
      <c r="F39" s="50">
        <f>F38</f>
        <v/>
      </c>
      <c r="G39" s="50">
        <f>G38/(1+'נתונים והנחות'!$F$11)^1</f>
        <v/>
      </c>
      <c r="H39" s="50">
        <f>H38/(1+'נתונים והנחות'!$F$11)^2</f>
        <v/>
      </c>
      <c r="I39" s="50">
        <f>I38/(1+'נתונים והנחות'!$F$11)^3</f>
        <v/>
      </c>
      <c r="J39" s="50">
        <f>J38/(1+'נתונים והנחות'!$F$11)^4</f>
        <v/>
      </c>
      <c r="K39" s="50">
        <f>K38/(1+'נתונים והנחות'!$F$11)^5</f>
        <v/>
      </c>
      <c r="L39" s="50">
        <f>L38/(1+'נתונים והנחות'!$F$11)^6</f>
        <v/>
      </c>
      <c r="M39" s="50">
        <f>M38/(1+'נתונים והנחות'!$F$11)^7</f>
        <v/>
      </c>
      <c r="N39" s="50">
        <f>N38/(1+'נתונים והנחות'!$F$11)^8</f>
        <v/>
      </c>
      <c r="O39" s="50">
        <f>O38/(1+'נתונים והנחות'!$F$11)^9</f>
        <v/>
      </c>
      <c r="P39" s="50">
        <f>P38/(1+'נתונים והנחות'!$F$11)^10</f>
        <v/>
      </c>
      <c r="Q39" s="50">
        <f>Q38/(1+'נתונים והנחות'!$F$11)^11</f>
        <v/>
      </c>
      <c r="R39" s="50">
        <f>R38/(1+'נתונים והנחות'!$F$11)^12</f>
        <v/>
      </c>
      <c r="S39" s="50">
        <f>S38/(1+'נתונים והנחות'!$F$11)^13</f>
        <v/>
      </c>
      <c r="T39" s="50">
        <f>T38/(1+'נתונים והנחות'!$F$11)^14</f>
        <v/>
      </c>
      <c r="U39" s="50">
        <f>U38/(1+'נתונים והנחות'!$F$11)^15</f>
        <v/>
      </c>
      <c r="V39" s="50">
        <f>V38/(1+'נתונים והנחות'!$F$11)^16</f>
        <v/>
      </c>
      <c r="W39" s="50">
        <f>W38/(1+'נתונים והנחות'!$F$11)^17</f>
        <v/>
      </c>
      <c r="X39" s="50">
        <f>X38/(1+'נתונים והנחות'!$F$11)^18</f>
        <v/>
      </c>
      <c r="Y39" s="50">
        <f>Y38/(1+'נתונים והנחות'!$F$11)^19</f>
        <v/>
      </c>
      <c r="Z39" s="50">
        <f>Z38/(1+'נתונים והנחות'!$F$11)^20</f>
        <v/>
      </c>
    </row>
    <row r="40">
      <c r="B40" s="6" t="inlineStr">
        <is>
          <t>NPV מצטבר — תרחיש A</t>
        </is>
      </c>
      <c r="C40" s="10" t="inlineStr">
        <is>
          <t>₪</t>
        </is>
      </c>
      <c r="D40" s="10" t="inlineStr">
        <is>
          <t>חישוב</t>
        </is>
      </c>
      <c r="F40" s="50">
        <f>F39</f>
        <v/>
      </c>
      <c r="G40" s="50">
        <f>F40+G39</f>
        <v/>
      </c>
      <c r="H40" s="50">
        <f>G40+H39</f>
        <v/>
      </c>
      <c r="I40" s="50">
        <f>H40+I39</f>
        <v/>
      </c>
      <c r="J40" s="50">
        <f>I40+J39</f>
        <v/>
      </c>
      <c r="K40" s="50">
        <f>J40+K39</f>
        <v/>
      </c>
      <c r="L40" s="50">
        <f>K40+L39</f>
        <v/>
      </c>
      <c r="M40" s="50">
        <f>L40+M39</f>
        <v/>
      </c>
      <c r="N40" s="50">
        <f>M40+N39</f>
        <v/>
      </c>
      <c r="O40" s="50">
        <f>N40+O39</f>
        <v/>
      </c>
      <c r="P40" s="50">
        <f>O40+P39</f>
        <v/>
      </c>
      <c r="Q40" s="50">
        <f>P40+Q39</f>
        <v/>
      </c>
      <c r="R40" s="50">
        <f>Q40+R39</f>
        <v/>
      </c>
      <c r="S40" s="50">
        <f>R40+S39</f>
        <v/>
      </c>
      <c r="T40" s="50">
        <f>S40+T39</f>
        <v/>
      </c>
      <c r="U40" s="50">
        <f>T40+U39</f>
        <v/>
      </c>
      <c r="V40" s="50">
        <f>U40+V39</f>
        <v/>
      </c>
      <c r="W40" s="50">
        <f>V40+W39</f>
        <v/>
      </c>
      <c r="X40" s="50">
        <f>W40+X39</f>
        <v/>
      </c>
      <c r="Y40" s="50">
        <f>X40+Y39</f>
        <v/>
      </c>
      <c r="Z40" s="50">
        <f>Y40+Z39</f>
        <v/>
      </c>
    </row>
    <row r="42">
      <c r="B42" s="54" t="inlineStr">
        <is>
          <t>תרחיש B — רכישת משאבות חום (חימום מים) | פחת סטנדרטי (ללא תמריץ)</t>
        </is>
      </c>
    </row>
    <row r="43">
      <c r="B43" s="7" t="inlineStr">
        <is>
          <t>השקעה ראשונית</t>
        </is>
      </c>
      <c r="C43" s="10" t="inlineStr">
        <is>
          <t>₪</t>
        </is>
      </c>
      <c r="D43" s="10" t="inlineStr">
        <is>
          <t>חישוב</t>
        </is>
      </c>
      <c r="F43" s="51">
        <f>IF(ISNUMBER('נתונים והנחות'!$F$48),-'נתונים והנחות'!$F$48,"PENDING")</f>
        <v/>
      </c>
    </row>
    <row r="44">
      <c r="B44" s="7" t="inlineStr">
        <is>
          <t>OPEX אנרגיה (עם שחיקה שנתית)</t>
        </is>
      </c>
      <c r="C44" s="10" t="inlineStr">
        <is>
          <t>₪</t>
        </is>
      </c>
      <c r="D44" s="10" t="inlineStr">
        <is>
          <t>חישוב</t>
        </is>
      </c>
      <c r="F44" s="51" t="n">
        <v>0</v>
      </c>
      <c r="G44" s="51">
        <f>IF(ISNUMBER('נתונים והנחות'!$F$56),-'נתונים והנחות'!$F$56*(1-'נתונים והנחות'!$F$52)^0,0)</f>
        <v/>
      </c>
      <c r="H44" s="51">
        <f>IF(ISNUMBER('נתונים והנחות'!$F$56),-'נתונים והנחות'!$F$56*(1-'נתונים והנחות'!$F$52)^1,0)</f>
        <v/>
      </c>
      <c r="I44" s="51">
        <f>IF(ISNUMBER('נתונים והנחות'!$F$56),-'נתונים והנחות'!$F$56*(1-'נתונים והנחות'!$F$52)^2,0)</f>
        <v/>
      </c>
      <c r="J44" s="51">
        <f>IF(ISNUMBER('נתונים והנחות'!$F$56),-'נתונים והנחות'!$F$56*(1-'נתונים והנחות'!$F$52)^3,0)</f>
        <v/>
      </c>
      <c r="K44" s="51">
        <f>IF(ISNUMBER('נתונים והנחות'!$F$56),-'נתונים והנחות'!$F$56*(1-'נתונים והנחות'!$F$52)^4,0)</f>
        <v/>
      </c>
      <c r="L44" s="51">
        <f>IF(ISNUMBER('נתונים והנחות'!$F$56),-'נתונים והנחות'!$F$56*(1-'נתונים והנחות'!$F$52)^5,0)</f>
        <v/>
      </c>
      <c r="M44" s="51">
        <f>IF(ISNUMBER('נתונים והנחות'!$F$56),-'נתונים והנחות'!$F$56*(1-'נתונים והנחות'!$F$52)^6,0)</f>
        <v/>
      </c>
      <c r="N44" s="51">
        <f>IF(ISNUMBER('נתונים והנחות'!$F$56),-'נתונים והנחות'!$F$56*(1-'נתונים והנחות'!$F$52)^7,0)</f>
        <v/>
      </c>
      <c r="O44" s="51">
        <f>IF(ISNUMBER('נתונים והנחות'!$F$56),-'נתונים והנחות'!$F$56*(1-'נתונים והנחות'!$F$52)^8,0)</f>
        <v/>
      </c>
      <c r="P44" s="51">
        <f>IF(ISNUMBER('נתונים והנחות'!$F$56),-'נתונים והנחות'!$F$56*(1-'נתונים והנחות'!$F$52)^9,0)</f>
        <v/>
      </c>
      <c r="Q44" s="51">
        <f>0</f>
        <v/>
      </c>
      <c r="R44" s="51">
        <f>0</f>
        <v/>
      </c>
      <c r="S44" s="51">
        <f>0</f>
        <v/>
      </c>
      <c r="T44" s="51">
        <f>0</f>
        <v/>
      </c>
      <c r="U44" s="51">
        <f>0</f>
        <v/>
      </c>
      <c r="V44" s="51">
        <f>0</f>
        <v/>
      </c>
      <c r="W44" s="51">
        <f>0</f>
        <v/>
      </c>
      <c r="X44" s="51">
        <f>0</f>
        <v/>
      </c>
      <c r="Y44" s="51">
        <f>0</f>
        <v/>
      </c>
      <c r="Z44" s="51">
        <f>0</f>
        <v/>
      </c>
    </row>
    <row r="45">
      <c r="B45" s="7" t="inlineStr">
        <is>
          <t>OPEX אחר (תחזוקה וכו')</t>
        </is>
      </c>
      <c r="C45" s="10" t="inlineStr">
        <is>
          <t>₪</t>
        </is>
      </c>
      <c r="D45" s="10" t="inlineStr">
        <is>
          <t>חישוב</t>
        </is>
      </c>
      <c r="F45" s="51" t="n">
        <v>0</v>
      </c>
      <c r="G45" s="51">
        <f>IF(ISNUMBER('נתונים והנחות'!$F$54),-'נתונים והנחות'!$F$54,0)</f>
        <v/>
      </c>
      <c r="H45" s="51">
        <f>IF(ISNUMBER('נתונים והנחות'!$F$54),-'נתונים והנחות'!$F$54,0)</f>
        <v/>
      </c>
      <c r="I45" s="51">
        <f>IF(ISNUMBER('נתונים והנחות'!$F$54),-'נתונים והנחות'!$F$54,0)</f>
        <v/>
      </c>
      <c r="J45" s="51">
        <f>IF(ISNUMBER('נתונים והנחות'!$F$54),-'נתונים והנחות'!$F$54,0)</f>
        <v/>
      </c>
      <c r="K45" s="51">
        <f>IF(ISNUMBER('נתונים והנחות'!$F$54),-'נתונים והנחות'!$F$54,0)</f>
        <v/>
      </c>
      <c r="L45" s="51">
        <f>IF(ISNUMBER('נתונים והנחות'!$F$54),-'נתונים והנחות'!$F$54,0)</f>
        <v/>
      </c>
      <c r="M45" s="51">
        <f>IF(ISNUMBER('נתונים והנחות'!$F$54),-'נתונים והנחות'!$F$54,0)</f>
        <v/>
      </c>
      <c r="N45" s="51">
        <f>IF(ISNUMBER('נתונים והנחות'!$F$54),-'נתונים והנחות'!$F$54,0)</f>
        <v/>
      </c>
      <c r="O45" s="51">
        <f>IF(ISNUMBER('נתונים והנחות'!$F$54),-'נתונים והנחות'!$F$54,0)</f>
        <v/>
      </c>
      <c r="P45" s="51">
        <f>IF(ISNUMBER('נתונים והנחות'!$F$54),-'נתונים והנחות'!$F$54,0)</f>
        <v/>
      </c>
      <c r="Q45" s="51">
        <f>0</f>
        <v/>
      </c>
      <c r="R45" s="51">
        <f>0</f>
        <v/>
      </c>
      <c r="S45" s="51">
        <f>0</f>
        <v/>
      </c>
      <c r="T45" s="51">
        <f>0</f>
        <v/>
      </c>
      <c r="U45" s="51">
        <f>0</f>
        <v/>
      </c>
      <c r="V45" s="51">
        <f>0</f>
        <v/>
      </c>
      <c r="W45" s="51">
        <f>0</f>
        <v/>
      </c>
      <c r="X45" s="51">
        <f>0</f>
        <v/>
      </c>
      <c r="Y45" s="51">
        <f>0</f>
        <v/>
      </c>
      <c r="Z45" s="51">
        <f>0</f>
        <v/>
      </c>
    </row>
    <row r="46">
      <c r="B46" s="7" t="inlineStr">
        <is>
          <t>תזרים נקי — תרחיש B</t>
        </is>
      </c>
      <c r="C46" s="10" t="inlineStr">
        <is>
          <t>₪</t>
        </is>
      </c>
      <c r="D46" s="10" t="inlineStr">
        <is>
          <t>חישוב</t>
        </is>
      </c>
      <c r="F46" s="51">
        <f>F43</f>
        <v/>
      </c>
      <c r="G46" s="51">
        <f>G44+G45+G28</f>
        <v/>
      </c>
      <c r="H46" s="51">
        <f>H44+H45+H28</f>
        <v/>
      </c>
      <c r="I46" s="51">
        <f>I44+I45+I28</f>
        <v/>
      </c>
      <c r="J46" s="51">
        <f>J44+J45+J28</f>
        <v/>
      </c>
      <c r="K46" s="51">
        <f>K44+K45+K28</f>
        <v/>
      </c>
      <c r="L46" s="51">
        <f>L44+L45+L28</f>
        <v/>
      </c>
      <c r="M46" s="51">
        <f>M44+M45+M28</f>
        <v/>
      </c>
      <c r="N46" s="51">
        <f>N44+N45+N28</f>
        <v/>
      </c>
      <c r="O46" s="51">
        <f>O44+O45+O28</f>
        <v/>
      </c>
      <c r="P46" s="51">
        <f>P44+P45+P28</f>
        <v/>
      </c>
      <c r="Q46" s="51">
        <f>Q44+Q45+Q28</f>
        <v/>
      </c>
      <c r="R46" s="51">
        <f>R44+R45+R28</f>
        <v/>
      </c>
      <c r="S46" s="51">
        <f>S44+S45+S28</f>
        <v/>
      </c>
      <c r="T46" s="51">
        <f>T44+T45+T28</f>
        <v/>
      </c>
      <c r="U46" s="51">
        <f>U44+U45+U28</f>
        <v/>
      </c>
      <c r="V46" s="51">
        <f>V44+V45+V28</f>
        <v/>
      </c>
      <c r="W46" s="51">
        <f>W44+W45+W28</f>
        <v/>
      </c>
      <c r="X46" s="51">
        <f>X44+X45+X28</f>
        <v/>
      </c>
      <c r="Y46" s="51">
        <f>Y44+Y45+Y28</f>
        <v/>
      </c>
      <c r="Z46" s="51">
        <f>Z44+Z45+Z28</f>
        <v/>
      </c>
    </row>
    <row r="47">
      <c r="B47" s="7" t="inlineStr">
        <is>
          <t>תזרים מהוון — תרחיש B</t>
        </is>
      </c>
      <c r="C47" s="10" t="inlineStr">
        <is>
          <t>₪</t>
        </is>
      </c>
      <c r="D47" s="10" t="inlineStr">
        <is>
          <t>חישוב</t>
        </is>
      </c>
      <c r="F47" s="51">
        <f>F46</f>
        <v/>
      </c>
      <c r="G47" s="51">
        <f>G46/(1+'נתונים והנחות'!$F$11)^1</f>
        <v/>
      </c>
      <c r="H47" s="51">
        <f>H46/(1+'נתונים והנחות'!$F$11)^2</f>
        <v/>
      </c>
      <c r="I47" s="51">
        <f>I46/(1+'נתונים והנחות'!$F$11)^3</f>
        <v/>
      </c>
      <c r="J47" s="51">
        <f>J46/(1+'נתונים והנחות'!$F$11)^4</f>
        <v/>
      </c>
      <c r="K47" s="51">
        <f>K46/(1+'נתונים והנחות'!$F$11)^5</f>
        <v/>
      </c>
      <c r="L47" s="51">
        <f>L46/(1+'נתונים והנחות'!$F$11)^6</f>
        <v/>
      </c>
      <c r="M47" s="51">
        <f>M46/(1+'נתונים והנחות'!$F$11)^7</f>
        <v/>
      </c>
      <c r="N47" s="51">
        <f>N46/(1+'נתונים והנחות'!$F$11)^8</f>
        <v/>
      </c>
      <c r="O47" s="51">
        <f>O46/(1+'נתונים והנחות'!$F$11)^9</f>
        <v/>
      </c>
      <c r="P47" s="51">
        <f>P46/(1+'נתונים והנחות'!$F$11)^10</f>
        <v/>
      </c>
      <c r="Q47" s="51">
        <f>Q46/(1+'נתונים והנחות'!$F$11)^11</f>
        <v/>
      </c>
      <c r="R47" s="51">
        <f>R46/(1+'נתונים והנחות'!$F$11)^12</f>
        <v/>
      </c>
      <c r="S47" s="51">
        <f>S46/(1+'נתונים והנחות'!$F$11)^13</f>
        <v/>
      </c>
      <c r="T47" s="51">
        <f>T46/(1+'נתונים והנחות'!$F$11)^14</f>
        <v/>
      </c>
      <c r="U47" s="51">
        <f>U46/(1+'נתונים והנחות'!$F$11)^15</f>
        <v/>
      </c>
      <c r="V47" s="51">
        <f>V46/(1+'נתונים והנחות'!$F$11)^16</f>
        <v/>
      </c>
      <c r="W47" s="51">
        <f>W46/(1+'נתונים והנחות'!$F$11)^17</f>
        <v/>
      </c>
      <c r="X47" s="51">
        <f>X46/(1+'נתונים והנחות'!$F$11)^18</f>
        <v/>
      </c>
      <c r="Y47" s="51">
        <f>Y46/(1+'נתונים והנחות'!$F$11)^19</f>
        <v/>
      </c>
      <c r="Z47" s="51">
        <f>Z46/(1+'נתונים והנחות'!$F$11)^20</f>
        <v/>
      </c>
    </row>
    <row r="48">
      <c r="B48" s="7" t="inlineStr">
        <is>
          <t>NPV מצטבר — תרחיש B</t>
        </is>
      </c>
      <c r="C48" s="10" t="inlineStr">
        <is>
          <t>₪</t>
        </is>
      </c>
      <c r="D48" s="10" t="inlineStr">
        <is>
          <t>חישוב</t>
        </is>
      </c>
      <c r="F48" s="51">
        <f>F47</f>
        <v/>
      </c>
      <c r="G48" s="51">
        <f>F48+G47</f>
        <v/>
      </c>
      <c r="H48" s="51">
        <f>G48+H47</f>
        <v/>
      </c>
      <c r="I48" s="51">
        <f>H48+I47</f>
        <v/>
      </c>
      <c r="J48" s="51">
        <f>I48+J47</f>
        <v/>
      </c>
      <c r="K48" s="51">
        <f>J48+K47</f>
        <v/>
      </c>
      <c r="L48" s="51">
        <f>K48+L47</f>
        <v/>
      </c>
      <c r="M48" s="51">
        <f>L48+M47</f>
        <v/>
      </c>
      <c r="N48" s="51">
        <f>M48+N47</f>
        <v/>
      </c>
      <c r="O48" s="51">
        <f>N48+O47</f>
        <v/>
      </c>
      <c r="P48" s="51">
        <f>O48+P47</f>
        <v/>
      </c>
      <c r="Q48" s="51">
        <f>P48+Q47</f>
        <v/>
      </c>
      <c r="R48" s="51">
        <f>Q48+R47</f>
        <v/>
      </c>
      <c r="S48" s="51">
        <f>R48+S47</f>
        <v/>
      </c>
      <c r="T48" s="51">
        <f>S48+T47</f>
        <v/>
      </c>
      <c r="U48" s="51">
        <f>T48+U47</f>
        <v/>
      </c>
      <c r="V48" s="51">
        <f>U48+V47</f>
        <v/>
      </c>
      <c r="W48" s="51">
        <f>V48+W47</f>
        <v/>
      </c>
      <c r="X48" s="51">
        <f>W48+X47</f>
        <v/>
      </c>
      <c r="Y48" s="51">
        <f>X48+Y47</f>
        <v/>
      </c>
      <c r="Z48" s="51">
        <f>Y48+Z47</f>
        <v/>
      </c>
    </row>
    <row r="50">
      <c r="B50" s="55" t="inlineStr">
        <is>
          <t>תרחיש C — רכישת משאבות חום (חימום מים) | פחת מואץ (עם תמריץ)</t>
        </is>
      </c>
    </row>
    <row r="51">
      <c r="B51" s="47" t="inlineStr">
        <is>
          <t>* OPEX זהה לתרחיש B — ההבדל הוא מגן המס המואץ בלבד</t>
        </is>
      </c>
    </row>
    <row r="52">
      <c r="B52" s="8" t="inlineStr">
        <is>
          <t>תזרים נקי — תרחיש C</t>
        </is>
      </c>
      <c r="C52" s="10" t="inlineStr">
        <is>
          <t>₪</t>
        </is>
      </c>
      <c r="D52" s="10" t="inlineStr">
        <is>
          <t>חישוב</t>
        </is>
      </c>
      <c r="F52" s="52">
        <f>F43</f>
        <v/>
      </c>
      <c r="G52" s="52">
        <f>G44+G45+G30</f>
        <v/>
      </c>
      <c r="H52" s="52">
        <f>H44+H45+H30</f>
        <v/>
      </c>
      <c r="I52" s="52">
        <f>I44+I45+I30</f>
        <v/>
      </c>
      <c r="J52" s="52">
        <f>J44+J45+J30</f>
        <v/>
      </c>
      <c r="K52" s="52">
        <f>K44+K45+K30</f>
        <v/>
      </c>
      <c r="L52" s="52">
        <f>L44+L45+L30</f>
        <v/>
      </c>
      <c r="M52" s="52">
        <f>M44+M45+M30</f>
        <v/>
      </c>
      <c r="N52" s="52">
        <f>N44+N45+N30</f>
        <v/>
      </c>
      <c r="O52" s="52">
        <f>O44+O45+O30</f>
        <v/>
      </c>
      <c r="P52" s="52">
        <f>P44+P45+P30</f>
        <v/>
      </c>
      <c r="Q52" s="52">
        <f>Q44+Q45+Q30</f>
        <v/>
      </c>
      <c r="R52" s="52">
        <f>R44+R45+R30</f>
        <v/>
      </c>
      <c r="S52" s="52">
        <f>S44+S45+S30</f>
        <v/>
      </c>
      <c r="T52" s="52">
        <f>T44+T45+T30</f>
        <v/>
      </c>
      <c r="U52" s="52">
        <f>U44+U45+U30</f>
        <v/>
      </c>
      <c r="V52" s="52">
        <f>V44+V45+V30</f>
        <v/>
      </c>
      <c r="W52" s="52">
        <f>W44+W45+W30</f>
        <v/>
      </c>
      <c r="X52" s="52">
        <f>X44+X45+X30</f>
        <v/>
      </c>
      <c r="Y52" s="52">
        <f>Y44+Y45+Y30</f>
        <v/>
      </c>
      <c r="Z52" s="52">
        <f>Z44+Z45+Z30</f>
        <v/>
      </c>
    </row>
    <row r="53">
      <c r="B53" s="8" t="inlineStr">
        <is>
          <t>תזרים מהוון — תרחיש C</t>
        </is>
      </c>
      <c r="C53" s="10" t="inlineStr">
        <is>
          <t>₪</t>
        </is>
      </c>
      <c r="D53" s="10" t="inlineStr">
        <is>
          <t>חישוב</t>
        </is>
      </c>
      <c r="F53" s="52">
        <f>F52</f>
        <v/>
      </c>
      <c r="G53" s="52">
        <f>G52/(1+'נתונים והנחות'!$F$11)^1</f>
        <v/>
      </c>
      <c r="H53" s="52">
        <f>H52/(1+'נתונים והנחות'!$F$11)^2</f>
        <v/>
      </c>
      <c r="I53" s="52">
        <f>I52/(1+'נתונים והנחות'!$F$11)^3</f>
        <v/>
      </c>
      <c r="J53" s="52">
        <f>J52/(1+'נתונים והנחות'!$F$11)^4</f>
        <v/>
      </c>
      <c r="K53" s="52">
        <f>K52/(1+'נתונים והנחות'!$F$11)^5</f>
        <v/>
      </c>
      <c r="L53" s="52">
        <f>L52/(1+'נתונים והנחות'!$F$11)^6</f>
        <v/>
      </c>
      <c r="M53" s="52">
        <f>M52/(1+'נתונים והנחות'!$F$11)^7</f>
        <v/>
      </c>
      <c r="N53" s="52">
        <f>N52/(1+'נתונים והנחות'!$F$11)^8</f>
        <v/>
      </c>
      <c r="O53" s="52">
        <f>O52/(1+'נתונים והנחות'!$F$11)^9</f>
        <v/>
      </c>
      <c r="P53" s="52">
        <f>P52/(1+'נתונים והנחות'!$F$11)^10</f>
        <v/>
      </c>
      <c r="Q53" s="52">
        <f>Q52/(1+'נתונים והנחות'!$F$11)^11</f>
        <v/>
      </c>
      <c r="R53" s="52">
        <f>R52/(1+'נתונים והנחות'!$F$11)^12</f>
        <v/>
      </c>
      <c r="S53" s="52">
        <f>S52/(1+'נתונים והנחות'!$F$11)^13</f>
        <v/>
      </c>
      <c r="T53" s="52">
        <f>T52/(1+'נתונים והנחות'!$F$11)^14</f>
        <v/>
      </c>
      <c r="U53" s="52">
        <f>U52/(1+'נתונים והנחות'!$F$11)^15</f>
        <v/>
      </c>
      <c r="V53" s="52">
        <f>V52/(1+'נתונים והנחות'!$F$11)^16</f>
        <v/>
      </c>
      <c r="W53" s="52">
        <f>W52/(1+'נתונים והנחות'!$F$11)^17</f>
        <v/>
      </c>
      <c r="X53" s="52">
        <f>X52/(1+'נתונים והנחות'!$F$11)^18</f>
        <v/>
      </c>
      <c r="Y53" s="52">
        <f>Y52/(1+'נתונים והנחות'!$F$11)^19</f>
        <v/>
      </c>
      <c r="Z53" s="52">
        <f>Z52/(1+'נתונים והנחות'!$F$11)^20</f>
        <v/>
      </c>
    </row>
    <row r="54">
      <c r="B54" s="8" t="inlineStr">
        <is>
          <t>NPV מצטבר — תרחיש C</t>
        </is>
      </c>
      <c r="C54" s="10" t="inlineStr">
        <is>
          <t>₪</t>
        </is>
      </c>
      <c r="D54" s="10" t="inlineStr">
        <is>
          <t>חישוב</t>
        </is>
      </c>
      <c r="F54" s="52">
        <f>F53</f>
        <v/>
      </c>
      <c r="G54" s="52">
        <f>F54+G53</f>
        <v/>
      </c>
      <c r="H54" s="52">
        <f>G54+H53</f>
        <v/>
      </c>
      <c r="I54" s="52">
        <f>H54+I53</f>
        <v/>
      </c>
      <c r="J54" s="52">
        <f>I54+J53</f>
        <v/>
      </c>
      <c r="K54" s="52">
        <f>J54+K53</f>
        <v/>
      </c>
      <c r="L54" s="52">
        <f>K54+L53</f>
        <v/>
      </c>
      <c r="M54" s="52">
        <f>L54+M53</f>
        <v/>
      </c>
      <c r="N54" s="52">
        <f>M54+N53</f>
        <v/>
      </c>
      <c r="O54" s="52">
        <f>N54+O53</f>
        <v/>
      </c>
      <c r="P54" s="52">
        <f>O54+P53</f>
        <v/>
      </c>
      <c r="Q54" s="52">
        <f>P54+Q53</f>
        <v/>
      </c>
      <c r="R54" s="52">
        <f>Q54+R53</f>
        <v/>
      </c>
      <c r="S54" s="52">
        <f>R54+S53</f>
        <v/>
      </c>
      <c r="T54" s="52">
        <f>S54+T53</f>
        <v/>
      </c>
      <c r="U54" s="52">
        <f>T54+U53</f>
        <v/>
      </c>
      <c r="V54" s="52">
        <f>U54+V53</f>
        <v/>
      </c>
      <c r="W54" s="52">
        <f>V54+W53</f>
        <v/>
      </c>
      <c r="X54" s="52">
        <f>W54+X53</f>
        <v/>
      </c>
      <c r="Y54" s="52">
        <f>X54+Y53</f>
        <v/>
      </c>
      <c r="Z54" s="52">
        <f>Y54+Z53</f>
        <v/>
      </c>
    </row>
    <row r="56">
      <c r="B56" s="49" t="inlineStr">
        <is>
          <t>ד. תוצאות</t>
        </is>
      </c>
    </row>
    <row r="57">
      <c r="B57" s="56" t="inlineStr">
        <is>
          <t>NPV — תרחיש A (תנור מזוט/סולר)</t>
        </is>
      </c>
      <c r="C57" s="10" t="inlineStr">
        <is>
          <t>ש"ח</t>
        </is>
      </c>
      <c r="F57" s="50">
        <f>SUM(F39:Z39)</f>
        <v/>
      </c>
    </row>
    <row r="58">
      <c r="B58" s="57" t="inlineStr">
        <is>
          <t>NPV — תרחיש B (משאבות חום (חימום מים), ללא תמריץ)</t>
        </is>
      </c>
      <c r="C58" s="10" t="inlineStr">
        <is>
          <t>ש"ח</t>
        </is>
      </c>
      <c r="F58" s="51">
        <f>SUM(F47:Z47)</f>
        <v/>
      </c>
    </row>
    <row r="59">
      <c r="B59" s="58" t="inlineStr">
        <is>
          <t>NPV — תרחיש C (משאבות חום (חימום מים), עם תמריץ)</t>
        </is>
      </c>
      <c r="C59" s="10" t="inlineStr">
        <is>
          <t>ש"ח</t>
        </is>
      </c>
      <c r="F59" s="52">
        <f>SUM(F53:Z53)</f>
        <v/>
      </c>
    </row>
    <row r="61">
      <c r="B61" s="59" t="inlineStr">
        <is>
          <t>NPV מצטבר — הצדקת השדרוג (B−A)</t>
        </is>
      </c>
      <c r="C61" s="10" t="inlineStr">
        <is>
          <t>ש"ח</t>
        </is>
      </c>
      <c r="F61" s="60">
        <f>F58-F57</f>
        <v/>
      </c>
    </row>
    <row r="62">
      <c r="B62" s="61" t="inlineStr">
        <is>
          <t>ערך התמריץ — תועלת הפחת המואץ (C−B)</t>
        </is>
      </c>
      <c r="C62" s="10" t="inlineStr">
        <is>
          <t>ש"ח</t>
        </is>
      </c>
      <c r="F62" s="62">
        <f>F59-F58</f>
        <v/>
      </c>
    </row>
    <row r="64">
      <c r="B64" s="56" t="inlineStr">
        <is>
          <t>ROI — תרחיש A</t>
        </is>
      </c>
      <c r="C64" s="10" t="inlineStr">
        <is>
          <t>%</t>
        </is>
      </c>
      <c r="F64" s="63">
        <f>IF(ISNUMBER('נתונים והנחות'!$F$47),(SUM(F39:Z39)+'נתונים והנחות'!$F$47)/'נתונים והנחות'!$F$47,"PENDING")</f>
        <v/>
      </c>
    </row>
    <row r="65">
      <c r="B65" s="57" t="inlineStr">
        <is>
          <t>ROI — תרחיש B</t>
        </is>
      </c>
      <c r="C65" s="10" t="inlineStr">
        <is>
          <t>%</t>
        </is>
      </c>
      <c r="F65" s="64">
        <f>IF(ISNUMBER('נתונים והנחות'!$F$48),(SUM(F47:Z47)+'נתונים והנחות'!$F$48)/'נתונים והנחות'!$F$48,"PENDING")</f>
        <v/>
      </c>
    </row>
    <row r="66">
      <c r="B66" s="58" t="inlineStr">
        <is>
          <t>ROI — תרחיש C</t>
        </is>
      </c>
      <c r="C66" s="10" t="inlineStr">
        <is>
          <t>%</t>
        </is>
      </c>
      <c r="F66" s="65">
        <f>IF(ISNUMBER('נתונים והנחות'!$F$48),(SUM(F53:Z53)+'נתונים והנחות'!$F$48)/'נתונים והנחות'!$F$48,"PENDING")</f>
        <v/>
      </c>
    </row>
    <row r="68">
      <c r="B68" s="59" t="inlineStr">
        <is>
          <t>תקופת החזר ΔCapEx ללא תמריץ (B−A)</t>
        </is>
      </c>
      <c r="C68" s="10" t="inlineStr">
        <is>
          <t>שנים</t>
        </is>
      </c>
      <c r="E68" s="47" t="inlineStr">
        <is>
          <t>זמן להחזר ההשקעה הנוספת | מחושב על ΔCF = CF_B − CF_A</t>
        </is>
      </c>
      <c r="F68" s="66">
        <f>IFERROR(MATCH(1,(F74:Z74&gt;0)*1,0)-2+ABS(INDEX(F74:Z74,MATCH(1,(F74:Z74&gt;0)*1,0)-1))/(INDEX(F74:Z74,MATCH(1,(F74:Z74&gt;0)*1,0))-INDEX(F74:Z74,MATCH(1,(F74:Z74&gt;0)*1,0)-1)),"לא מגיע לפירעון")</f>
        <v/>
      </c>
    </row>
    <row r="69">
      <c r="B69" s="67" t="inlineStr">
        <is>
          <t>תקופת החזר ΔCapEx עם תמריץ (C−A)</t>
        </is>
      </c>
      <c r="C69" s="68" t="inlineStr">
        <is>
          <t>שנים</t>
        </is>
      </c>
      <c r="E69" s="47" t="inlineStr">
        <is>
          <t>כולל יתרון מגן המס המואץ | מחושב על ΔCF = CF_C − CF_A</t>
        </is>
      </c>
      <c r="F69" s="69">
        <f>IFERROR(MATCH(1,(F75:Z75&gt;0)*1,0)-2+ABS(INDEX(F75:Z75,MATCH(1,(F75:Z75&gt;0)*1,0)-1))/(INDEX(F75:Z75,MATCH(1,(F75:Z75&gt;0)*1,0))-INDEX(F75:Z75,MATCH(1,(F75:Z75&gt;0)*1,0)-1)),"לא מגיע לפירעון")</f>
        <v/>
      </c>
    </row>
    <row r="72">
      <c r="B72" s="49" t="inlineStr">
        <is>
          <t>NPV מצטבר — מנקודת מבט ΔCapEx (לחישוב תקופת החזר על השקעה נוספת)</t>
        </is>
      </c>
    </row>
    <row r="73">
      <c r="B73" s="24" t="inlineStr">
        <is>
          <t>פרמטר</t>
        </is>
      </c>
      <c r="C73" s="24" t="inlineStr">
        <is>
          <t>יחידות</t>
        </is>
      </c>
      <c r="D73" s="24" t="inlineStr">
        <is>
          <t>מקור</t>
        </is>
      </c>
      <c r="E73" s="24" t="inlineStr">
        <is>
          <t>הערות</t>
        </is>
      </c>
      <c r="F73" s="24" t="inlineStr">
        <is>
          <t>שנה 0</t>
        </is>
      </c>
      <c r="G73" s="24" t="inlineStr">
        <is>
          <t>שנה 1</t>
        </is>
      </c>
      <c r="H73" s="24" t="inlineStr">
        <is>
          <t>שנה 2</t>
        </is>
      </c>
      <c r="I73" s="24" t="inlineStr">
        <is>
          <t>שנה 3</t>
        </is>
      </c>
      <c r="J73" s="24" t="inlineStr">
        <is>
          <t>שנה 4</t>
        </is>
      </c>
      <c r="K73" s="24" t="inlineStr">
        <is>
          <t>שנה 5</t>
        </is>
      </c>
      <c r="L73" s="24" t="inlineStr">
        <is>
          <t>שנה 6</t>
        </is>
      </c>
      <c r="M73" s="24" t="inlineStr">
        <is>
          <t>שנה 7</t>
        </is>
      </c>
      <c r="N73" s="24" t="inlineStr">
        <is>
          <t>שנה 8</t>
        </is>
      </c>
      <c r="O73" s="24" t="inlineStr">
        <is>
          <t>שנה 9</t>
        </is>
      </c>
      <c r="P73" s="24" t="inlineStr">
        <is>
          <t>שנה 10</t>
        </is>
      </c>
      <c r="Q73" s="24" t="inlineStr">
        <is>
          <t>שנה 11</t>
        </is>
      </c>
      <c r="R73" s="24" t="inlineStr">
        <is>
          <t>שנה 12</t>
        </is>
      </c>
      <c r="S73" s="24" t="inlineStr">
        <is>
          <t>שנה 13</t>
        </is>
      </c>
      <c r="T73" s="24" t="inlineStr">
        <is>
          <t>שנה 14</t>
        </is>
      </c>
      <c r="U73" s="24" t="inlineStr">
        <is>
          <t>שנה 15</t>
        </is>
      </c>
      <c r="V73" s="24" t="inlineStr">
        <is>
          <t>שנה 16</t>
        </is>
      </c>
      <c r="W73" s="24" t="inlineStr">
        <is>
          <t>שנה 17</t>
        </is>
      </c>
      <c r="X73" s="24" t="inlineStr">
        <is>
          <t>שנה 18</t>
        </is>
      </c>
      <c r="Y73" s="24" t="inlineStr">
        <is>
          <t>שנה 19</t>
        </is>
      </c>
      <c r="Z73" s="24" t="inlineStr">
        <is>
          <t>שנה 20</t>
        </is>
      </c>
    </row>
    <row r="74">
      <c r="B74" s="2" t="inlineStr">
        <is>
          <t>NPV מצטבר ΔCF — שדרוג ללא תמריץ (B−A)</t>
        </is>
      </c>
      <c r="C74" s="10" t="inlineStr">
        <is>
          <t>₪</t>
        </is>
      </c>
      <c r="D74" s="10" t="inlineStr">
        <is>
          <t>חישוב</t>
        </is>
      </c>
      <c r="F74" s="60">
        <f>IF(ISNUMBER('נתונים והנחות'!$F$49),-'נתונים והנחות'!$F$49,"PENDING")</f>
        <v/>
      </c>
      <c r="G74" s="60">
        <f>F74+(G47-G39)</f>
        <v/>
      </c>
      <c r="H74" s="60">
        <f>G74+(H47-H39)</f>
        <v/>
      </c>
      <c r="I74" s="60">
        <f>H74+(I47-I39)</f>
        <v/>
      </c>
      <c r="J74" s="60">
        <f>I74+(J47-J39)</f>
        <v/>
      </c>
      <c r="K74" s="60">
        <f>J74+(K47-K39)</f>
        <v/>
      </c>
      <c r="L74" s="60">
        <f>K74+(L47-L39)</f>
        <v/>
      </c>
      <c r="M74" s="60">
        <f>L74+(M47-M39)</f>
        <v/>
      </c>
      <c r="N74" s="60">
        <f>M74+(N47-N39)</f>
        <v/>
      </c>
      <c r="O74" s="60">
        <f>N74+(O47-O39)</f>
        <v/>
      </c>
      <c r="P74" s="60">
        <f>O74+(P47-P39)</f>
        <v/>
      </c>
      <c r="Q74" s="60">
        <f>P74+(Q47-Q39)</f>
        <v/>
      </c>
      <c r="R74" s="60">
        <f>Q74+(R47-R39)</f>
        <v/>
      </c>
      <c r="S74" s="60">
        <f>R74+(S47-S39)</f>
        <v/>
      </c>
      <c r="T74" s="60">
        <f>S74+(T47-T39)</f>
        <v/>
      </c>
      <c r="U74" s="60">
        <f>T74+(U47-U39)</f>
        <v/>
      </c>
      <c r="V74" s="60">
        <f>U74+(V47-V39)</f>
        <v/>
      </c>
      <c r="W74" s="60">
        <f>V74+(W47-W39)</f>
        <v/>
      </c>
      <c r="X74" s="60">
        <f>W74+(X47-X39)</f>
        <v/>
      </c>
      <c r="Y74" s="60">
        <f>X74+(Y47-Y39)</f>
        <v/>
      </c>
      <c r="Z74" s="60">
        <f>Y74+(Z47-Z39)</f>
        <v/>
      </c>
    </row>
    <row r="75">
      <c r="B75" s="44" t="inlineStr">
        <is>
          <t>NPV מצטבר ΔCF — שדרוג עם תמריץ (C−A)</t>
        </is>
      </c>
      <c r="C75" s="10" t="inlineStr">
        <is>
          <t>₪</t>
        </is>
      </c>
      <c r="D75" s="10" t="inlineStr">
        <is>
          <t>חישוב</t>
        </is>
      </c>
      <c r="F75" s="62">
        <f>IF(ISNUMBER('נתונים והנחות'!$F$49),-'נתונים והנחות'!$F$49,"PENDING")</f>
        <v/>
      </c>
      <c r="G75" s="62">
        <f>F75+(G53-G39)</f>
        <v/>
      </c>
      <c r="H75" s="62">
        <f>G75+(H53-H39)</f>
        <v/>
      </c>
      <c r="I75" s="62">
        <f>H75+(I53-I39)</f>
        <v/>
      </c>
      <c r="J75" s="62">
        <f>I75+(J53-J39)</f>
        <v/>
      </c>
      <c r="K75" s="62">
        <f>J75+(K53-K39)</f>
        <v/>
      </c>
      <c r="L75" s="62">
        <f>K75+(L53-L39)</f>
        <v/>
      </c>
      <c r="M75" s="62">
        <f>L75+(M53-M39)</f>
        <v/>
      </c>
      <c r="N75" s="62">
        <f>M75+(N53-N39)</f>
        <v/>
      </c>
      <c r="O75" s="62">
        <f>N75+(O53-O39)</f>
        <v/>
      </c>
      <c r="P75" s="62">
        <f>O75+(P53-P39)</f>
        <v/>
      </c>
      <c r="Q75" s="62">
        <f>P75+(Q53-Q39)</f>
        <v/>
      </c>
      <c r="R75" s="62">
        <f>Q75+(R53-R39)</f>
        <v/>
      </c>
      <c r="S75" s="62">
        <f>R75+(S53-S39)</f>
        <v/>
      </c>
      <c r="T75" s="62">
        <f>S75+(T53-T39)</f>
        <v/>
      </c>
      <c r="U75" s="62">
        <f>T75+(U53-U39)</f>
        <v/>
      </c>
      <c r="V75" s="62">
        <f>U75+(V53-V39)</f>
        <v/>
      </c>
      <c r="W75" s="62">
        <f>V75+(W53-W39)</f>
        <v/>
      </c>
      <c r="X75" s="62">
        <f>W75+(X53-X39)</f>
        <v/>
      </c>
      <c r="Y75" s="62">
        <f>X75+(Y53-Y39)</f>
        <v/>
      </c>
      <c r="Z75" s="62">
        <f>Y75+(Z53-Z39)</f>
        <v/>
      </c>
    </row>
    <row r="79">
      <c r="B79" s="48" t="inlineStr">
        <is>
          <t>3.2  צ'ילרים</t>
        </is>
      </c>
    </row>
    <row r="80">
      <c r="B80" s="47" t="inlineStr">
        <is>
          <t>* שדרוג מערכת קירור תעשייתית | אורך חיים: 17 vs 15 שנה | כל הנתונים: גיליון 'נתונים והנחות' — סעיף 4</t>
        </is>
      </c>
    </row>
    <row r="81">
      <c r="B81" s="49" t="inlineStr">
        <is>
          <t>ב. לוחות פחת (ציוד בסיסי vs. יעיל)</t>
        </is>
      </c>
    </row>
    <row r="82">
      <c r="B82" s="24" t="inlineStr">
        <is>
          <t>פרמטר</t>
        </is>
      </c>
      <c r="C82" s="24" t="inlineStr">
        <is>
          <t>יחידות</t>
        </is>
      </c>
      <c r="D82" s="24" t="inlineStr">
        <is>
          <t>מקור</t>
        </is>
      </c>
      <c r="E82" s="24" t="inlineStr">
        <is>
          <t>הערות</t>
        </is>
      </c>
      <c r="F82" s="24" t="inlineStr">
        <is>
          <t>שנה 0 (השקעה)</t>
        </is>
      </c>
      <c r="G82" s="24" t="inlineStr">
        <is>
          <t>שנה 1</t>
        </is>
      </c>
      <c r="H82" s="24" t="inlineStr">
        <is>
          <t>שנה 2</t>
        </is>
      </c>
      <c r="I82" s="24" t="inlineStr">
        <is>
          <t>שנה 3</t>
        </is>
      </c>
      <c r="J82" s="24" t="inlineStr">
        <is>
          <t>שנה 4</t>
        </is>
      </c>
      <c r="K82" s="24" t="inlineStr">
        <is>
          <t>שנה 5</t>
        </is>
      </c>
      <c r="L82" s="24" t="inlineStr">
        <is>
          <t>שנה 6</t>
        </is>
      </c>
      <c r="M82" s="24" t="inlineStr">
        <is>
          <t>שנה 7</t>
        </is>
      </c>
      <c r="N82" s="24" t="inlineStr">
        <is>
          <t>שנה 8</t>
        </is>
      </c>
      <c r="O82" s="24" t="inlineStr">
        <is>
          <t>שנה 9</t>
        </is>
      </c>
      <c r="P82" s="24" t="inlineStr">
        <is>
          <t>שנה 10</t>
        </is>
      </c>
      <c r="Q82" s="24" t="inlineStr">
        <is>
          <t>שנה 11</t>
        </is>
      </c>
      <c r="R82" s="24" t="inlineStr">
        <is>
          <t>שנה 12</t>
        </is>
      </c>
      <c r="S82" s="24" t="inlineStr">
        <is>
          <t>שנה 13</t>
        </is>
      </c>
      <c r="T82" s="24" t="inlineStr">
        <is>
          <t>שנה 14</t>
        </is>
      </c>
      <c r="U82" s="24" t="inlineStr">
        <is>
          <t>שנה 15</t>
        </is>
      </c>
      <c r="V82" s="24" t="inlineStr">
        <is>
          <t>שנה 16</t>
        </is>
      </c>
      <c r="W82" s="24" t="inlineStr">
        <is>
          <t>שנה 17</t>
        </is>
      </c>
      <c r="X82" s="24" t="inlineStr">
        <is>
          <t>שנה 18</t>
        </is>
      </c>
      <c r="Y82" s="24" t="inlineStr">
        <is>
          <t>שנה 19</t>
        </is>
      </c>
      <c r="Z82" s="24" t="inlineStr">
        <is>
          <t>שנה 20</t>
        </is>
      </c>
    </row>
    <row r="83">
      <c r="B83" s="6" t="inlineStr">
        <is>
          <t>פחת סטנדרטי — מערכת קירור קונבנציונלית</t>
        </is>
      </c>
      <c r="C83" s="10" t="inlineStr">
        <is>
          <t>₪</t>
        </is>
      </c>
      <c r="D83" s="10" t="inlineStr">
        <is>
          <t>חישוב</t>
        </is>
      </c>
      <c r="E83" s="10" t="inlineStr">
        <is>
          <t>קו ישר | 10%/שנה | עד 10 שנים | CapEx בסיסי</t>
        </is>
      </c>
      <c r="F83" s="50" t="n">
        <v>0</v>
      </c>
      <c r="G83" s="50">
        <f>IF(ISNUMBER('נתונים והנחות'!$G$47),'נתונים והנחות'!$G$47*0.1,0)</f>
        <v/>
      </c>
      <c r="H83" s="50">
        <f>IF(ISNUMBER('נתונים והנחות'!$G$47),'נתונים והנחות'!$G$47*0.1,0)</f>
        <v/>
      </c>
      <c r="I83" s="50">
        <f>IF(ISNUMBER('נתונים והנחות'!$G$47),'נתונים והנחות'!$G$47*0.1,0)</f>
        <v/>
      </c>
      <c r="J83" s="50">
        <f>IF(ISNUMBER('נתונים והנחות'!$G$47),'נתונים והנחות'!$G$47*0.1,0)</f>
        <v/>
      </c>
      <c r="K83" s="50">
        <f>IF(ISNUMBER('נתונים והנחות'!$G$47),'נתונים והנחות'!$G$47*0.1,0)</f>
        <v/>
      </c>
      <c r="L83" s="50">
        <f>IF(ISNUMBER('נתונים והנחות'!$G$47),'נתונים והנחות'!$G$47*0.1,0)</f>
        <v/>
      </c>
      <c r="M83" s="50">
        <f>IF(ISNUMBER('נתונים והנחות'!$G$47),'נתונים והנחות'!$G$47*0.1,0)</f>
        <v/>
      </c>
      <c r="N83" s="50">
        <f>IF(ISNUMBER('נתונים והנחות'!$G$47),'נתונים והנחות'!$G$47*0.1,0)</f>
        <v/>
      </c>
      <c r="O83" s="50">
        <f>IF(ISNUMBER('נתונים והנחות'!$G$47),'נתונים והנחות'!$G$47*0.1,0)</f>
        <v/>
      </c>
      <c r="P83" s="50">
        <f>IF(ISNUMBER('נתונים והנחות'!$G$47),'נתונים והנחות'!$G$47*0.1,0)</f>
        <v/>
      </c>
      <c r="Q83" s="50">
        <f>0</f>
        <v/>
      </c>
      <c r="R83" s="50">
        <f>0</f>
        <v/>
      </c>
      <c r="S83" s="50">
        <f>0</f>
        <v/>
      </c>
      <c r="T83" s="50">
        <f>0</f>
        <v/>
      </c>
      <c r="U83" s="50">
        <f>0</f>
        <v/>
      </c>
      <c r="V83" s="50">
        <f>0</f>
        <v/>
      </c>
      <c r="W83" s="50">
        <f>0</f>
        <v/>
      </c>
      <c r="X83" s="50">
        <f>0</f>
        <v/>
      </c>
      <c r="Y83" s="50">
        <f>0</f>
        <v/>
      </c>
      <c r="Z83" s="50">
        <f>0</f>
        <v/>
      </c>
    </row>
    <row r="84">
      <c r="B84" s="6" t="inlineStr">
        <is>
          <t>מגן מס — מערכת קירור קונבנציונלית</t>
        </is>
      </c>
      <c r="C84" s="10" t="inlineStr">
        <is>
          <t>₪</t>
        </is>
      </c>
      <c r="D84" s="10" t="inlineStr">
        <is>
          <t>חישוב</t>
        </is>
      </c>
      <c r="E84" s="10">
        <f> פחת × שיעור מס</f>
        <v/>
      </c>
      <c r="F84" s="50" t="n">
        <v>0</v>
      </c>
      <c r="G84" s="50">
        <f>G83*'נתונים והנחות'!$F$10</f>
        <v/>
      </c>
      <c r="H84" s="50">
        <f>H83*'נתונים והנחות'!$F$10</f>
        <v/>
      </c>
      <c r="I84" s="50">
        <f>I83*'נתונים והנחות'!$F$10</f>
        <v/>
      </c>
      <c r="J84" s="50">
        <f>J83*'נתונים והנחות'!$F$10</f>
        <v/>
      </c>
      <c r="K84" s="50">
        <f>K83*'נתונים והנחות'!$F$10</f>
        <v/>
      </c>
      <c r="L84" s="50">
        <f>L83*'נתונים והנחות'!$F$10</f>
        <v/>
      </c>
      <c r="M84" s="50">
        <f>M83*'נתונים והנחות'!$F$10</f>
        <v/>
      </c>
      <c r="N84" s="50">
        <f>N83*'נתונים והנחות'!$F$10</f>
        <v/>
      </c>
      <c r="O84" s="50">
        <f>O83*'נתונים והנחות'!$F$10</f>
        <v/>
      </c>
      <c r="P84" s="50">
        <f>P83*'נתונים והנחות'!$F$10</f>
        <v/>
      </c>
      <c r="Q84" s="50">
        <f>Q83*'נתונים והנחות'!$F$10</f>
        <v/>
      </c>
      <c r="R84" s="50">
        <f>R83*'נתונים והנחות'!$F$10</f>
        <v/>
      </c>
      <c r="S84" s="50">
        <f>S83*'נתונים והנחות'!$F$10</f>
        <v/>
      </c>
      <c r="T84" s="50">
        <f>T83*'נתונים והנחות'!$F$10</f>
        <v/>
      </c>
      <c r="U84" s="50">
        <f>U83*'נתונים והנחות'!$F$10</f>
        <v/>
      </c>
      <c r="V84" s="50">
        <f>V83*'נתונים והנחות'!$F$10</f>
        <v/>
      </c>
      <c r="W84" s="50">
        <f>W83*'נתונים והנחות'!$F$10</f>
        <v/>
      </c>
      <c r="X84" s="50">
        <f>X83*'נתונים והנחות'!$F$10</f>
        <v/>
      </c>
      <c r="Y84" s="50">
        <f>Y83*'נתונים והנחות'!$F$10</f>
        <v/>
      </c>
      <c r="Z84" s="50">
        <f>Z83*'נתונים והנחות'!$F$10</f>
        <v/>
      </c>
    </row>
    <row r="85">
      <c r="B85" s="7" t="inlineStr">
        <is>
          <t>פחת סטנדרטי — צ'ילרים</t>
        </is>
      </c>
      <c r="C85" s="10" t="inlineStr">
        <is>
          <t>₪</t>
        </is>
      </c>
      <c r="D85" s="10" t="inlineStr">
        <is>
          <t>חישוב</t>
        </is>
      </c>
      <c r="E85" s="10" t="inlineStr">
        <is>
          <t>קו ישר | 10%/שנה | עד 10 שנים | CapEx יעיל</t>
        </is>
      </c>
      <c r="F85" s="51" t="n">
        <v>0</v>
      </c>
      <c r="G85" s="51">
        <f>IF(ISNUMBER('נתונים והנחות'!$G$48),'נתונים והנחות'!$G$48*0.1,0)</f>
        <v/>
      </c>
      <c r="H85" s="51">
        <f>IF(ISNUMBER('נתונים והנחות'!$G$48),'נתונים והנחות'!$G$48*0.1,0)</f>
        <v/>
      </c>
      <c r="I85" s="51">
        <f>IF(ISNUMBER('נתונים והנחות'!$G$48),'נתונים והנחות'!$G$48*0.1,0)</f>
        <v/>
      </c>
      <c r="J85" s="51">
        <f>IF(ISNUMBER('נתונים והנחות'!$G$48),'נתונים והנחות'!$G$48*0.1,0)</f>
        <v/>
      </c>
      <c r="K85" s="51">
        <f>IF(ISNUMBER('נתונים והנחות'!$G$48),'נתונים והנחות'!$G$48*0.1,0)</f>
        <v/>
      </c>
      <c r="L85" s="51">
        <f>IF(ISNUMBER('נתונים והנחות'!$G$48),'נתונים והנחות'!$G$48*0.1,0)</f>
        <v/>
      </c>
      <c r="M85" s="51">
        <f>IF(ISNUMBER('נתונים והנחות'!$G$48),'נתונים והנחות'!$G$48*0.1,0)</f>
        <v/>
      </c>
      <c r="N85" s="51">
        <f>IF(ISNUMBER('נתונים והנחות'!$G$48),'נתונים והנחות'!$G$48*0.1,0)</f>
        <v/>
      </c>
      <c r="O85" s="51">
        <f>IF(ISNUMBER('נתונים והנחות'!$G$48),'נתונים והנחות'!$G$48*0.1,0)</f>
        <v/>
      </c>
      <c r="P85" s="51">
        <f>IF(ISNUMBER('נתונים והנחות'!$G$48),'נתונים והנחות'!$G$48*0.1,0)</f>
        <v/>
      </c>
      <c r="Q85" s="51">
        <f>0</f>
        <v/>
      </c>
      <c r="R85" s="51">
        <f>0</f>
        <v/>
      </c>
      <c r="S85" s="51">
        <f>0</f>
        <v/>
      </c>
      <c r="T85" s="51">
        <f>0</f>
        <v/>
      </c>
      <c r="U85" s="51">
        <f>0</f>
        <v/>
      </c>
      <c r="V85" s="51">
        <f>0</f>
        <v/>
      </c>
      <c r="W85" s="51">
        <f>0</f>
        <v/>
      </c>
      <c r="X85" s="51">
        <f>0</f>
        <v/>
      </c>
      <c r="Y85" s="51">
        <f>0</f>
        <v/>
      </c>
      <c r="Z85" s="51">
        <f>0</f>
        <v/>
      </c>
    </row>
    <row r="86">
      <c r="B86" s="7" t="inlineStr">
        <is>
          <t>מגן מס סטנדרטי — צ'ילרים</t>
        </is>
      </c>
      <c r="C86" s="10" t="inlineStr">
        <is>
          <t>₪</t>
        </is>
      </c>
      <c r="D86" s="10" t="inlineStr">
        <is>
          <t>חישוב</t>
        </is>
      </c>
      <c r="E86" s="10">
        <f> פחת × שיעור מס</f>
        <v/>
      </c>
      <c r="F86" s="51" t="n">
        <v>0</v>
      </c>
      <c r="G86" s="51">
        <f>G85*'נתונים והנחות'!$F$10</f>
        <v/>
      </c>
      <c r="H86" s="51">
        <f>H85*'נתונים והנחות'!$F$10</f>
        <v/>
      </c>
      <c r="I86" s="51">
        <f>I85*'נתונים והנחות'!$F$10</f>
        <v/>
      </c>
      <c r="J86" s="51">
        <f>J85*'נתונים והנחות'!$F$10</f>
        <v/>
      </c>
      <c r="K86" s="51">
        <f>K85*'נתונים והנחות'!$F$10</f>
        <v/>
      </c>
      <c r="L86" s="51">
        <f>L85*'נתונים והנחות'!$F$10</f>
        <v/>
      </c>
      <c r="M86" s="51">
        <f>M85*'נתונים והנחות'!$F$10</f>
        <v/>
      </c>
      <c r="N86" s="51">
        <f>N85*'נתונים והנחות'!$F$10</f>
        <v/>
      </c>
      <c r="O86" s="51">
        <f>O85*'נתונים והנחות'!$F$10</f>
        <v/>
      </c>
      <c r="P86" s="51">
        <f>P85*'נתונים והנחות'!$F$10</f>
        <v/>
      </c>
      <c r="Q86" s="51">
        <f>Q85*'נתונים והנחות'!$F$10</f>
        <v/>
      </c>
      <c r="R86" s="51">
        <f>R85*'נתונים והנחות'!$F$10</f>
        <v/>
      </c>
      <c r="S86" s="51">
        <f>S85*'נתונים והנחות'!$F$10</f>
        <v/>
      </c>
      <c r="T86" s="51">
        <f>T85*'נתונים והנחות'!$F$10</f>
        <v/>
      </c>
      <c r="U86" s="51">
        <f>U85*'נתונים והנחות'!$F$10</f>
        <v/>
      </c>
      <c r="V86" s="51">
        <f>V85*'נתונים והנחות'!$F$10</f>
        <v/>
      </c>
      <c r="W86" s="51">
        <f>W85*'נתונים והנחות'!$F$10</f>
        <v/>
      </c>
      <c r="X86" s="51">
        <f>X85*'נתונים והנחות'!$F$10</f>
        <v/>
      </c>
      <c r="Y86" s="51">
        <f>Y85*'נתונים והנחות'!$F$10</f>
        <v/>
      </c>
      <c r="Z86" s="51">
        <f>Z85*'נתונים והנחות'!$F$10</f>
        <v/>
      </c>
    </row>
    <row r="87">
      <c r="B87" s="8" t="inlineStr">
        <is>
          <t>פחת מואץ — צ'ילרים</t>
        </is>
      </c>
      <c r="C87" s="10" t="inlineStr">
        <is>
          <t>₪</t>
        </is>
      </c>
      <c r="D87" s="10" t="inlineStr">
        <is>
          <t>חישוב</t>
        </is>
      </c>
      <c r="E87" s="10">
        <f> CapEx יעיל × (פחת סטנדרטי × מכפיל) | תקופה = 1 ÷ שיעור מואץ</f>
        <v/>
      </c>
      <c r="F87" s="52" t="n">
        <v>0</v>
      </c>
      <c r="G87" s="52">
        <f>IF(ISNUMBER('נתונים והנחות'!$G$48),IF(1&lt;=ROUND(1/(0.1*'נתונים והנחות'!$F$22),0),'נתונים והנחות'!$G$48*0.1*'נתונים והנחות'!$F$22,0),0)</f>
        <v/>
      </c>
      <c r="H87" s="52">
        <f>IF(ISNUMBER('נתונים והנחות'!$G$48),IF(2&lt;=ROUND(1/(0.1*'נתונים והנחות'!$F$22),0),'נתונים והנחות'!$G$48*0.1*'נתונים והנחות'!$F$22,0),0)</f>
        <v/>
      </c>
      <c r="I87" s="52">
        <f>IF(ISNUMBER('נתונים והנחות'!$G$48),IF(3&lt;=ROUND(1/(0.1*'נתונים והנחות'!$F$22),0),'נתונים והנחות'!$G$48*0.1*'נתונים והנחות'!$F$22,0),0)</f>
        <v/>
      </c>
      <c r="J87" s="52">
        <f>IF(ISNUMBER('נתונים והנחות'!$G$48),IF(4&lt;=ROUND(1/(0.1*'נתונים והנחות'!$F$22),0),'נתונים והנחות'!$G$48*0.1*'נתונים והנחות'!$F$22,0),0)</f>
        <v/>
      </c>
      <c r="K87" s="52">
        <f>IF(ISNUMBER('נתונים והנחות'!$G$48),IF(5&lt;=ROUND(1/(0.1*'נתונים והנחות'!$F$22),0),'נתונים והנחות'!$G$48*0.1*'נתונים והנחות'!$F$22,0),0)</f>
        <v/>
      </c>
      <c r="L87" s="52">
        <f>IF(ISNUMBER('נתונים והנחות'!$G$48),IF(6&lt;=ROUND(1/(0.1*'נתונים והנחות'!$F$22),0),'נתונים והנחות'!$G$48*0.1*'נתונים והנחות'!$F$22,0),0)</f>
        <v/>
      </c>
      <c r="M87" s="52">
        <f>IF(ISNUMBER('נתונים והנחות'!$G$48),IF(7&lt;=ROUND(1/(0.1*'נתונים והנחות'!$F$22),0),'נתונים והנחות'!$G$48*0.1*'נתונים והנחות'!$F$22,0),0)</f>
        <v/>
      </c>
      <c r="N87" s="52">
        <f>IF(ISNUMBER('נתונים והנחות'!$G$48),IF(8&lt;=ROUND(1/(0.1*'נתונים והנחות'!$F$22),0),'נתונים והנחות'!$G$48*0.1*'נתונים והנחות'!$F$22,0),0)</f>
        <v/>
      </c>
      <c r="O87" s="52">
        <f>IF(ISNUMBER('נתונים והנחות'!$G$48),IF(9&lt;=ROUND(1/(0.1*'נתונים והנחות'!$F$22),0),'נתונים והנחות'!$G$48*0.1*'נתונים והנחות'!$F$22,0),0)</f>
        <v/>
      </c>
      <c r="P87" s="52">
        <f>IF(ISNUMBER('נתונים והנחות'!$G$48),IF(10&lt;=ROUND(1/(0.1*'נתונים והנחות'!$F$22),0),'נתונים והנחות'!$G$48*0.1*'נתונים והנחות'!$F$22,0),0)</f>
        <v/>
      </c>
      <c r="Q87" s="52">
        <f>IF(ISNUMBER('נתונים והנחות'!$G$48),IF(11&lt;=ROUND(1/(0.1*'נתונים והנחות'!$F$22),0),'נתונים והנחות'!$G$48*0.1*'נתונים והנחות'!$F$22,0),0)</f>
        <v/>
      </c>
      <c r="R87" s="52">
        <f>IF(ISNUMBER('נתונים והנחות'!$G$48),IF(12&lt;=ROUND(1/(0.1*'נתונים והנחות'!$F$22),0),'נתונים והנחות'!$G$48*0.1*'נתונים והנחות'!$F$22,0),0)</f>
        <v/>
      </c>
      <c r="S87" s="52">
        <f>IF(ISNUMBER('נתונים והנחות'!$G$48),IF(13&lt;=ROUND(1/(0.1*'נתונים והנחות'!$F$22),0),'נתונים והנחות'!$G$48*0.1*'נתונים והנחות'!$F$22,0),0)</f>
        <v/>
      </c>
      <c r="T87" s="52">
        <f>IF(ISNUMBER('נתונים והנחות'!$G$48),IF(14&lt;=ROUND(1/(0.1*'נתונים והנחות'!$F$22),0),'נתונים והנחות'!$G$48*0.1*'נתונים והנחות'!$F$22,0),0)</f>
        <v/>
      </c>
      <c r="U87" s="52">
        <f>IF(ISNUMBER('נתונים והנחות'!$G$48),IF(15&lt;=ROUND(1/(0.1*'נתונים והנחות'!$F$22),0),'נתונים והנחות'!$G$48*0.1*'נתונים והנחות'!$F$22,0),0)</f>
        <v/>
      </c>
      <c r="V87" s="52">
        <f>IF(ISNUMBER('נתונים והנחות'!$G$48),IF(16&lt;=ROUND(1/(0.1*'נתונים והנחות'!$F$22),0),'נתונים והנחות'!$G$48*0.1*'נתונים והנחות'!$F$22,0),0)</f>
        <v/>
      </c>
      <c r="W87" s="52">
        <f>IF(ISNUMBER('נתונים והנחות'!$G$48),IF(17&lt;=ROUND(1/(0.1*'נתונים והנחות'!$F$22),0),'נתונים והנחות'!$G$48*0.1*'נתונים והנחות'!$F$22,0),0)</f>
        <v/>
      </c>
      <c r="X87" s="52">
        <f>IF(ISNUMBER('נתונים והנחות'!$G$48),IF(18&lt;=ROUND(1/(0.1*'נתונים והנחות'!$F$22),0),'נתונים והנחות'!$G$48*0.1*'נתונים והנחות'!$F$22,0),0)</f>
        <v/>
      </c>
      <c r="Y87" s="52">
        <f>IF(ISNUMBER('נתונים והנחות'!$G$48),IF(19&lt;=ROUND(1/(0.1*'נתונים והנחות'!$F$22),0),'נתונים והנחות'!$G$48*0.1*'נתונים והנחות'!$F$22,0),0)</f>
        <v/>
      </c>
      <c r="Z87" s="52">
        <f>IF(ISNUMBER('נתונים והנחות'!$G$48),IF(20&lt;=ROUND(1/(0.1*'נתונים והנחות'!$F$22),0),'נתונים והנחות'!$G$48*0.1*'נתונים והנחות'!$F$22,0),0)</f>
        <v/>
      </c>
    </row>
    <row r="88">
      <c r="B88" s="8" t="inlineStr">
        <is>
          <t>מגן מס מואץ — צ'ילרים</t>
        </is>
      </c>
      <c r="C88" s="10" t="inlineStr">
        <is>
          <t>₪</t>
        </is>
      </c>
      <c r="D88" s="10" t="inlineStr">
        <is>
          <t>חישוב</t>
        </is>
      </c>
      <c r="E88" s="10">
        <f> פחת מואץ × שיעור מס</f>
        <v/>
      </c>
      <c r="F88" s="52" t="n">
        <v>0</v>
      </c>
      <c r="G88" s="52">
        <f>G87*'נתונים והנחות'!$F$10</f>
        <v/>
      </c>
      <c r="H88" s="52">
        <f>H87*'נתונים והנחות'!$F$10</f>
        <v/>
      </c>
      <c r="I88" s="52">
        <f>I87*'נתונים והנחות'!$F$10</f>
        <v/>
      </c>
      <c r="J88" s="52">
        <f>J87*'נתונים והנחות'!$F$10</f>
        <v/>
      </c>
      <c r="K88" s="52">
        <f>K87*'נתונים והנחות'!$F$10</f>
        <v/>
      </c>
      <c r="L88" s="52">
        <f>L87*'נתונים והנחות'!$F$10</f>
        <v/>
      </c>
      <c r="M88" s="52">
        <f>M87*'נתונים והנחות'!$F$10</f>
        <v/>
      </c>
      <c r="N88" s="52">
        <f>N87*'נתונים והנחות'!$F$10</f>
        <v/>
      </c>
      <c r="O88" s="52">
        <f>O87*'נתונים והנחות'!$F$10</f>
        <v/>
      </c>
      <c r="P88" s="52">
        <f>P87*'נתונים והנחות'!$F$10</f>
        <v/>
      </c>
      <c r="Q88" s="52">
        <f>Q87*'נתונים והנחות'!$F$10</f>
        <v/>
      </c>
      <c r="R88" s="52">
        <f>R87*'נתונים והנחות'!$F$10</f>
        <v/>
      </c>
      <c r="S88" s="52">
        <f>S87*'נתונים והנחות'!$F$10</f>
        <v/>
      </c>
      <c r="T88" s="52">
        <f>T87*'נתונים והנחות'!$F$10</f>
        <v/>
      </c>
      <c r="U88" s="52">
        <f>U87*'נתונים והנחות'!$F$10</f>
        <v/>
      </c>
      <c r="V88" s="52">
        <f>V87*'נתונים והנחות'!$F$10</f>
        <v/>
      </c>
      <c r="W88" s="52">
        <f>W87*'נתונים והנחות'!$F$10</f>
        <v/>
      </c>
      <c r="X88" s="52">
        <f>X87*'נתונים והנחות'!$F$10</f>
        <v/>
      </c>
      <c r="Y88" s="52">
        <f>Y87*'נתונים והנחות'!$F$10</f>
        <v/>
      </c>
      <c r="Z88" s="52">
        <f>Z87*'נתונים והנחות'!$F$10</f>
        <v/>
      </c>
    </row>
    <row r="90">
      <c r="B90" s="49" t="inlineStr">
        <is>
          <t>ג. ניתוח תזרים מזומנים — שלושה תרחישים</t>
        </is>
      </c>
    </row>
    <row r="91">
      <c r="B91" s="24" t="inlineStr">
        <is>
          <t>פרמטר</t>
        </is>
      </c>
      <c r="C91" s="24" t="inlineStr">
        <is>
          <t>יחידות</t>
        </is>
      </c>
      <c r="D91" s="24" t="inlineStr">
        <is>
          <t>מקור</t>
        </is>
      </c>
      <c r="E91" s="24" t="inlineStr">
        <is>
          <t>הערות</t>
        </is>
      </c>
      <c r="F91" s="24" t="inlineStr">
        <is>
          <t>שנה 0 (השקעה)</t>
        </is>
      </c>
      <c r="G91" s="24" t="inlineStr">
        <is>
          <t>שנה 1</t>
        </is>
      </c>
      <c r="H91" s="24" t="inlineStr">
        <is>
          <t>שנה 2</t>
        </is>
      </c>
      <c r="I91" s="24" t="inlineStr">
        <is>
          <t>שנה 3</t>
        </is>
      </c>
      <c r="J91" s="24" t="inlineStr">
        <is>
          <t>שנה 4</t>
        </is>
      </c>
      <c r="K91" s="24" t="inlineStr">
        <is>
          <t>שנה 5</t>
        </is>
      </c>
      <c r="L91" s="24" t="inlineStr">
        <is>
          <t>שנה 6</t>
        </is>
      </c>
      <c r="M91" s="24" t="inlineStr">
        <is>
          <t>שנה 7</t>
        </is>
      </c>
      <c r="N91" s="24" t="inlineStr">
        <is>
          <t>שנה 8</t>
        </is>
      </c>
      <c r="O91" s="24" t="inlineStr">
        <is>
          <t>שנה 9</t>
        </is>
      </c>
      <c r="P91" s="24" t="inlineStr">
        <is>
          <t>שנה 10</t>
        </is>
      </c>
      <c r="Q91" s="24" t="inlineStr">
        <is>
          <t>שנה 11</t>
        </is>
      </c>
      <c r="R91" s="24" t="inlineStr">
        <is>
          <t>שנה 12</t>
        </is>
      </c>
      <c r="S91" s="24" t="inlineStr">
        <is>
          <t>שנה 13</t>
        </is>
      </c>
      <c r="T91" s="24" t="inlineStr">
        <is>
          <t>שנה 14</t>
        </is>
      </c>
      <c r="U91" s="24" t="inlineStr">
        <is>
          <t>שנה 15</t>
        </is>
      </c>
      <c r="V91" s="24" t="inlineStr">
        <is>
          <t>שנה 16</t>
        </is>
      </c>
      <c r="W91" s="24" t="inlineStr">
        <is>
          <t>שנה 17</t>
        </is>
      </c>
      <c r="X91" s="24" t="inlineStr">
        <is>
          <t>שנה 18</t>
        </is>
      </c>
      <c r="Y91" s="24" t="inlineStr">
        <is>
          <t>שנה 19</t>
        </is>
      </c>
      <c r="Z91" s="24" t="inlineStr">
        <is>
          <t>שנה 20</t>
        </is>
      </c>
    </row>
    <row r="92">
      <c r="B92" s="53" t="inlineStr">
        <is>
          <t>תרחיש A — רכישת מערכת קירור קונבנציונלית (ציוד קיים / לא יעיל)</t>
        </is>
      </c>
    </row>
    <row r="93">
      <c r="B93" s="6" t="inlineStr">
        <is>
          <t>השקעה ראשונית</t>
        </is>
      </c>
      <c r="C93" s="10" t="inlineStr">
        <is>
          <t>₪</t>
        </is>
      </c>
      <c r="D93" s="10" t="inlineStr">
        <is>
          <t>חישוב</t>
        </is>
      </c>
      <c r="F93" s="50">
        <f>IF(ISNUMBER('נתונים והנחות'!$G$47),-'נתונים והנחות'!$G$47,"PENDING")</f>
        <v/>
      </c>
    </row>
    <row r="94">
      <c r="B94" s="6" t="inlineStr">
        <is>
          <t>OPEX אנרגיה</t>
        </is>
      </c>
      <c r="C94" s="10" t="inlineStr">
        <is>
          <t>₪</t>
        </is>
      </c>
      <c r="D94" s="10" t="inlineStr">
        <is>
          <t>חישוב</t>
        </is>
      </c>
      <c r="F94" s="50" t="n">
        <v>0</v>
      </c>
      <c r="G94" s="50">
        <f>IF(ISNUMBER('נתונים והנחות'!$G$55),-'נתונים והנחות'!$G$55,0)</f>
        <v/>
      </c>
      <c r="H94" s="50">
        <f>IF(ISNUMBER('נתונים והנחות'!$G$55),-'נתונים והנחות'!$G$55,0)</f>
        <v/>
      </c>
      <c r="I94" s="50">
        <f>IF(ISNUMBER('נתונים והנחות'!$G$55),-'נתונים והנחות'!$G$55,0)</f>
        <v/>
      </c>
      <c r="J94" s="50">
        <f>IF(ISNUMBER('נתונים והנחות'!$G$55),-'נתונים והנחות'!$G$55,0)</f>
        <v/>
      </c>
      <c r="K94" s="50">
        <f>IF(ISNUMBER('נתונים והנחות'!$G$55),-'נתונים והנחות'!$G$55,0)</f>
        <v/>
      </c>
      <c r="L94" s="50">
        <f>IF(ISNUMBER('נתונים והנחות'!$G$55),-'נתונים והנחות'!$G$55,0)</f>
        <v/>
      </c>
      <c r="M94" s="50">
        <f>IF(ISNUMBER('נתונים והנחות'!$G$55),-'נתונים והנחות'!$G$55,0)</f>
        <v/>
      </c>
      <c r="N94" s="50">
        <f>IF(ISNUMBER('נתונים והנחות'!$G$55),-'נתונים והנחות'!$G$55,0)</f>
        <v/>
      </c>
      <c r="O94" s="50">
        <f>IF(ISNUMBER('נתונים והנחות'!$G$55),-'נתונים והנחות'!$G$55,0)</f>
        <v/>
      </c>
      <c r="P94" s="50">
        <f>IF(ISNUMBER('נתונים והנחות'!$G$55),-'נתונים והנחות'!$G$55,0)</f>
        <v/>
      </c>
      <c r="Q94" s="50">
        <f>IF(ISNUMBER('נתונים והנחות'!$G$55),-'נתונים והנחות'!$G$55,0)</f>
        <v/>
      </c>
      <c r="R94" s="50">
        <f>IF(ISNUMBER('נתונים והנחות'!$G$55),-'נתונים והנחות'!$G$55,0)</f>
        <v/>
      </c>
      <c r="S94" s="50">
        <f>IF(ISNUMBER('נתונים והנחות'!$G$55),-'נתונים והנחות'!$G$55,0)</f>
        <v/>
      </c>
      <c r="T94" s="50">
        <f>IF(ISNUMBER('נתונים והנחות'!$G$55),-'נתונים והנחות'!$G$55,0)</f>
        <v/>
      </c>
      <c r="U94" s="50">
        <f>IF(ISNUMBER('נתונים והנחות'!$G$55),-'נתונים והנחות'!$G$55,0)</f>
        <v/>
      </c>
      <c r="V94" s="50">
        <f>0</f>
        <v/>
      </c>
      <c r="W94" s="50">
        <f>0</f>
        <v/>
      </c>
      <c r="X94" s="50">
        <f>0</f>
        <v/>
      </c>
      <c r="Y94" s="50">
        <f>0</f>
        <v/>
      </c>
      <c r="Z94" s="50">
        <f>0</f>
        <v/>
      </c>
    </row>
    <row r="95">
      <c r="B95" s="6" t="inlineStr">
        <is>
          <t>OPEX אחר (תחזוקה וכו')</t>
        </is>
      </c>
      <c r="C95" s="10" t="inlineStr">
        <is>
          <t>₪</t>
        </is>
      </c>
      <c r="D95" s="10" t="inlineStr">
        <is>
          <t>חישוב</t>
        </is>
      </c>
      <c r="F95" s="50" t="n">
        <v>0</v>
      </c>
      <c r="G95" s="50">
        <f>IF(ISNUMBER('נתונים והנחות'!$G$53),-'נתונים והנחות'!$G$53,0)</f>
        <v/>
      </c>
      <c r="H95" s="50">
        <f>IF(ISNUMBER('נתונים והנחות'!$G$53),-'נתונים והנחות'!$G$53,0)</f>
        <v/>
      </c>
      <c r="I95" s="50">
        <f>IF(ISNUMBER('נתונים והנחות'!$G$53),-'נתונים והנחות'!$G$53,0)</f>
        <v/>
      </c>
      <c r="J95" s="50">
        <f>IF(ISNUMBER('נתונים והנחות'!$G$53),-'נתונים והנחות'!$G$53,0)</f>
        <v/>
      </c>
      <c r="K95" s="50">
        <f>IF(ISNUMBER('נתונים והנחות'!$G$53),-'נתונים והנחות'!$G$53,0)</f>
        <v/>
      </c>
      <c r="L95" s="50">
        <f>IF(ISNUMBER('נתונים והנחות'!$G$53),-'נתונים והנחות'!$G$53,0)</f>
        <v/>
      </c>
      <c r="M95" s="50">
        <f>IF(ISNUMBER('נתונים והנחות'!$G$53),-'נתונים והנחות'!$G$53,0)</f>
        <v/>
      </c>
      <c r="N95" s="50">
        <f>IF(ISNUMBER('נתונים והנחות'!$G$53),-'נתונים והנחות'!$G$53,0)</f>
        <v/>
      </c>
      <c r="O95" s="50">
        <f>IF(ISNUMBER('נתונים והנחות'!$G$53),-'נתונים והנחות'!$G$53,0)</f>
        <v/>
      </c>
      <c r="P95" s="50">
        <f>IF(ISNUMBER('נתונים והנחות'!$G$53),-'נתונים והנחות'!$G$53,0)</f>
        <v/>
      </c>
      <c r="Q95" s="50">
        <f>IF(ISNUMBER('נתונים והנחות'!$G$53),-'נתונים והנחות'!$G$53,0)</f>
        <v/>
      </c>
      <c r="R95" s="50">
        <f>IF(ISNUMBER('נתונים והנחות'!$G$53),-'נתונים והנחות'!$G$53,0)</f>
        <v/>
      </c>
      <c r="S95" s="50">
        <f>IF(ISNUMBER('נתונים והנחות'!$G$53),-'נתונים והנחות'!$G$53,0)</f>
        <v/>
      </c>
      <c r="T95" s="50">
        <f>IF(ISNUMBER('נתונים והנחות'!$G$53),-'נתונים והנחות'!$G$53,0)</f>
        <v/>
      </c>
      <c r="U95" s="50">
        <f>IF(ISNUMBER('נתונים והנחות'!$G$53),-'נתונים והנחות'!$G$53,0)</f>
        <v/>
      </c>
      <c r="V95" s="50">
        <f>0</f>
        <v/>
      </c>
      <c r="W95" s="50">
        <f>0</f>
        <v/>
      </c>
      <c r="X95" s="50">
        <f>0</f>
        <v/>
      </c>
      <c r="Y95" s="50">
        <f>0</f>
        <v/>
      </c>
      <c r="Z95" s="50">
        <f>0</f>
        <v/>
      </c>
    </row>
    <row r="96">
      <c r="B96" s="6" t="inlineStr">
        <is>
          <t>תזרים נקי — תרחיש A</t>
        </is>
      </c>
      <c r="C96" s="10" t="inlineStr">
        <is>
          <t>₪</t>
        </is>
      </c>
      <c r="D96" s="10" t="inlineStr">
        <is>
          <t>חישוב</t>
        </is>
      </c>
      <c r="F96" s="50">
        <f>F93</f>
        <v/>
      </c>
      <c r="G96" s="50">
        <f>G94+G95+G84</f>
        <v/>
      </c>
      <c r="H96" s="50">
        <f>H94+H95+H84</f>
        <v/>
      </c>
      <c r="I96" s="50">
        <f>I94+I95+I84</f>
        <v/>
      </c>
      <c r="J96" s="50">
        <f>J94+J95+J84</f>
        <v/>
      </c>
      <c r="K96" s="50">
        <f>K94+K95+K84</f>
        <v/>
      </c>
      <c r="L96" s="50">
        <f>L94+L95+L84</f>
        <v/>
      </c>
      <c r="M96" s="50">
        <f>M94+M95+M84</f>
        <v/>
      </c>
      <c r="N96" s="50">
        <f>N94+N95+N84</f>
        <v/>
      </c>
      <c r="O96" s="50">
        <f>O94+O95+O84</f>
        <v/>
      </c>
      <c r="P96" s="50">
        <f>P94+P95+P84</f>
        <v/>
      </c>
      <c r="Q96" s="50">
        <f>Q94+Q95+Q84</f>
        <v/>
      </c>
      <c r="R96" s="50">
        <f>R94+R95+R84</f>
        <v/>
      </c>
      <c r="S96" s="50">
        <f>S94+S95+S84</f>
        <v/>
      </c>
      <c r="T96" s="50">
        <f>T94+T95+T84</f>
        <v/>
      </c>
      <c r="U96" s="50">
        <f>U94+U95+U84</f>
        <v/>
      </c>
      <c r="V96" s="50">
        <f>V94+V95+V84</f>
        <v/>
      </c>
      <c r="W96" s="50">
        <f>W94+W95+W84</f>
        <v/>
      </c>
      <c r="X96" s="50">
        <f>X94+X95+X84</f>
        <v/>
      </c>
      <c r="Y96" s="50">
        <f>Y94+Y95+Y84</f>
        <v/>
      </c>
      <c r="Z96" s="50">
        <f>Z94+Z95+Z84</f>
        <v/>
      </c>
    </row>
    <row r="97">
      <c r="B97" s="6" t="inlineStr">
        <is>
          <t>תזרים מהוון — תרחיש A</t>
        </is>
      </c>
      <c r="C97" s="10" t="inlineStr">
        <is>
          <t>₪</t>
        </is>
      </c>
      <c r="D97" s="10" t="inlineStr">
        <is>
          <t>חישוב</t>
        </is>
      </c>
      <c r="F97" s="50">
        <f>F96</f>
        <v/>
      </c>
      <c r="G97" s="50">
        <f>G96/(1+'נתונים והנחות'!$F$11)^1</f>
        <v/>
      </c>
      <c r="H97" s="50">
        <f>H96/(1+'נתונים והנחות'!$F$11)^2</f>
        <v/>
      </c>
      <c r="I97" s="50">
        <f>I96/(1+'נתונים והנחות'!$F$11)^3</f>
        <v/>
      </c>
      <c r="J97" s="50">
        <f>J96/(1+'נתונים והנחות'!$F$11)^4</f>
        <v/>
      </c>
      <c r="K97" s="50">
        <f>K96/(1+'נתונים והנחות'!$F$11)^5</f>
        <v/>
      </c>
      <c r="L97" s="50">
        <f>L96/(1+'נתונים והנחות'!$F$11)^6</f>
        <v/>
      </c>
      <c r="M97" s="50">
        <f>M96/(1+'נתונים והנחות'!$F$11)^7</f>
        <v/>
      </c>
      <c r="N97" s="50">
        <f>N96/(1+'נתונים והנחות'!$F$11)^8</f>
        <v/>
      </c>
      <c r="O97" s="50">
        <f>O96/(1+'נתונים והנחות'!$F$11)^9</f>
        <v/>
      </c>
      <c r="P97" s="50">
        <f>P96/(1+'נתונים והנחות'!$F$11)^10</f>
        <v/>
      </c>
      <c r="Q97" s="50">
        <f>Q96/(1+'נתונים והנחות'!$F$11)^11</f>
        <v/>
      </c>
      <c r="R97" s="50">
        <f>R96/(1+'נתונים והנחות'!$F$11)^12</f>
        <v/>
      </c>
      <c r="S97" s="50">
        <f>S96/(1+'נתונים והנחות'!$F$11)^13</f>
        <v/>
      </c>
      <c r="T97" s="50">
        <f>T96/(1+'נתונים והנחות'!$F$11)^14</f>
        <v/>
      </c>
      <c r="U97" s="50">
        <f>U96/(1+'נתונים והנחות'!$F$11)^15</f>
        <v/>
      </c>
      <c r="V97" s="50">
        <f>V96/(1+'נתונים והנחות'!$F$11)^16</f>
        <v/>
      </c>
      <c r="W97" s="50">
        <f>W96/(1+'נתונים והנחות'!$F$11)^17</f>
        <v/>
      </c>
      <c r="X97" s="50">
        <f>X96/(1+'נתונים והנחות'!$F$11)^18</f>
        <v/>
      </c>
      <c r="Y97" s="50">
        <f>Y96/(1+'נתונים והנחות'!$F$11)^19</f>
        <v/>
      </c>
      <c r="Z97" s="50">
        <f>Z96/(1+'נתונים והנחות'!$F$11)^20</f>
        <v/>
      </c>
    </row>
    <row r="98">
      <c r="B98" s="6" t="inlineStr">
        <is>
          <t>NPV מצטבר — תרחיש A</t>
        </is>
      </c>
      <c r="C98" s="10" t="inlineStr">
        <is>
          <t>₪</t>
        </is>
      </c>
      <c r="D98" s="10" t="inlineStr">
        <is>
          <t>חישוב</t>
        </is>
      </c>
      <c r="F98" s="50">
        <f>F97</f>
        <v/>
      </c>
      <c r="G98" s="50">
        <f>F98+G97</f>
        <v/>
      </c>
      <c r="H98" s="50">
        <f>G98+H97</f>
        <v/>
      </c>
      <c r="I98" s="50">
        <f>H98+I97</f>
        <v/>
      </c>
      <c r="J98" s="50">
        <f>I98+J97</f>
        <v/>
      </c>
      <c r="K98" s="50">
        <f>J98+K97</f>
        <v/>
      </c>
      <c r="L98" s="50">
        <f>K98+L97</f>
        <v/>
      </c>
      <c r="M98" s="50">
        <f>L98+M97</f>
        <v/>
      </c>
      <c r="N98" s="50">
        <f>M98+N97</f>
        <v/>
      </c>
      <c r="O98" s="50">
        <f>N98+O97</f>
        <v/>
      </c>
      <c r="P98" s="50">
        <f>O98+P97</f>
        <v/>
      </c>
      <c r="Q98" s="50">
        <f>P98+Q97</f>
        <v/>
      </c>
      <c r="R98" s="50">
        <f>Q98+R97</f>
        <v/>
      </c>
      <c r="S98" s="50">
        <f>R98+S97</f>
        <v/>
      </c>
      <c r="T98" s="50">
        <f>S98+T97</f>
        <v/>
      </c>
      <c r="U98" s="50">
        <f>T98+U97</f>
        <v/>
      </c>
      <c r="V98" s="50">
        <f>U98+V97</f>
        <v/>
      </c>
      <c r="W98" s="50">
        <f>V98+W97</f>
        <v/>
      </c>
      <c r="X98" s="50">
        <f>W98+X97</f>
        <v/>
      </c>
      <c r="Y98" s="50">
        <f>X98+Y97</f>
        <v/>
      </c>
      <c r="Z98" s="50">
        <f>Y98+Z97</f>
        <v/>
      </c>
    </row>
    <row r="100">
      <c r="B100" s="54" t="inlineStr">
        <is>
          <t>תרחיש B — רכישת צ'ילרים | פחת סטנדרטי (ללא תמריץ)</t>
        </is>
      </c>
    </row>
    <row r="101">
      <c r="B101" s="7" t="inlineStr">
        <is>
          <t>השקעה ראשונית</t>
        </is>
      </c>
      <c r="C101" s="10" t="inlineStr">
        <is>
          <t>₪</t>
        </is>
      </c>
      <c r="D101" s="10" t="inlineStr">
        <is>
          <t>חישוב</t>
        </is>
      </c>
      <c r="F101" s="51">
        <f>IF(ISNUMBER('נתונים והנחות'!$G$48),-'נתונים והנחות'!$G$48,"PENDING")</f>
        <v/>
      </c>
    </row>
    <row r="102">
      <c r="B102" s="7" t="inlineStr">
        <is>
          <t>OPEX אנרגיה (עם שחיקה שנתית)</t>
        </is>
      </c>
      <c r="C102" s="10" t="inlineStr">
        <is>
          <t>₪</t>
        </is>
      </c>
      <c r="D102" s="10" t="inlineStr">
        <is>
          <t>חישוב</t>
        </is>
      </c>
      <c r="F102" s="51" t="n">
        <v>0</v>
      </c>
      <c r="G102" s="51">
        <f>IF(ISNUMBER('נתונים והנחות'!$G$56),-'נתונים והנחות'!$G$56*(1-'נתונים והנחות'!$G$52)^0,0)</f>
        <v/>
      </c>
      <c r="H102" s="51">
        <f>IF(ISNUMBER('נתונים והנחות'!$G$56),-'נתונים והנחות'!$G$56*(1-'נתונים והנחות'!$G$52)^1,0)</f>
        <v/>
      </c>
      <c r="I102" s="51">
        <f>IF(ISNUMBER('נתונים והנחות'!$G$56),-'נתונים והנחות'!$G$56*(1-'נתונים והנחות'!$G$52)^2,0)</f>
        <v/>
      </c>
      <c r="J102" s="51">
        <f>IF(ISNUMBER('נתונים והנחות'!$G$56),-'נתונים והנחות'!$G$56*(1-'נתונים והנחות'!$G$52)^3,0)</f>
        <v/>
      </c>
      <c r="K102" s="51">
        <f>IF(ISNUMBER('נתונים והנחות'!$G$56),-'נתונים והנחות'!$G$56*(1-'נתונים והנחות'!$G$52)^4,0)</f>
        <v/>
      </c>
      <c r="L102" s="51">
        <f>IF(ISNUMBER('נתונים והנחות'!$G$56),-'נתונים והנחות'!$G$56*(1-'נתונים והנחות'!$G$52)^5,0)</f>
        <v/>
      </c>
      <c r="M102" s="51">
        <f>IF(ISNUMBER('נתונים והנחות'!$G$56),-'נתונים והנחות'!$G$56*(1-'נתונים והנחות'!$G$52)^6,0)</f>
        <v/>
      </c>
      <c r="N102" s="51">
        <f>IF(ISNUMBER('נתונים והנחות'!$G$56),-'נתונים והנחות'!$G$56*(1-'נתונים והנחות'!$G$52)^7,0)</f>
        <v/>
      </c>
      <c r="O102" s="51">
        <f>IF(ISNUMBER('נתונים והנחות'!$G$56),-'נתונים והנחות'!$G$56*(1-'נתונים והנחות'!$G$52)^8,0)</f>
        <v/>
      </c>
      <c r="P102" s="51">
        <f>IF(ISNUMBER('נתונים והנחות'!$G$56),-'נתונים והנחות'!$G$56*(1-'נתונים והנחות'!$G$52)^9,0)</f>
        <v/>
      </c>
      <c r="Q102" s="51">
        <f>IF(ISNUMBER('נתונים והנחות'!$G$56),-'נתונים והנחות'!$G$56*(1-'נתונים והנחות'!$G$52)^10,0)</f>
        <v/>
      </c>
      <c r="R102" s="51">
        <f>IF(ISNUMBER('נתונים והנחות'!$G$56),-'נתונים והנחות'!$G$56*(1-'נתונים והנחות'!$G$52)^11,0)</f>
        <v/>
      </c>
      <c r="S102" s="51">
        <f>IF(ISNUMBER('נתונים והנחות'!$G$56),-'נתונים והנחות'!$G$56*(1-'נתונים והנחות'!$G$52)^12,0)</f>
        <v/>
      </c>
      <c r="T102" s="51">
        <f>IF(ISNUMBER('נתונים והנחות'!$G$56),-'נתונים והנחות'!$G$56*(1-'נתונים והנחות'!$G$52)^13,0)</f>
        <v/>
      </c>
      <c r="U102" s="51">
        <f>IF(ISNUMBER('נתונים והנחות'!$G$56),-'נתונים והנחות'!$G$56*(1-'נתונים והנחות'!$G$52)^14,0)</f>
        <v/>
      </c>
      <c r="V102" s="51">
        <f>IF(ISNUMBER('נתונים והנחות'!$G$56),-'נתונים והנחות'!$G$56*(1-'נתונים והנחות'!$G$52)^15,0)</f>
        <v/>
      </c>
      <c r="W102" s="51">
        <f>IF(ISNUMBER('נתונים והנחות'!$G$56),-'נתונים והנחות'!$G$56*(1-'נתונים והנחות'!$G$52)^16,0)</f>
        <v/>
      </c>
      <c r="X102" s="51">
        <f>0</f>
        <v/>
      </c>
      <c r="Y102" s="51">
        <f>0</f>
        <v/>
      </c>
      <c r="Z102" s="51">
        <f>0</f>
        <v/>
      </c>
    </row>
    <row r="103">
      <c r="B103" s="7" t="inlineStr">
        <is>
          <t>OPEX אחר (תחזוקה וכו')</t>
        </is>
      </c>
      <c r="C103" s="10" t="inlineStr">
        <is>
          <t>₪</t>
        </is>
      </c>
      <c r="D103" s="10" t="inlineStr">
        <is>
          <t>חישוב</t>
        </is>
      </c>
      <c r="F103" s="51" t="n">
        <v>0</v>
      </c>
      <c r="G103" s="51">
        <f>IF(ISNUMBER('נתונים והנחות'!$G$54),-'נתונים והנחות'!$G$54,0)</f>
        <v/>
      </c>
      <c r="H103" s="51">
        <f>IF(ISNUMBER('נתונים והנחות'!$G$54),-'נתונים והנחות'!$G$54,0)</f>
        <v/>
      </c>
      <c r="I103" s="51">
        <f>IF(ISNUMBER('נתונים והנחות'!$G$54),-'נתונים והנחות'!$G$54,0)</f>
        <v/>
      </c>
      <c r="J103" s="51">
        <f>IF(ISNUMBER('נתונים והנחות'!$G$54),-'נתונים והנחות'!$G$54,0)</f>
        <v/>
      </c>
      <c r="K103" s="51">
        <f>IF(ISNUMBER('נתונים והנחות'!$G$54),-'נתונים והנחות'!$G$54,0)</f>
        <v/>
      </c>
      <c r="L103" s="51">
        <f>IF(ISNUMBER('נתונים והנחות'!$G$54),-'נתונים והנחות'!$G$54,0)</f>
        <v/>
      </c>
      <c r="M103" s="51">
        <f>IF(ISNUMBER('נתונים והנחות'!$G$54),-'נתונים והנחות'!$G$54,0)</f>
        <v/>
      </c>
      <c r="N103" s="51">
        <f>IF(ISNUMBER('נתונים והנחות'!$G$54),-'נתונים והנחות'!$G$54,0)</f>
        <v/>
      </c>
      <c r="O103" s="51">
        <f>IF(ISNUMBER('נתונים והנחות'!$G$54),-'נתונים והנחות'!$G$54,0)</f>
        <v/>
      </c>
      <c r="P103" s="51">
        <f>IF(ISNUMBER('נתונים והנחות'!$G$54),-'נתונים והנחות'!$G$54,0)</f>
        <v/>
      </c>
      <c r="Q103" s="51">
        <f>IF(ISNUMBER('נתונים והנחות'!$G$54),-'נתונים והנחות'!$G$54,0)</f>
        <v/>
      </c>
      <c r="R103" s="51">
        <f>IF(ISNUMBER('נתונים והנחות'!$G$54),-'נתונים והנחות'!$G$54,0)</f>
        <v/>
      </c>
      <c r="S103" s="51">
        <f>IF(ISNUMBER('נתונים והנחות'!$G$54),-'נתונים והנחות'!$G$54,0)</f>
        <v/>
      </c>
      <c r="T103" s="51">
        <f>IF(ISNUMBER('נתונים והנחות'!$G$54),-'נתונים והנחות'!$G$54,0)</f>
        <v/>
      </c>
      <c r="U103" s="51">
        <f>IF(ISNUMBER('נתונים והנחות'!$G$54),-'נתונים והנחות'!$G$54,0)</f>
        <v/>
      </c>
      <c r="V103" s="51">
        <f>IF(ISNUMBER('נתונים והנחות'!$G$54),-'נתונים והנחות'!$G$54,0)</f>
        <v/>
      </c>
      <c r="W103" s="51">
        <f>IF(ISNUMBER('נתונים והנחות'!$G$54),-'נתונים והנחות'!$G$54,0)</f>
        <v/>
      </c>
      <c r="X103" s="51">
        <f>0</f>
        <v/>
      </c>
      <c r="Y103" s="51">
        <f>0</f>
        <v/>
      </c>
      <c r="Z103" s="51">
        <f>0</f>
        <v/>
      </c>
    </row>
    <row r="104">
      <c r="B104" s="7" t="inlineStr">
        <is>
          <t>תזרים נקי — תרחיש B</t>
        </is>
      </c>
      <c r="C104" s="10" t="inlineStr">
        <is>
          <t>₪</t>
        </is>
      </c>
      <c r="D104" s="10" t="inlineStr">
        <is>
          <t>חישוב</t>
        </is>
      </c>
      <c r="F104" s="51">
        <f>F101</f>
        <v/>
      </c>
      <c r="G104" s="51">
        <f>G102+G103+G86</f>
        <v/>
      </c>
      <c r="H104" s="51">
        <f>H102+H103+H86</f>
        <v/>
      </c>
      <c r="I104" s="51">
        <f>I102+I103+I86</f>
        <v/>
      </c>
      <c r="J104" s="51">
        <f>J102+J103+J86</f>
        <v/>
      </c>
      <c r="K104" s="51">
        <f>K102+K103+K86</f>
        <v/>
      </c>
      <c r="L104" s="51">
        <f>L102+L103+L86</f>
        <v/>
      </c>
      <c r="M104" s="51">
        <f>M102+M103+M86</f>
        <v/>
      </c>
      <c r="N104" s="51">
        <f>N102+N103+N86</f>
        <v/>
      </c>
      <c r="O104" s="51">
        <f>O102+O103+O86</f>
        <v/>
      </c>
      <c r="P104" s="51">
        <f>P102+P103+P86</f>
        <v/>
      </c>
      <c r="Q104" s="51">
        <f>Q102+Q103+Q86</f>
        <v/>
      </c>
      <c r="R104" s="51">
        <f>R102+R103+R86</f>
        <v/>
      </c>
      <c r="S104" s="51">
        <f>S102+S103+S86</f>
        <v/>
      </c>
      <c r="T104" s="51">
        <f>T102+T103+T86</f>
        <v/>
      </c>
      <c r="U104" s="51">
        <f>U102+U103+U86</f>
        <v/>
      </c>
      <c r="V104" s="51">
        <f>V102+V103+V86</f>
        <v/>
      </c>
      <c r="W104" s="51">
        <f>W102+W103+W86</f>
        <v/>
      </c>
      <c r="X104" s="51">
        <f>X102+X103+X86</f>
        <v/>
      </c>
      <c r="Y104" s="51">
        <f>Y102+Y103+Y86</f>
        <v/>
      </c>
      <c r="Z104" s="51">
        <f>Z102+Z103+Z86</f>
        <v/>
      </c>
    </row>
    <row r="105">
      <c r="B105" s="7" t="inlineStr">
        <is>
          <t>תזרים מהוון — תרחיש B</t>
        </is>
      </c>
      <c r="C105" s="10" t="inlineStr">
        <is>
          <t>₪</t>
        </is>
      </c>
      <c r="D105" s="10" t="inlineStr">
        <is>
          <t>חישוב</t>
        </is>
      </c>
      <c r="F105" s="51">
        <f>F104</f>
        <v/>
      </c>
      <c r="G105" s="51">
        <f>G104/(1+'נתונים והנחות'!$F$11)^1</f>
        <v/>
      </c>
      <c r="H105" s="51">
        <f>H104/(1+'נתונים והנחות'!$F$11)^2</f>
        <v/>
      </c>
      <c r="I105" s="51">
        <f>I104/(1+'נתונים והנחות'!$F$11)^3</f>
        <v/>
      </c>
      <c r="J105" s="51">
        <f>J104/(1+'נתונים והנחות'!$F$11)^4</f>
        <v/>
      </c>
      <c r="K105" s="51">
        <f>K104/(1+'נתונים והנחות'!$F$11)^5</f>
        <v/>
      </c>
      <c r="L105" s="51">
        <f>L104/(1+'נתונים והנחות'!$F$11)^6</f>
        <v/>
      </c>
      <c r="M105" s="51">
        <f>M104/(1+'נתונים והנחות'!$F$11)^7</f>
        <v/>
      </c>
      <c r="N105" s="51">
        <f>N104/(1+'נתונים והנחות'!$F$11)^8</f>
        <v/>
      </c>
      <c r="O105" s="51">
        <f>O104/(1+'נתונים והנחות'!$F$11)^9</f>
        <v/>
      </c>
      <c r="P105" s="51">
        <f>P104/(1+'נתונים והנחות'!$F$11)^10</f>
        <v/>
      </c>
      <c r="Q105" s="51">
        <f>Q104/(1+'נתונים והנחות'!$F$11)^11</f>
        <v/>
      </c>
      <c r="R105" s="51">
        <f>R104/(1+'נתונים והנחות'!$F$11)^12</f>
        <v/>
      </c>
      <c r="S105" s="51">
        <f>S104/(1+'נתונים והנחות'!$F$11)^13</f>
        <v/>
      </c>
      <c r="T105" s="51">
        <f>T104/(1+'נתונים והנחות'!$F$11)^14</f>
        <v/>
      </c>
      <c r="U105" s="51">
        <f>U104/(1+'נתונים והנחות'!$F$11)^15</f>
        <v/>
      </c>
      <c r="V105" s="51">
        <f>V104/(1+'נתונים והנחות'!$F$11)^16</f>
        <v/>
      </c>
      <c r="W105" s="51">
        <f>W104/(1+'נתונים והנחות'!$F$11)^17</f>
        <v/>
      </c>
      <c r="X105" s="51">
        <f>X104/(1+'נתונים והנחות'!$F$11)^18</f>
        <v/>
      </c>
      <c r="Y105" s="51">
        <f>Y104/(1+'נתונים והנחות'!$F$11)^19</f>
        <v/>
      </c>
      <c r="Z105" s="51">
        <f>Z104/(1+'נתונים והנחות'!$F$11)^20</f>
        <v/>
      </c>
    </row>
    <row r="106">
      <c r="B106" s="7" t="inlineStr">
        <is>
          <t>NPV מצטבר — תרחיש B</t>
        </is>
      </c>
      <c r="C106" s="10" t="inlineStr">
        <is>
          <t>₪</t>
        </is>
      </c>
      <c r="D106" s="10" t="inlineStr">
        <is>
          <t>חישוב</t>
        </is>
      </c>
      <c r="F106" s="51">
        <f>F105</f>
        <v/>
      </c>
      <c r="G106" s="51">
        <f>F106+G105</f>
        <v/>
      </c>
      <c r="H106" s="51">
        <f>G106+H105</f>
        <v/>
      </c>
      <c r="I106" s="51">
        <f>H106+I105</f>
        <v/>
      </c>
      <c r="J106" s="51">
        <f>I106+J105</f>
        <v/>
      </c>
      <c r="K106" s="51">
        <f>J106+K105</f>
        <v/>
      </c>
      <c r="L106" s="51">
        <f>K106+L105</f>
        <v/>
      </c>
      <c r="M106" s="51">
        <f>L106+M105</f>
        <v/>
      </c>
      <c r="N106" s="51">
        <f>M106+N105</f>
        <v/>
      </c>
      <c r="O106" s="51">
        <f>N106+O105</f>
        <v/>
      </c>
      <c r="P106" s="51">
        <f>O106+P105</f>
        <v/>
      </c>
      <c r="Q106" s="51">
        <f>P106+Q105</f>
        <v/>
      </c>
      <c r="R106" s="51">
        <f>Q106+R105</f>
        <v/>
      </c>
      <c r="S106" s="51">
        <f>R106+S105</f>
        <v/>
      </c>
      <c r="T106" s="51">
        <f>S106+T105</f>
        <v/>
      </c>
      <c r="U106" s="51">
        <f>T106+U105</f>
        <v/>
      </c>
      <c r="V106" s="51">
        <f>U106+V105</f>
        <v/>
      </c>
      <c r="W106" s="51">
        <f>V106+W105</f>
        <v/>
      </c>
      <c r="X106" s="51">
        <f>W106+X105</f>
        <v/>
      </c>
      <c r="Y106" s="51">
        <f>X106+Y105</f>
        <v/>
      </c>
      <c r="Z106" s="51">
        <f>Y106+Z105</f>
        <v/>
      </c>
    </row>
    <row r="108">
      <c r="B108" s="55" t="inlineStr">
        <is>
          <t>תרחיש C — רכישת צ'ילרים | פחת מואץ (עם תמריץ)</t>
        </is>
      </c>
    </row>
    <row r="109">
      <c r="B109" s="47" t="inlineStr">
        <is>
          <t>* OPEX זהה לתרחיש B — ההבדל הוא מגן המס המואץ בלבד</t>
        </is>
      </c>
    </row>
    <row r="110">
      <c r="B110" s="8" t="inlineStr">
        <is>
          <t>תזרים נקי — תרחיש C</t>
        </is>
      </c>
      <c r="C110" s="10" t="inlineStr">
        <is>
          <t>₪</t>
        </is>
      </c>
      <c r="D110" s="10" t="inlineStr">
        <is>
          <t>חישוב</t>
        </is>
      </c>
      <c r="F110" s="52">
        <f>F101</f>
        <v/>
      </c>
      <c r="G110" s="52">
        <f>G102+G103+G88</f>
        <v/>
      </c>
      <c r="H110" s="52">
        <f>H102+H103+H88</f>
        <v/>
      </c>
      <c r="I110" s="52">
        <f>I102+I103+I88</f>
        <v/>
      </c>
      <c r="J110" s="52">
        <f>J102+J103+J88</f>
        <v/>
      </c>
      <c r="K110" s="52">
        <f>K102+K103+K88</f>
        <v/>
      </c>
      <c r="L110" s="52">
        <f>L102+L103+L88</f>
        <v/>
      </c>
      <c r="M110" s="52">
        <f>M102+M103+M88</f>
        <v/>
      </c>
      <c r="N110" s="52">
        <f>N102+N103+N88</f>
        <v/>
      </c>
      <c r="O110" s="52">
        <f>O102+O103+O88</f>
        <v/>
      </c>
      <c r="P110" s="52">
        <f>P102+P103+P88</f>
        <v/>
      </c>
      <c r="Q110" s="52">
        <f>Q102+Q103+Q88</f>
        <v/>
      </c>
      <c r="R110" s="52">
        <f>R102+R103+R88</f>
        <v/>
      </c>
      <c r="S110" s="52">
        <f>S102+S103+S88</f>
        <v/>
      </c>
      <c r="T110" s="52">
        <f>T102+T103+T88</f>
        <v/>
      </c>
      <c r="U110" s="52">
        <f>U102+U103+U88</f>
        <v/>
      </c>
      <c r="V110" s="52">
        <f>V102+V103+V88</f>
        <v/>
      </c>
      <c r="W110" s="52">
        <f>W102+W103+W88</f>
        <v/>
      </c>
      <c r="X110" s="52">
        <f>X102+X103+X88</f>
        <v/>
      </c>
      <c r="Y110" s="52">
        <f>Y102+Y103+Y88</f>
        <v/>
      </c>
      <c r="Z110" s="52">
        <f>Z102+Z103+Z88</f>
        <v/>
      </c>
    </row>
    <row r="111">
      <c r="B111" s="8" t="inlineStr">
        <is>
          <t>תזרים מהוון — תרחיש C</t>
        </is>
      </c>
      <c r="C111" s="10" t="inlineStr">
        <is>
          <t>₪</t>
        </is>
      </c>
      <c r="D111" s="10" t="inlineStr">
        <is>
          <t>חישוב</t>
        </is>
      </c>
      <c r="F111" s="52">
        <f>F110</f>
        <v/>
      </c>
      <c r="G111" s="52">
        <f>G110/(1+'נתונים והנחות'!$F$11)^1</f>
        <v/>
      </c>
      <c r="H111" s="52">
        <f>H110/(1+'נתונים והנחות'!$F$11)^2</f>
        <v/>
      </c>
      <c r="I111" s="52">
        <f>I110/(1+'נתונים והנחות'!$F$11)^3</f>
        <v/>
      </c>
      <c r="J111" s="52">
        <f>J110/(1+'נתונים והנחות'!$F$11)^4</f>
        <v/>
      </c>
      <c r="K111" s="52">
        <f>K110/(1+'נתונים והנחות'!$F$11)^5</f>
        <v/>
      </c>
      <c r="L111" s="52">
        <f>L110/(1+'נתונים והנחות'!$F$11)^6</f>
        <v/>
      </c>
      <c r="M111" s="52">
        <f>M110/(1+'נתונים והנחות'!$F$11)^7</f>
        <v/>
      </c>
      <c r="N111" s="52">
        <f>N110/(1+'נתונים והנחות'!$F$11)^8</f>
        <v/>
      </c>
      <c r="O111" s="52">
        <f>O110/(1+'נתונים והנחות'!$F$11)^9</f>
        <v/>
      </c>
      <c r="P111" s="52">
        <f>P110/(1+'נתונים והנחות'!$F$11)^10</f>
        <v/>
      </c>
      <c r="Q111" s="52">
        <f>Q110/(1+'נתונים והנחות'!$F$11)^11</f>
        <v/>
      </c>
      <c r="R111" s="52">
        <f>R110/(1+'נתונים והנחות'!$F$11)^12</f>
        <v/>
      </c>
      <c r="S111" s="52">
        <f>S110/(1+'נתונים והנחות'!$F$11)^13</f>
        <v/>
      </c>
      <c r="T111" s="52">
        <f>T110/(1+'נתונים והנחות'!$F$11)^14</f>
        <v/>
      </c>
      <c r="U111" s="52">
        <f>U110/(1+'נתונים והנחות'!$F$11)^15</f>
        <v/>
      </c>
      <c r="V111" s="52">
        <f>V110/(1+'נתונים והנחות'!$F$11)^16</f>
        <v/>
      </c>
      <c r="W111" s="52">
        <f>W110/(1+'נתונים והנחות'!$F$11)^17</f>
        <v/>
      </c>
      <c r="X111" s="52">
        <f>X110/(1+'נתונים והנחות'!$F$11)^18</f>
        <v/>
      </c>
      <c r="Y111" s="52">
        <f>Y110/(1+'נתונים והנחות'!$F$11)^19</f>
        <v/>
      </c>
      <c r="Z111" s="52">
        <f>Z110/(1+'נתונים והנחות'!$F$11)^20</f>
        <v/>
      </c>
    </row>
    <row r="112">
      <c r="B112" s="8" t="inlineStr">
        <is>
          <t>NPV מצטבר — תרחיש C</t>
        </is>
      </c>
      <c r="C112" s="10" t="inlineStr">
        <is>
          <t>₪</t>
        </is>
      </c>
      <c r="D112" s="10" t="inlineStr">
        <is>
          <t>חישוב</t>
        </is>
      </c>
      <c r="F112" s="52">
        <f>F111</f>
        <v/>
      </c>
      <c r="G112" s="52">
        <f>F112+G111</f>
        <v/>
      </c>
      <c r="H112" s="52">
        <f>G112+H111</f>
        <v/>
      </c>
      <c r="I112" s="52">
        <f>H112+I111</f>
        <v/>
      </c>
      <c r="J112" s="52">
        <f>I112+J111</f>
        <v/>
      </c>
      <c r="K112" s="52">
        <f>J112+K111</f>
        <v/>
      </c>
      <c r="L112" s="52">
        <f>K112+L111</f>
        <v/>
      </c>
      <c r="M112" s="52">
        <f>L112+M111</f>
        <v/>
      </c>
      <c r="N112" s="52">
        <f>M112+N111</f>
        <v/>
      </c>
      <c r="O112" s="52">
        <f>N112+O111</f>
        <v/>
      </c>
      <c r="P112" s="52">
        <f>O112+P111</f>
        <v/>
      </c>
      <c r="Q112" s="52">
        <f>P112+Q111</f>
        <v/>
      </c>
      <c r="R112" s="52">
        <f>Q112+R111</f>
        <v/>
      </c>
      <c r="S112" s="52">
        <f>R112+S111</f>
        <v/>
      </c>
      <c r="T112" s="52">
        <f>S112+T111</f>
        <v/>
      </c>
      <c r="U112" s="52">
        <f>T112+U111</f>
        <v/>
      </c>
      <c r="V112" s="52">
        <f>U112+V111</f>
        <v/>
      </c>
      <c r="W112" s="52">
        <f>V112+W111</f>
        <v/>
      </c>
      <c r="X112" s="52">
        <f>W112+X111</f>
        <v/>
      </c>
      <c r="Y112" s="52">
        <f>X112+Y111</f>
        <v/>
      </c>
      <c r="Z112" s="52">
        <f>Y112+Z111</f>
        <v/>
      </c>
    </row>
    <row r="114">
      <c r="B114" s="49" t="inlineStr">
        <is>
          <t>ד. תוצאות</t>
        </is>
      </c>
    </row>
    <row r="115">
      <c r="B115" s="56" t="inlineStr">
        <is>
          <t>NPV — תרחיש A (מערכת קירור קונבנציונלית)</t>
        </is>
      </c>
      <c r="C115" s="10" t="inlineStr">
        <is>
          <t>ש"ח</t>
        </is>
      </c>
      <c r="F115" s="50">
        <f>SUM(F97:Z97)</f>
        <v/>
      </c>
    </row>
    <row r="116">
      <c r="B116" s="57" t="inlineStr">
        <is>
          <t>NPV — תרחיש B (צ'ילרים, ללא תמריץ)</t>
        </is>
      </c>
      <c r="C116" s="10" t="inlineStr">
        <is>
          <t>ש"ח</t>
        </is>
      </c>
      <c r="F116" s="51">
        <f>SUM(F105:Z105)</f>
        <v/>
      </c>
    </row>
    <row r="117">
      <c r="B117" s="58" t="inlineStr">
        <is>
          <t>NPV — תרחיש C (צ'ילרים, עם תמריץ)</t>
        </is>
      </c>
      <c r="C117" s="10" t="inlineStr">
        <is>
          <t>ש"ח</t>
        </is>
      </c>
      <c r="F117" s="52">
        <f>SUM(F111:Z111)</f>
        <v/>
      </c>
    </row>
    <row r="119">
      <c r="B119" s="59" t="inlineStr">
        <is>
          <t>NPV מצטבר — הצדקת השדרוג (B−A)</t>
        </is>
      </c>
      <c r="C119" s="10" t="inlineStr">
        <is>
          <t>ש"ח</t>
        </is>
      </c>
      <c r="F119" s="60">
        <f>F116-F115</f>
        <v/>
      </c>
    </row>
    <row r="120">
      <c r="B120" s="61" t="inlineStr">
        <is>
          <t>ערך התמריץ — תועלת הפחת המואץ (C−B)</t>
        </is>
      </c>
      <c r="C120" s="10" t="inlineStr">
        <is>
          <t>ש"ח</t>
        </is>
      </c>
      <c r="F120" s="62">
        <f>F117-F116</f>
        <v/>
      </c>
    </row>
    <row r="122">
      <c r="B122" s="56" t="inlineStr">
        <is>
          <t>ROI — תרחיש A</t>
        </is>
      </c>
      <c r="C122" s="10" t="inlineStr">
        <is>
          <t>%</t>
        </is>
      </c>
      <c r="F122" s="63">
        <f>IF(ISNUMBER('נתונים והנחות'!$G$47),(SUM(F97:Z97)+'נתונים והנחות'!$G$47)/'נתונים והנחות'!$G$47,"PENDING")</f>
        <v/>
      </c>
    </row>
    <row r="123">
      <c r="B123" s="57" t="inlineStr">
        <is>
          <t>ROI — תרחיש B</t>
        </is>
      </c>
      <c r="C123" s="10" t="inlineStr">
        <is>
          <t>%</t>
        </is>
      </c>
      <c r="F123" s="64">
        <f>IF(ISNUMBER('נתונים והנחות'!$G$48),(SUM(F105:Z105)+'נתונים והנחות'!$G$48)/'נתונים והנחות'!$G$48,"PENDING")</f>
        <v/>
      </c>
    </row>
    <row r="124">
      <c r="B124" s="58" t="inlineStr">
        <is>
          <t>ROI — תרחיש C</t>
        </is>
      </c>
      <c r="C124" s="10" t="inlineStr">
        <is>
          <t>%</t>
        </is>
      </c>
      <c r="F124" s="65">
        <f>IF(ISNUMBER('נתונים והנחות'!$G$48),(SUM(F111:Z111)+'נתונים והנחות'!$G$48)/'נתונים והנחות'!$G$48,"PENDING")</f>
        <v/>
      </c>
    </row>
    <row r="126">
      <c r="B126" s="59" t="inlineStr">
        <is>
          <t>תקופת החזר ΔCapEx ללא תמריץ (B−A)</t>
        </is>
      </c>
      <c r="C126" s="10" t="inlineStr">
        <is>
          <t>שנים</t>
        </is>
      </c>
      <c r="E126" s="47" t="inlineStr">
        <is>
          <t>זמן להחזר ההשקעה הנוספת | מחושב על ΔCF = CF_B − CF_A</t>
        </is>
      </c>
      <c r="F126" s="66">
        <f>IFERROR(MATCH(1,(F132:Z132&gt;0)*1,0)-2+ABS(INDEX(F132:Z132,MATCH(1,(F132:Z132&gt;0)*1,0)-1))/(INDEX(F132:Z132,MATCH(1,(F132:Z132&gt;0)*1,0))-INDEX(F132:Z132,MATCH(1,(F132:Z132&gt;0)*1,0)-1)),"לא מגיע לפירעון")</f>
        <v/>
      </c>
    </row>
    <row r="127">
      <c r="B127" s="67" t="inlineStr">
        <is>
          <t>תקופת החזר ΔCapEx עם תמריץ (C−A)</t>
        </is>
      </c>
      <c r="C127" s="68" t="inlineStr">
        <is>
          <t>שנים</t>
        </is>
      </c>
      <c r="E127" s="47" t="inlineStr">
        <is>
          <t>כולל יתרון מגן המס המואץ | מחושב על ΔCF = CF_C − CF_A</t>
        </is>
      </c>
      <c r="F127" s="69">
        <f>IFERROR(MATCH(1,(F133:Z133&gt;0)*1,0)-2+ABS(INDEX(F133:Z133,MATCH(1,(F133:Z133&gt;0)*1,0)-1))/(INDEX(F133:Z133,MATCH(1,(F133:Z133&gt;0)*1,0))-INDEX(F133:Z133,MATCH(1,(F133:Z133&gt;0)*1,0)-1)),"לא מגיע לפירעון")</f>
        <v/>
      </c>
    </row>
    <row r="130">
      <c r="B130" s="49" t="inlineStr">
        <is>
          <t>NPV מצטבר — מנקודת מבט ΔCapEx (לחישוב תקופת החזר על השקעה נוספת)</t>
        </is>
      </c>
    </row>
    <row r="131">
      <c r="B131" s="24" t="inlineStr">
        <is>
          <t>פרמטר</t>
        </is>
      </c>
      <c r="C131" s="24" t="inlineStr">
        <is>
          <t>יחידות</t>
        </is>
      </c>
      <c r="D131" s="24" t="inlineStr">
        <is>
          <t>מקור</t>
        </is>
      </c>
      <c r="E131" s="24" t="inlineStr">
        <is>
          <t>הערות</t>
        </is>
      </c>
      <c r="F131" s="24" t="inlineStr">
        <is>
          <t>שנה 0</t>
        </is>
      </c>
      <c r="G131" s="24" t="inlineStr">
        <is>
          <t>שנה 1</t>
        </is>
      </c>
      <c r="H131" s="24" t="inlineStr">
        <is>
          <t>שנה 2</t>
        </is>
      </c>
      <c r="I131" s="24" t="inlineStr">
        <is>
          <t>שנה 3</t>
        </is>
      </c>
      <c r="J131" s="24" t="inlineStr">
        <is>
          <t>שנה 4</t>
        </is>
      </c>
      <c r="K131" s="24" t="inlineStr">
        <is>
          <t>שנה 5</t>
        </is>
      </c>
      <c r="L131" s="24" t="inlineStr">
        <is>
          <t>שנה 6</t>
        </is>
      </c>
      <c r="M131" s="24" t="inlineStr">
        <is>
          <t>שנה 7</t>
        </is>
      </c>
      <c r="N131" s="24" t="inlineStr">
        <is>
          <t>שנה 8</t>
        </is>
      </c>
      <c r="O131" s="24" t="inlineStr">
        <is>
          <t>שנה 9</t>
        </is>
      </c>
      <c r="P131" s="24" t="inlineStr">
        <is>
          <t>שנה 10</t>
        </is>
      </c>
      <c r="Q131" s="24" t="inlineStr">
        <is>
          <t>שנה 11</t>
        </is>
      </c>
      <c r="R131" s="24" t="inlineStr">
        <is>
          <t>שנה 12</t>
        </is>
      </c>
      <c r="S131" s="24" t="inlineStr">
        <is>
          <t>שנה 13</t>
        </is>
      </c>
      <c r="T131" s="24" t="inlineStr">
        <is>
          <t>שנה 14</t>
        </is>
      </c>
      <c r="U131" s="24" t="inlineStr">
        <is>
          <t>שנה 15</t>
        </is>
      </c>
      <c r="V131" s="24" t="inlineStr">
        <is>
          <t>שנה 16</t>
        </is>
      </c>
      <c r="W131" s="24" t="inlineStr">
        <is>
          <t>שנה 17</t>
        </is>
      </c>
      <c r="X131" s="24" t="inlineStr">
        <is>
          <t>שנה 18</t>
        </is>
      </c>
      <c r="Y131" s="24" t="inlineStr">
        <is>
          <t>שנה 19</t>
        </is>
      </c>
      <c r="Z131" s="24" t="inlineStr">
        <is>
          <t>שנה 20</t>
        </is>
      </c>
    </row>
    <row r="132">
      <c r="B132" s="2" t="inlineStr">
        <is>
          <t>NPV מצטבר ΔCF — שדרוג ללא תמריץ (B−A)</t>
        </is>
      </c>
      <c r="C132" s="10" t="inlineStr">
        <is>
          <t>₪</t>
        </is>
      </c>
      <c r="D132" s="10" t="inlineStr">
        <is>
          <t>חישוב</t>
        </is>
      </c>
      <c r="F132" s="60">
        <f>IF(ISNUMBER('נתונים והנחות'!$G$49),-'נתונים והנחות'!$G$49,"PENDING")</f>
        <v/>
      </c>
      <c r="G132" s="60">
        <f>F132+(G105-G97)</f>
        <v/>
      </c>
      <c r="H132" s="60">
        <f>G132+(H105-H97)</f>
        <v/>
      </c>
      <c r="I132" s="60">
        <f>H132+(I105-I97)</f>
        <v/>
      </c>
      <c r="J132" s="60">
        <f>I132+(J105-J97)</f>
        <v/>
      </c>
      <c r="K132" s="60">
        <f>J132+(K105-K97)</f>
        <v/>
      </c>
      <c r="L132" s="60">
        <f>K132+(L105-L97)</f>
        <v/>
      </c>
      <c r="M132" s="60">
        <f>L132+(M105-M97)</f>
        <v/>
      </c>
      <c r="N132" s="60">
        <f>M132+(N105-N97)</f>
        <v/>
      </c>
      <c r="O132" s="60">
        <f>N132+(O105-O97)</f>
        <v/>
      </c>
      <c r="P132" s="60">
        <f>O132+(P105-P97)</f>
        <v/>
      </c>
      <c r="Q132" s="60">
        <f>P132+(Q105-Q97)</f>
        <v/>
      </c>
      <c r="R132" s="60">
        <f>Q132+(R105-R97)</f>
        <v/>
      </c>
      <c r="S132" s="60">
        <f>R132+(S105-S97)</f>
        <v/>
      </c>
      <c r="T132" s="60">
        <f>S132+(T105-T97)</f>
        <v/>
      </c>
      <c r="U132" s="60">
        <f>T132+(U105-U97)</f>
        <v/>
      </c>
      <c r="V132" s="60">
        <f>U132+(V105-V97)</f>
        <v/>
      </c>
      <c r="W132" s="60">
        <f>V132+(W105-W97)</f>
        <v/>
      </c>
      <c r="X132" s="60">
        <f>W132+(X105-X97)</f>
        <v/>
      </c>
      <c r="Y132" s="60">
        <f>X132+(Y105-Y97)</f>
        <v/>
      </c>
      <c r="Z132" s="60">
        <f>Y132+(Z105-Z97)</f>
        <v/>
      </c>
    </row>
    <row r="133">
      <c r="B133" s="44" t="inlineStr">
        <is>
          <t>NPV מצטבר ΔCF — שדרוג עם תמריץ (C−A)</t>
        </is>
      </c>
      <c r="C133" s="10" t="inlineStr">
        <is>
          <t>₪</t>
        </is>
      </c>
      <c r="D133" s="10" t="inlineStr">
        <is>
          <t>חישוב</t>
        </is>
      </c>
      <c r="F133" s="62">
        <f>IF(ISNUMBER('נתונים והנחות'!$G$49),-'נתונים והנחות'!$G$49,"PENDING")</f>
        <v/>
      </c>
      <c r="G133" s="62">
        <f>F133+(G111-G97)</f>
        <v/>
      </c>
      <c r="H133" s="62">
        <f>G133+(H111-H97)</f>
        <v/>
      </c>
      <c r="I133" s="62">
        <f>H133+(I111-I97)</f>
        <v/>
      </c>
      <c r="J133" s="62">
        <f>I133+(J111-J97)</f>
        <v/>
      </c>
      <c r="K133" s="62">
        <f>J133+(K111-K97)</f>
        <v/>
      </c>
      <c r="L133" s="62">
        <f>K133+(L111-L97)</f>
        <v/>
      </c>
      <c r="M133" s="62">
        <f>L133+(M111-M97)</f>
        <v/>
      </c>
      <c r="N133" s="62">
        <f>M133+(N111-N97)</f>
        <v/>
      </c>
      <c r="O133" s="62">
        <f>N133+(O111-O97)</f>
        <v/>
      </c>
      <c r="P133" s="62">
        <f>O133+(P111-P97)</f>
        <v/>
      </c>
      <c r="Q133" s="62">
        <f>P133+(Q111-Q97)</f>
        <v/>
      </c>
      <c r="R133" s="62">
        <f>Q133+(R111-R97)</f>
        <v/>
      </c>
      <c r="S133" s="62">
        <f>R133+(S111-S97)</f>
        <v/>
      </c>
      <c r="T133" s="62">
        <f>S133+(T111-T97)</f>
        <v/>
      </c>
      <c r="U133" s="62">
        <f>T133+(U111-U97)</f>
        <v/>
      </c>
      <c r="V133" s="62">
        <f>U133+(V111-V97)</f>
        <v/>
      </c>
      <c r="W133" s="62">
        <f>V133+(W111-W97)</f>
        <v/>
      </c>
      <c r="X133" s="62">
        <f>W133+(X111-X97)</f>
        <v/>
      </c>
      <c r="Y133" s="62">
        <f>X133+(Y111-Y97)</f>
        <v/>
      </c>
      <c r="Z133" s="62">
        <f>Y133+(Z111-Z97)</f>
        <v/>
      </c>
    </row>
    <row r="137">
      <c r="B137" s="48" t="inlineStr">
        <is>
          <t>3.3  מדחסי VSD</t>
        </is>
      </c>
    </row>
    <row r="138">
      <c r="B138" s="47" t="inlineStr">
        <is>
          <t>* מדחסי אוויר עם בקרת מהירות משתנה | אורך חיים: 12 שנה | כל הנתונים: גיליון 'נתונים והנחות' — סעיף 4</t>
        </is>
      </c>
    </row>
    <row r="139">
      <c r="B139" s="49" t="inlineStr">
        <is>
          <t>ב. לוחות פחת (ציוד בסיסי vs. יעיל)</t>
        </is>
      </c>
    </row>
    <row r="140">
      <c r="B140" s="24" t="inlineStr">
        <is>
          <t>פרמטר</t>
        </is>
      </c>
      <c r="C140" s="24" t="inlineStr">
        <is>
          <t>יחידות</t>
        </is>
      </c>
      <c r="D140" s="24" t="inlineStr">
        <is>
          <t>מקור</t>
        </is>
      </c>
      <c r="E140" s="24" t="inlineStr">
        <is>
          <t>הערות</t>
        </is>
      </c>
      <c r="F140" s="24" t="inlineStr">
        <is>
          <t>שנה 0 (השקעה)</t>
        </is>
      </c>
      <c r="G140" s="24" t="inlineStr">
        <is>
          <t>שנה 1</t>
        </is>
      </c>
      <c r="H140" s="24" t="inlineStr">
        <is>
          <t>שנה 2</t>
        </is>
      </c>
      <c r="I140" s="24" t="inlineStr">
        <is>
          <t>שנה 3</t>
        </is>
      </c>
      <c r="J140" s="24" t="inlineStr">
        <is>
          <t>שנה 4</t>
        </is>
      </c>
      <c r="K140" s="24" t="inlineStr">
        <is>
          <t>שנה 5</t>
        </is>
      </c>
      <c r="L140" s="24" t="inlineStr">
        <is>
          <t>שנה 6</t>
        </is>
      </c>
      <c r="M140" s="24" t="inlineStr">
        <is>
          <t>שנה 7</t>
        </is>
      </c>
      <c r="N140" s="24" t="inlineStr">
        <is>
          <t>שנה 8</t>
        </is>
      </c>
      <c r="O140" s="24" t="inlineStr">
        <is>
          <t>שנה 9</t>
        </is>
      </c>
      <c r="P140" s="24" t="inlineStr">
        <is>
          <t>שנה 10</t>
        </is>
      </c>
      <c r="Q140" s="24" t="inlineStr">
        <is>
          <t>שנה 11</t>
        </is>
      </c>
      <c r="R140" s="24" t="inlineStr">
        <is>
          <t>שנה 12</t>
        </is>
      </c>
      <c r="S140" s="24" t="inlineStr">
        <is>
          <t>שנה 13</t>
        </is>
      </c>
      <c r="T140" s="24" t="inlineStr">
        <is>
          <t>שנה 14</t>
        </is>
      </c>
      <c r="U140" s="24" t="inlineStr">
        <is>
          <t>שנה 15</t>
        </is>
      </c>
      <c r="V140" s="24" t="inlineStr">
        <is>
          <t>שנה 16</t>
        </is>
      </c>
      <c r="W140" s="24" t="inlineStr">
        <is>
          <t>שנה 17</t>
        </is>
      </c>
      <c r="X140" s="24" t="inlineStr">
        <is>
          <t>שנה 18</t>
        </is>
      </c>
      <c r="Y140" s="24" t="inlineStr">
        <is>
          <t>שנה 19</t>
        </is>
      </c>
      <c r="Z140" s="24" t="inlineStr">
        <is>
          <t>שנה 20</t>
        </is>
      </c>
    </row>
    <row r="141">
      <c r="B141" s="6" t="inlineStr">
        <is>
          <t>פחת סטנדרטי — מדחס מהירות קבועה</t>
        </is>
      </c>
      <c r="C141" s="10" t="inlineStr">
        <is>
          <t>₪</t>
        </is>
      </c>
      <c r="D141" s="10" t="inlineStr">
        <is>
          <t>חישוב</t>
        </is>
      </c>
      <c r="E141" s="10" t="inlineStr">
        <is>
          <t>קו ישר | 10%/שנה | עד 10 שנים | CapEx בסיסי</t>
        </is>
      </c>
      <c r="F141" s="50" t="n">
        <v>0</v>
      </c>
      <c r="G141" s="50">
        <f>IF(ISNUMBER('נתונים והנחות'!$H$47),'נתונים והנחות'!$H$47*0.1,0)</f>
        <v/>
      </c>
      <c r="H141" s="50">
        <f>IF(ISNUMBER('נתונים והנחות'!$H$47),'נתונים והנחות'!$H$47*0.1,0)</f>
        <v/>
      </c>
      <c r="I141" s="50">
        <f>IF(ISNUMBER('נתונים והנחות'!$H$47),'נתונים והנחות'!$H$47*0.1,0)</f>
        <v/>
      </c>
      <c r="J141" s="50">
        <f>IF(ISNUMBER('נתונים והנחות'!$H$47),'נתונים והנחות'!$H$47*0.1,0)</f>
        <v/>
      </c>
      <c r="K141" s="50">
        <f>IF(ISNUMBER('נתונים והנחות'!$H$47),'נתונים והנחות'!$H$47*0.1,0)</f>
        <v/>
      </c>
      <c r="L141" s="50">
        <f>IF(ISNUMBER('נתונים והנחות'!$H$47),'נתונים והנחות'!$H$47*0.1,0)</f>
        <v/>
      </c>
      <c r="M141" s="50">
        <f>IF(ISNUMBER('נתונים והנחות'!$H$47),'נתונים והנחות'!$H$47*0.1,0)</f>
        <v/>
      </c>
      <c r="N141" s="50">
        <f>IF(ISNUMBER('נתונים והנחות'!$H$47),'נתונים והנחות'!$H$47*0.1,0)</f>
        <v/>
      </c>
      <c r="O141" s="50">
        <f>IF(ISNUMBER('נתונים והנחות'!$H$47),'נתונים והנחות'!$H$47*0.1,0)</f>
        <v/>
      </c>
      <c r="P141" s="50">
        <f>IF(ISNUMBER('נתונים והנחות'!$H$47),'נתונים והנחות'!$H$47*0.1,0)</f>
        <v/>
      </c>
      <c r="Q141" s="50">
        <f>0</f>
        <v/>
      </c>
      <c r="R141" s="50">
        <f>0</f>
        <v/>
      </c>
      <c r="S141" s="50">
        <f>0</f>
        <v/>
      </c>
      <c r="T141" s="50">
        <f>0</f>
        <v/>
      </c>
      <c r="U141" s="50">
        <f>0</f>
        <v/>
      </c>
      <c r="V141" s="50">
        <f>0</f>
        <v/>
      </c>
      <c r="W141" s="50">
        <f>0</f>
        <v/>
      </c>
      <c r="X141" s="50">
        <f>0</f>
        <v/>
      </c>
      <c r="Y141" s="50">
        <f>0</f>
        <v/>
      </c>
      <c r="Z141" s="50">
        <f>0</f>
        <v/>
      </c>
    </row>
    <row r="142">
      <c r="B142" s="6" t="inlineStr">
        <is>
          <t>מגן מס — מדחס מהירות קבועה</t>
        </is>
      </c>
      <c r="C142" s="10" t="inlineStr">
        <is>
          <t>₪</t>
        </is>
      </c>
      <c r="D142" s="10" t="inlineStr">
        <is>
          <t>חישוב</t>
        </is>
      </c>
      <c r="E142" s="10">
        <f> פחת × שיעור מס</f>
        <v/>
      </c>
      <c r="F142" s="50" t="n">
        <v>0</v>
      </c>
      <c r="G142" s="50">
        <f>G141*'נתונים והנחות'!$F$10</f>
        <v/>
      </c>
      <c r="H142" s="50">
        <f>H141*'נתונים והנחות'!$F$10</f>
        <v/>
      </c>
      <c r="I142" s="50">
        <f>I141*'נתונים והנחות'!$F$10</f>
        <v/>
      </c>
      <c r="J142" s="50">
        <f>J141*'נתונים והנחות'!$F$10</f>
        <v/>
      </c>
      <c r="K142" s="50">
        <f>K141*'נתונים והנחות'!$F$10</f>
        <v/>
      </c>
      <c r="L142" s="50">
        <f>L141*'נתונים והנחות'!$F$10</f>
        <v/>
      </c>
      <c r="M142" s="50">
        <f>M141*'נתונים והנחות'!$F$10</f>
        <v/>
      </c>
      <c r="N142" s="50">
        <f>N141*'נתונים והנחות'!$F$10</f>
        <v/>
      </c>
      <c r="O142" s="50">
        <f>O141*'נתונים והנחות'!$F$10</f>
        <v/>
      </c>
      <c r="P142" s="50">
        <f>P141*'נתונים והנחות'!$F$10</f>
        <v/>
      </c>
      <c r="Q142" s="50">
        <f>Q141*'נתונים והנחות'!$F$10</f>
        <v/>
      </c>
      <c r="R142" s="50">
        <f>R141*'נתונים והנחות'!$F$10</f>
        <v/>
      </c>
      <c r="S142" s="50">
        <f>S141*'נתונים והנחות'!$F$10</f>
        <v/>
      </c>
      <c r="T142" s="50">
        <f>T141*'נתונים והנחות'!$F$10</f>
        <v/>
      </c>
      <c r="U142" s="50">
        <f>U141*'נתונים והנחות'!$F$10</f>
        <v/>
      </c>
      <c r="V142" s="50">
        <f>V141*'נתונים והנחות'!$F$10</f>
        <v/>
      </c>
      <c r="W142" s="50">
        <f>W141*'נתונים והנחות'!$F$10</f>
        <v/>
      </c>
      <c r="X142" s="50">
        <f>X141*'נתונים והנחות'!$F$10</f>
        <v/>
      </c>
      <c r="Y142" s="50">
        <f>Y141*'נתונים והנחות'!$F$10</f>
        <v/>
      </c>
      <c r="Z142" s="50">
        <f>Z141*'נתונים והנחות'!$F$10</f>
        <v/>
      </c>
    </row>
    <row r="143">
      <c r="B143" s="7" t="inlineStr">
        <is>
          <t>פחת סטנדרטי — מדחסי VSD</t>
        </is>
      </c>
      <c r="C143" s="10" t="inlineStr">
        <is>
          <t>₪</t>
        </is>
      </c>
      <c r="D143" s="10" t="inlineStr">
        <is>
          <t>חישוב</t>
        </is>
      </c>
      <c r="E143" s="10" t="inlineStr">
        <is>
          <t>קו ישר | 10%/שנה | עד 10 שנים | CapEx יעיל</t>
        </is>
      </c>
      <c r="F143" s="51" t="n">
        <v>0</v>
      </c>
      <c r="G143" s="51">
        <f>IF(ISNUMBER('נתונים והנחות'!$H$48),'נתונים והנחות'!$H$48*0.1,0)</f>
        <v/>
      </c>
      <c r="H143" s="51">
        <f>IF(ISNUMBER('נתונים והנחות'!$H$48),'נתונים והנחות'!$H$48*0.1,0)</f>
        <v/>
      </c>
      <c r="I143" s="51">
        <f>IF(ISNUMBER('נתונים והנחות'!$H$48),'נתונים והנחות'!$H$48*0.1,0)</f>
        <v/>
      </c>
      <c r="J143" s="51">
        <f>IF(ISNUMBER('נתונים והנחות'!$H$48),'נתונים והנחות'!$H$48*0.1,0)</f>
        <v/>
      </c>
      <c r="K143" s="51">
        <f>IF(ISNUMBER('נתונים והנחות'!$H$48),'נתונים והנחות'!$H$48*0.1,0)</f>
        <v/>
      </c>
      <c r="L143" s="51">
        <f>IF(ISNUMBER('נתונים והנחות'!$H$48),'נתונים והנחות'!$H$48*0.1,0)</f>
        <v/>
      </c>
      <c r="M143" s="51">
        <f>IF(ISNUMBER('נתונים והנחות'!$H$48),'נתונים והנחות'!$H$48*0.1,0)</f>
        <v/>
      </c>
      <c r="N143" s="51">
        <f>IF(ISNUMBER('נתונים והנחות'!$H$48),'נתונים והנחות'!$H$48*0.1,0)</f>
        <v/>
      </c>
      <c r="O143" s="51">
        <f>IF(ISNUMBER('נתונים והנחות'!$H$48),'נתונים והנחות'!$H$48*0.1,0)</f>
        <v/>
      </c>
      <c r="P143" s="51">
        <f>IF(ISNUMBER('נתונים והנחות'!$H$48),'נתונים והנחות'!$H$48*0.1,0)</f>
        <v/>
      </c>
      <c r="Q143" s="51">
        <f>0</f>
        <v/>
      </c>
      <c r="R143" s="51">
        <f>0</f>
        <v/>
      </c>
      <c r="S143" s="51">
        <f>0</f>
        <v/>
      </c>
      <c r="T143" s="51">
        <f>0</f>
        <v/>
      </c>
      <c r="U143" s="51">
        <f>0</f>
        <v/>
      </c>
      <c r="V143" s="51">
        <f>0</f>
        <v/>
      </c>
      <c r="W143" s="51">
        <f>0</f>
        <v/>
      </c>
      <c r="X143" s="51">
        <f>0</f>
        <v/>
      </c>
      <c r="Y143" s="51">
        <f>0</f>
        <v/>
      </c>
      <c r="Z143" s="51">
        <f>0</f>
        <v/>
      </c>
    </row>
    <row r="144">
      <c r="B144" s="7" t="inlineStr">
        <is>
          <t>מגן מס סטנדרטי — מדחסי VSD</t>
        </is>
      </c>
      <c r="C144" s="10" t="inlineStr">
        <is>
          <t>₪</t>
        </is>
      </c>
      <c r="D144" s="10" t="inlineStr">
        <is>
          <t>חישוב</t>
        </is>
      </c>
      <c r="E144" s="10">
        <f> פחת × שיעור מס</f>
        <v/>
      </c>
      <c r="F144" s="51" t="n">
        <v>0</v>
      </c>
      <c r="G144" s="51">
        <f>G143*'נתונים והנחות'!$F$10</f>
        <v/>
      </c>
      <c r="H144" s="51">
        <f>H143*'נתונים והנחות'!$F$10</f>
        <v/>
      </c>
      <c r="I144" s="51">
        <f>I143*'נתונים והנחות'!$F$10</f>
        <v/>
      </c>
      <c r="J144" s="51">
        <f>J143*'נתונים והנחות'!$F$10</f>
        <v/>
      </c>
      <c r="K144" s="51">
        <f>K143*'נתונים והנחות'!$F$10</f>
        <v/>
      </c>
      <c r="L144" s="51">
        <f>L143*'נתונים והנחות'!$F$10</f>
        <v/>
      </c>
      <c r="M144" s="51">
        <f>M143*'נתונים והנחות'!$F$10</f>
        <v/>
      </c>
      <c r="N144" s="51">
        <f>N143*'נתונים והנחות'!$F$10</f>
        <v/>
      </c>
      <c r="O144" s="51">
        <f>O143*'נתונים והנחות'!$F$10</f>
        <v/>
      </c>
      <c r="P144" s="51">
        <f>P143*'נתונים והנחות'!$F$10</f>
        <v/>
      </c>
      <c r="Q144" s="51">
        <f>Q143*'נתונים והנחות'!$F$10</f>
        <v/>
      </c>
      <c r="R144" s="51">
        <f>R143*'נתונים והנחות'!$F$10</f>
        <v/>
      </c>
      <c r="S144" s="51">
        <f>S143*'נתונים והנחות'!$F$10</f>
        <v/>
      </c>
      <c r="T144" s="51">
        <f>T143*'נתונים והנחות'!$F$10</f>
        <v/>
      </c>
      <c r="U144" s="51">
        <f>U143*'נתונים והנחות'!$F$10</f>
        <v/>
      </c>
      <c r="V144" s="51">
        <f>V143*'נתונים והנחות'!$F$10</f>
        <v/>
      </c>
      <c r="W144" s="51">
        <f>W143*'נתונים והנחות'!$F$10</f>
        <v/>
      </c>
      <c r="X144" s="51">
        <f>X143*'נתונים והנחות'!$F$10</f>
        <v/>
      </c>
      <c r="Y144" s="51">
        <f>Y143*'נתונים והנחות'!$F$10</f>
        <v/>
      </c>
      <c r="Z144" s="51">
        <f>Z143*'נתונים והנחות'!$F$10</f>
        <v/>
      </c>
    </row>
    <row r="145">
      <c r="B145" s="8" t="inlineStr">
        <is>
          <t>פחת מואץ — מדחסי VSD</t>
        </is>
      </c>
      <c r="C145" s="10" t="inlineStr">
        <is>
          <t>₪</t>
        </is>
      </c>
      <c r="D145" s="10" t="inlineStr">
        <is>
          <t>חישוב</t>
        </is>
      </c>
      <c r="E145" s="10">
        <f> CapEx יעיל × (פחת סטנדרטי × מכפיל) | תקופה = 1 ÷ שיעור מואץ</f>
        <v/>
      </c>
      <c r="F145" s="52" t="n">
        <v>0</v>
      </c>
      <c r="G145" s="52">
        <f>IF(ISNUMBER('נתונים והנחות'!$H$48),IF(1&lt;=ROUND(1/(0.1*'נתונים והנחות'!$F$22),0),'נתונים והנחות'!$H$48*0.1*'נתונים והנחות'!$F$22,0),0)</f>
        <v/>
      </c>
      <c r="H145" s="52">
        <f>IF(ISNUMBER('נתונים והנחות'!$H$48),IF(2&lt;=ROUND(1/(0.1*'נתונים והנחות'!$F$22),0),'נתונים והנחות'!$H$48*0.1*'נתונים והנחות'!$F$22,0),0)</f>
        <v/>
      </c>
      <c r="I145" s="52">
        <f>IF(ISNUMBER('נתונים והנחות'!$H$48),IF(3&lt;=ROUND(1/(0.1*'נתונים והנחות'!$F$22),0),'נתונים והנחות'!$H$48*0.1*'נתונים והנחות'!$F$22,0),0)</f>
        <v/>
      </c>
      <c r="J145" s="52">
        <f>IF(ISNUMBER('נתונים והנחות'!$H$48),IF(4&lt;=ROUND(1/(0.1*'נתונים והנחות'!$F$22),0),'נתונים והנחות'!$H$48*0.1*'נתונים והנחות'!$F$22,0),0)</f>
        <v/>
      </c>
      <c r="K145" s="52">
        <f>IF(ISNUMBER('נתונים והנחות'!$H$48),IF(5&lt;=ROUND(1/(0.1*'נתונים והנחות'!$F$22),0),'נתונים והנחות'!$H$48*0.1*'נתונים והנחות'!$F$22,0),0)</f>
        <v/>
      </c>
      <c r="L145" s="52">
        <f>IF(ISNUMBER('נתונים והנחות'!$H$48),IF(6&lt;=ROUND(1/(0.1*'נתונים והנחות'!$F$22),0),'נתונים והנחות'!$H$48*0.1*'נתונים והנחות'!$F$22,0),0)</f>
        <v/>
      </c>
      <c r="M145" s="52">
        <f>IF(ISNUMBER('נתונים והנחות'!$H$48),IF(7&lt;=ROUND(1/(0.1*'נתונים והנחות'!$F$22),0),'נתונים והנחות'!$H$48*0.1*'נתונים והנחות'!$F$22,0),0)</f>
        <v/>
      </c>
      <c r="N145" s="52">
        <f>IF(ISNUMBER('נתונים והנחות'!$H$48),IF(8&lt;=ROUND(1/(0.1*'נתונים והנחות'!$F$22),0),'נתונים והנחות'!$H$48*0.1*'נתונים והנחות'!$F$22,0),0)</f>
        <v/>
      </c>
      <c r="O145" s="52">
        <f>IF(ISNUMBER('נתונים והנחות'!$H$48),IF(9&lt;=ROUND(1/(0.1*'נתונים והנחות'!$F$22),0),'נתונים והנחות'!$H$48*0.1*'נתונים והנחות'!$F$22,0),0)</f>
        <v/>
      </c>
      <c r="P145" s="52">
        <f>IF(ISNUMBER('נתונים והנחות'!$H$48),IF(10&lt;=ROUND(1/(0.1*'נתונים והנחות'!$F$22),0),'נתונים והנחות'!$H$48*0.1*'נתונים והנחות'!$F$22,0),0)</f>
        <v/>
      </c>
      <c r="Q145" s="52">
        <f>IF(ISNUMBER('נתונים והנחות'!$H$48),IF(11&lt;=ROUND(1/(0.1*'נתונים והנחות'!$F$22),0),'נתונים והנחות'!$H$48*0.1*'נתונים והנחות'!$F$22,0),0)</f>
        <v/>
      </c>
      <c r="R145" s="52">
        <f>IF(ISNUMBER('נתונים והנחות'!$H$48),IF(12&lt;=ROUND(1/(0.1*'נתונים והנחות'!$F$22),0),'נתונים והנחות'!$H$48*0.1*'נתונים והנחות'!$F$22,0),0)</f>
        <v/>
      </c>
      <c r="S145" s="52">
        <f>IF(ISNUMBER('נתונים והנחות'!$H$48),IF(13&lt;=ROUND(1/(0.1*'נתונים והנחות'!$F$22),0),'נתונים והנחות'!$H$48*0.1*'נתונים והנחות'!$F$22,0),0)</f>
        <v/>
      </c>
      <c r="T145" s="52">
        <f>IF(ISNUMBER('נתונים והנחות'!$H$48),IF(14&lt;=ROUND(1/(0.1*'נתונים והנחות'!$F$22),0),'נתונים והנחות'!$H$48*0.1*'נתונים והנחות'!$F$22,0),0)</f>
        <v/>
      </c>
      <c r="U145" s="52">
        <f>IF(ISNUMBER('נתונים והנחות'!$H$48),IF(15&lt;=ROUND(1/(0.1*'נתונים והנחות'!$F$22),0),'נתונים והנחות'!$H$48*0.1*'נתונים והנחות'!$F$22,0),0)</f>
        <v/>
      </c>
      <c r="V145" s="52">
        <f>IF(ISNUMBER('נתונים והנחות'!$H$48),IF(16&lt;=ROUND(1/(0.1*'נתונים והנחות'!$F$22),0),'נתונים והנחות'!$H$48*0.1*'נתונים והנחות'!$F$22,0),0)</f>
        <v/>
      </c>
      <c r="W145" s="52">
        <f>IF(ISNUMBER('נתונים והנחות'!$H$48),IF(17&lt;=ROUND(1/(0.1*'נתונים והנחות'!$F$22),0),'נתונים והנחות'!$H$48*0.1*'נתונים והנחות'!$F$22,0),0)</f>
        <v/>
      </c>
      <c r="X145" s="52">
        <f>IF(ISNUMBER('נתונים והנחות'!$H$48),IF(18&lt;=ROUND(1/(0.1*'נתונים והנחות'!$F$22),0),'נתונים והנחות'!$H$48*0.1*'נתונים והנחות'!$F$22,0),0)</f>
        <v/>
      </c>
      <c r="Y145" s="52">
        <f>IF(ISNUMBER('נתונים והנחות'!$H$48),IF(19&lt;=ROUND(1/(0.1*'נתונים והנחות'!$F$22),0),'נתונים והנחות'!$H$48*0.1*'נתונים והנחות'!$F$22,0),0)</f>
        <v/>
      </c>
      <c r="Z145" s="52">
        <f>IF(ISNUMBER('נתונים והנחות'!$H$48),IF(20&lt;=ROUND(1/(0.1*'נתונים והנחות'!$F$22),0),'נתונים והנחות'!$H$48*0.1*'נתונים והנחות'!$F$22,0),0)</f>
        <v/>
      </c>
    </row>
    <row r="146">
      <c r="B146" s="8" t="inlineStr">
        <is>
          <t>מגן מס מואץ — מדחסי VSD</t>
        </is>
      </c>
      <c r="C146" s="10" t="inlineStr">
        <is>
          <t>₪</t>
        </is>
      </c>
      <c r="D146" s="10" t="inlineStr">
        <is>
          <t>חישוב</t>
        </is>
      </c>
      <c r="E146" s="10">
        <f> פחת מואץ × שיעור מס</f>
        <v/>
      </c>
      <c r="F146" s="52" t="n">
        <v>0</v>
      </c>
      <c r="G146" s="52">
        <f>G145*'נתונים והנחות'!$F$10</f>
        <v/>
      </c>
      <c r="H146" s="52">
        <f>H145*'נתונים והנחות'!$F$10</f>
        <v/>
      </c>
      <c r="I146" s="52">
        <f>I145*'נתונים והנחות'!$F$10</f>
        <v/>
      </c>
      <c r="J146" s="52">
        <f>J145*'נתונים והנחות'!$F$10</f>
        <v/>
      </c>
      <c r="K146" s="52">
        <f>K145*'נתונים והנחות'!$F$10</f>
        <v/>
      </c>
      <c r="L146" s="52">
        <f>L145*'נתונים והנחות'!$F$10</f>
        <v/>
      </c>
      <c r="M146" s="52">
        <f>M145*'נתונים והנחות'!$F$10</f>
        <v/>
      </c>
      <c r="N146" s="52">
        <f>N145*'נתונים והנחות'!$F$10</f>
        <v/>
      </c>
      <c r="O146" s="52">
        <f>O145*'נתונים והנחות'!$F$10</f>
        <v/>
      </c>
      <c r="P146" s="52">
        <f>P145*'נתונים והנחות'!$F$10</f>
        <v/>
      </c>
      <c r="Q146" s="52">
        <f>Q145*'נתונים והנחות'!$F$10</f>
        <v/>
      </c>
      <c r="R146" s="52">
        <f>R145*'נתונים והנחות'!$F$10</f>
        <v/>
      </c>
      <c r="S146" s="52">
        <f>S145*'נתונים והנחות'!$F$10</f>
        <v/>
      </c>
      <c r="T146" s="52">
        <f>T145*'נתונים והנחות'!$F$10</f>
        <v/>
      </c>
      <c r="U146" s="52">
        <f>U145*'נתונים והנחות'!$F$10</f>
        <v/>
      </c>
      <c r="V146" s="52">
        <f>V145*'נתונים והנחות'!$F$10</f>
        <v/>
      </c>
      <c r="W146" s="52">
        <f>W145*'נתונים והנחות'!$F$10</f>
        <v/>
      </c>
      <c r="X146" s="52">
        <f>X145*'נתונים והנחות'!$F$10</f>
        <v/>
      </c>
      <c r="Y146" s="52">
        <f>Y145*'נתונים והנחות'!$F$10</f>
        <v/>
      </c>
      <c r="Z146" s="52">
        <f>Z145*'נתונים והנחות'!$F$10</f>
        <v/>
      </c>
    </row>
    <row r="148">
      <c r="B148" s="49" t="inlineStr">
        <is>
          <t>ג. ניתוח תזרים מזומנים — שלושה תרחישים</t>
        </is>
      </c>
    </row>
    <row r="149">
      <c r="B149" s="24" t="inlineStr">
        <is>
          <t>פרמטר</t>
        </is>
      </c>
      <c r="C149" s="24" t="inlineStr">
        <is>
          <t>יחידות</t>
        </is>
      </c>
      <c r="D149" s="24" t="inlineStr">
        <is>
          <t>מקור</t>
        </is>
      </c>
      <c r="E149" s="24" t="inlineStr">
        <is>
          <t>הערות</t>
        </is>
      </c>
      <c r="F149" s="24" t="inlineStr">
        <is>
          <t>שנה 0 (השקעה)</t>
        </is>
      </c>
      <c r="G149" s="24" t="inlineStr">
        <is>
          <t>שנה 1</t>
        </is>
      </c>
      <c r="H149" s="24" t="inlineStr">
        <is>
          <t>שנה 2</t>
        </is>
      </c>
      <c r="I149" s="24" t="inlineStr">
        <is>
          <t>שנה 3</t>
        </is>
      </c>
      <c r="J149" s="24" t="inlineStr">
        <is>
          <t>שנה 4</t>
        </is>
      </c>
      <c r="K149" s="24" t="inlineStr">
        <is>
          <t>שנה 5</t>
        </is>
      </c>
      <c r="L149" s="24" t="inlineStr">
        <is>
          <t>שנה 6</t>
        </is>
      </c>
      <c r="M149" s="24" t="inlineStr">
        <is>
          <t>שנה 7</t>
        </is>
      </c>
      <c r="N149" s="24" t="inlineStr">
        <is>
          <t>שנה 8</t>
        </is>
      </c>
      <c r="O149" s="24" t="inlineStr">
        <is>
          <t>שנה 9</t>
        </is>
      </c>
      <c r="P149" s="24" t="inlineStr">
        <is>
          <t>שנה 10</t>
        </is>
      </c>
      <c r="Q149" s="24" t="inlineStr">
        <is>
          <t>שנה 11</t>
        </is>
      </c>
      <c r="R149" s="24" t="inlineStr">
        <is>
          <t>שנה 12</t>
        </is>
      </c>
      <c r="S149" s="24" t="inlineStr">
        <is>
          <t>שנה 13</t>
        </is>
      </c>
      <c r="T149" s="24" t="inlineStr">
        <is>
          <t>שנה 14</t>
        </is>
      </c>
      <c r="U149" s="24" t="inlineStr">
        <is>
          <t>שנה 15</t>
        </is>
      </c>
      <c r="V149" s="24" t="inlineStr">
        <is>
          <t>שנה 16</t>
        </is>
      </c>
      <c r="W149" s="24" t="inlineStr">
        <is>
          <t>שנה 17</t>
        </is>
      </c>
      <c r="X149" s="24" t="inlineStr">
        <is>
          <t>שנה 18</t>
        </is>
      </c>
      <c r="Y149" s="24" t="inlineStr">
        <is>
          <t>שנה 19</t>
        </is>
      </c>
      <c r="Z149" s="24" t="inlineStr">
        <is>
          <t>שנה 20</t>
        </is>
      </c>
    </row>
    <row r="150">
      <c r="B150" s="53" t="inlineStr">
        <is>
          <t>תרחיש A — רכישת מדחס מהירות קבועה (ציוד קיים / לא יעיל)</t>
        </is>
      </c>
    </row>
    <row r="151">
      <c r="B151" s="6" t="inlineStr">
        <is>
          <t>השקעה ראשונית</t>
        </is>
      </c>
      <c r="C151" s="10" t="inlineStr">
        <is>
          <t>₪</t>
        </is>
      </c>
      <c r="D151" s="10" t="inlineStr">
        <is>
          <t>חישוב</t>
        </is>
      </c>
      <c r="F151" s="50">
        <f>IF(ISNUMBER('נתונים והנחות'!$H$47),-'נתונים והנחות'!$H$47,"PENDING")</f>
        <v/>
      </c>
    </row>
    <row r="152">
      <c r="B152" s="6" t="inlineStr">
        <is>
          <t>OPEX אנרגיה</t>
        </is>
      </c>
      <c r="C152" s="10" t="inlineStr">
        <is>
          <t>₪</t>
        </is>
      </c>
      <c r="D152" s="10" t="inlineStr">
        <is>
          <t>חישוב</t>
        </is>
      </c>
      <c r="F152" s="50" t="n">
        <v>0</v>
      </c>
      <c r="G152" s="50">
        <f>IF(ISNUMBER('נתונים והנחות'!$H$55),-'נתונים והנחות'!$H$55,0)</f>
        <v/>
      </c>
      <c r="H152" s="50">
        <f>IF(ISNUMBER('נתונים והנחות'!$H$55),-'נתונים והנחות'!$H$55,0)</f>
        <v/>
      </c>
      <c r="I152" s="50">
        <f>IF(ISNUMBER('נתונים והנחות'!$H$55),-'נתונים והנחות'!$H$55,0)</f>
        <v/>
      </c>
      <c r="J152" s="50">
        <f>IF(ISNUMBER('נתונים והנחות'!$H$55),-'נתונים והנחות'!$H$55,0)</f>
        <v/>
      </c>
      <c r="K152" s="50">
        <f>IF(ISNUMBER('נתונים והנחות'!$H$55),-'נתונים והנחות'!$H$55,0)</f>
        <v/>
      </c>
      <c r="L152" s="50">
        <f>IF(ISNUMBER('נתונים והנחות'!$H$55),-'נתונים והנחות'!$H$55,0)</f>
        <v/>
      </c>
      <c r="M152" s="50">
        <f>IF(ISNUMBER('נתונים והנחות'!$H$55),-'נתונים והנחות'!$H$55,0)</f>
        <v/>
      </c>
      <c r="N152" s="50">
        <f>IF(ISNUMBER('נתונים והנחות'!$H$55),-'נתונים והנחות'!$H$55,0)</f>
        <v/>
      </c>
      <c r="O152" s="50">
        <f>IF(ISNUMBER('נתונים והנחות'!$H$55),-'נתונים והנחות'!$H$55,0)</f>
        <v/>
      </c>
      <c r="P152" s="50">
        <f>IF(ISNUMBER('נתונים והנחות'!$H$55),-'נתונים והנחות'!$H$55,0)</f>
        <v/>
      </c>
      <c r="Q152" s="50">
        <f>IF(ISNUMBER('נתונים והנחות'!$H$55),-'נתונים והנחות'!$H$55,0)</f>
        <v/>
      </c>
      <c r="R152" s="50">
        <f>IF(ISNUMBER('נתונים והנחות'!$H$55),-'נתונים והנחות'!$H$55,0)</f>
        <v/>
      </c>
      <c r="S152" s="50">
        <f>0</f>
        <v/>
      </c>
      <c r="T152" s="50">
        <f>0</f>
        <v/>
      </c>
      <c r="U152" s="50">
        <f>0</f>
        <v/>
      </c>
      <c r="V152" s="50">
        <f>0</f>
        <v/>
      </c>
      <c r="W152" s="50">
        <f>0</f>
        <v/>
      </c>
      <c r="X152" s="50">
        <f>0</f>
        <v/>
      </c>
      <c r="Y152" s="50">
        <f>0</f>
        <v/>
      </c>
      <c r="Z152" s="50">
        <f>0</f>
        <v/>
      </c>
    </row>
    <row r="153">
      <c r="B153" s="6" t="inlineStr">
        <is>
          <t>OPEX אחר (תחזוקה וכו')</t>
        </is>
      </c>
      <c r="C153" s="10" t="inlineStr">
        <is>
          <t>₪</t>
        </is>
      </c>
      <c r="D153" s="10" t="inlineStr">
        <is>
          <t>חישוב</t>
        </is>
      </c>
      <c r="F153" s="50" t="n">
        <v>0</v>
      </c>
      <c r="G153" s="50">
        <f>IF(ISNUMBER('נתונים והנחות'!$H$53),-'נתונים והנחות'!$H$53,0)</f>
        <v/>
      </c>
      <c r="H153" s="50">
        <f>IF(ISNUMBER('נתונים והנחות'!$H$53),-'נתונים והנחות'!$H$53,0)</f>
        <v/>
      </c>
      <c r="I153" s="50">
        <f>IF(ISNUMBER('נתונים והנחות'!$H$53),-'נתונים והנחות'!$H$53,0)</f>
        <v/>
      </c>
      <c r="J153" s="50">
        <f>IF(ISNUMBER('נתונים והנחות'!$H$53),-'נתונים והנחות'!$H$53,0)</f>
        <v/>
      </c>
      <c r="K153" s="50">
        <f>IF(ISNUMBER('נתונים והנחות'!$H$53),-'נתונים והנחות'!$H$53,0)</f>
        <v/>
      </c>
      <c r="L153" s="50">
        <f>IF(ISNUMBER('נתונים והנחות'!$H$53),-'נתונים והנחות'!$H$53,0)</f>
        <v/>
      </c>
      <c r="M153" s="50">
        <f>IF(ISNUMBER('נתונים והנחות'!$H$53),-'נתונים והנחות'!$H$53,0)</f>
        <v/>
      </c>
      <c r="N153" s="50">
        <f>IF(ISNUMBER('נתונים והנחות'!$H$53),-'נתונים והנחות'!$H$53,0)</f>
        <v/>
      </c>
      <c r="O153" s="50">
        <f>IF(ISNUMBER('נתונים והנחות'!$H$53),-'נתונים והנחות'!$H$53,0)</f>
        <v/>
      </c>
      <c r="P153" s="50">
        <f>IF(ISNUMBER('נתונים והנחות'!$H$53),-'נתונים והנחות'!$H$53,0)</f>
        <v/>
      </c>
      <c r="Q153" s="50">
        <f>IF(ISNUMBER('נתונים והנחות'!$H$53),-'נתונים והנחות'!$H$53,0)</f>
        <v/>
      </c>
      <c r="R153" s="50">
        <f>IF(ISNUMBER('נתונים והנחות'!$H$53),-'נתונים והנחות'!$H$53,0)</f>
        <v/>
      </c>
      <c r="S153" s="50">
        <f>0</f>
        <v/>
      </c>
      <c r="T153" s="50">
        <f>0</f>
        <v/>
      </c>
      <c r="U153" s="50">
        <f>0</f>
        <v/>
      </c>
      <c r="V153" s="50">
        <f>0</f>
        <v/>
      </c>
      <c r="W153" s="50">
        <f>0</f>
        <v/>
      </c>
      <c r="X153" s="50">
        <f>0</f>
        <v/>
      </c>
      <c r="Y153" s="50">
        <f>0</f>
        <v/>
      </c>
      <c r="Z153" s="50">
        <f>0</f>
        <v/>
      </c>
    </row>
    <row r="154">
      <c r="B154" s="6" t="inlineStr">
        <is>
          <t>תזרים נקי — תרחיש A</t>
        </is>
      </c>
      <c r="C154" s="10" t="inlineStr">
        <is>
          <t>₪</t>
        </is>
      </c>
      <c r="D154" s="10" t="inlineStr">
        <is>
          <t>חישוב</t>
        </is>
      </c>
      <c r="F154" s="50">
        <f>F151</f>
        <v/>
      </c>
      <c r="G154" s="50">
        <f>G152+G153+G142</f>
        <v/>
      </c>
      <c r="H154" s="50">
        <f>H152+H153+H142</f>
        <v/>
      </c>
      <c r="I154" s="50">
        <f>I152+I153+I142</f>
        <v/>
      </c>
      <c r="J154" s="50">
        <f>J152+J153+J142</f>
        <v/>
      </c>
      <c r="K154" s="50">
        <f>K152+K153+K142</f>
        <v/>
      </c>
      <c r="L154" s="50">
        <f>L152+L153+L142</f>
        <v/>
      </c>
      <c r="M154" s="50">
        <f>M152+M153+M142</f>
        <v/>
      </c>
      <c r="N154" s="50">
        <f>N152+N153+N142</f>
        <v/>
      </c>
      <c r="O154" s="50">
        <f>O152+O153+O142</f>
        <v/>
      </c>
      <c r="P154" s="50">
        <f>P152+P153+P142</f>
        <v/>
      </c>
      <c r="Q154" s="50">
        <f>Q152+Q153+Q142</f>
        <v/>
      </c>
      <c r="R154" s="50">
        <f>R152+R153+R142</f>
        <v/>
      </c>
      <c r="S154" s="50">
        <f>S152+S153+S142</f>
        <v/>
      </c>
      <c r="T154" s="50">
        <f>T152+T153+T142</f>
        <v/>
      </c>
      <c r="U154" s="50">
        <f>U152+U153+U142</f>
        <v/>
      </c>
      <c r="V154" s="50">
        <f>V152+V153+V142</f>
        <v/>
      </c>
      <c r="W154" s="50">
        <f>W152+W153+W142</f>
        <v/>
      </c>
      <c r="X154" s="50">
        <f>X152+X153+X142</f>
        <v/>
      </c>
      <c r="Y154" s="50">
        <f>Y152+Y153+Y142</f>
        <v/>
      </c>
      <c r="Z154" s="50">
        <f>Z152+Z153+Z142</f>
        <v/>
      </c>
    </row>
    <row r="155">
      <c r="B155" s="6" t="inlineStr">
        <is>
          <t>תזרים מהוון — תרחיש A</t>
        </is>
      </c>
      <c r="C155" s="10" t="inlineStr">
        <is>
          <t>₪</t>
        </is>
      </c>
      <c r="D155" s="10" t="inlineStr">
        <is>
          <t>חישוב</t>
        </is>
      </c>
      <c r="F155" s="50">
        <f>F154</f>
        <v/>
      </c>
      <c r="G155" s="50">
        <f>G154/(1+'נתונים והנחות'!$F$11)^1</f>
        <v/>
      </c>
      <c r="H155" s="50">
        <f>H154/(1+'נתונים והנחות'!$F$11)^2</f>
        <v/>
      </c>
      <c r="I155" s="50">
        <f>I154/(1+'נתונים והנחות'!$F$11)^3</f>
        <v/>
      </c>
      <c r="J155" s="50">
        <f>J154/(1+'נתונים והנחות'!$F$11)^4</f>
        <v/>
      </c>
      <c r="K155" s="50">
        <f>K154/(1+'נתונים והנחות'!$F$11)^5</f>
        <v/>
      </c>
      <c r="L155" s="50">
        <f>L154/(1+'נתונים והנחות'!$F$11)^6</f>
        <v/>
      </c>
      <c r="M155" s="50">
        <f>M154/(1+'נתונים והנחות'!$F$11)^7</f>
        <v/>
      </c>
      <c r="N155" s="50">
        <f>N154/(1+'נתונים והנחות'!$F$11)^8</f>
        <v/>
      </c>
      <c r="O155" s="50">
        <f>O154/(1+'נתונים והנחות'!$F$11)^9</f>
        <v/>
      </c>
      <c r="P155" s="50">
        <f>P154/(1+'נתונים והנחות'!$F$11)^10</f>
        <v/>
      </c>
      <c r="Q155" s="50">
        <f>Q154/(1+'נתונים והנחות'!$F$11)^11</f>
        <v/>
      </c>
      <c r="R155" s="50">
        <f>R154/(1+'נתונים והנחות'!$F$11)^12</f>
        <v/>
      </c>
      <c r="S155" s="50">
        <f>S154/(1+'נתונים והנחות'!$F$11)^13</f>
        <v/>
      </c>
      <c r="T155" s="50">
        <f>T154/(1+'נתונים והנחות'!$F$11)^14</f>
        <v/>
      </c>
      <c r="U155" s="50">
        <f>U154/(1+'נתונים והנחות'!$F$11)^15</f>
        <v/>
      </c>
      <c r="V155" s="50">
        <f>V154/(1+'נתונים והנחות'!$F$11)^16</f>
        <v/>
      </c>
      <c r="W155" s="50">
        <f>W154/(1+'נתונים והנחות'!$F$11)^17</f>
        <v/>
      </c>
      <c r="X155" s="50">
        <f>X154/(1+'נתונים והנחות'!$F$11)^18</f>
        <v/>
      </c>
      <c r="Y155" s="50">
        <f>Y154/(1+'נתונים והנחות'!$F$11)^19</f>
        <v/>
      </c>
      <c r="Z155" s="50">
        <f>Z154/(1+'נתונים והנחות'!$F$11)^20</f>
        <v/>
      </c>
    </row>
    <row r="156">
      <c r="B156" s="6" t="inlineStr">
        <is>
          <t>NPV מצטבר — תרחיש A</t>
        </is>
      </c>
      <c r="C156" s="10" t="inlineStr">
        <is>
          <t>₪</t>
        </is>
      </c>
      <c r="D156" s="10" t="inlineStr">
        <is>
          <t>חישוב</t>
        </is>
      </c>
      <c r="F156" s="50">
        <f>F155</f>
        <v/>
      </c>
      <c r="G156" s="50">
        <f>F156+G155</f>
        <v/>
      </c>
      <c r="H156" s="50">
        <f>G156+H155</f>
        <v/>
      </c>
      <c r="I156" s="50">
        <f>H156+I155</f>
        <v/>
      </c>
      <c r="J156" s="50">
        <f>I156+J155</f>
        <v/>
      </c>
      <c r="K156" s="50">
        <f>J156+K155</f>
        <v/>
      </c>
      <c r="L156" s="50">
        <f>K156+L155</f>
        <v/>
      </c>
      <c r="M156" s="50">
        <f>L156+M155</f>
        <v/>
      </c>
      <c r="N156" s="50">
        <f>M156+N155</f>
        <v/>
      </c>
      <c r="O156" s="50">
        <f>N156+O155</f>
        <v/>
      </c>
      <c r="P156" s="50">
        <f>O156+P155</f>
        <v/>
      </c>
      <c r="Q156" s="50">
        <f>P156+Q155</f>
        <v/>
      </c>
      <c r="R156" s="50">
        <f>Q156+R155</f>
        <v/>
      </c>
      <c r="S156" s="50">
        <f>R156+S155</f>
        <v/>
      </c>
      <c r="T156" s="50">
        <f>S156+T155</f>
        <v/>
      </c>
      <c r="U156" s="50">
        <f>T156+U155</f>
        <v/>
      </c>
      <c r="V156" s="50">
        <f>U156+V155</f>
        <v/>
      </c>
      <c r="W156" s="50">
        <f>V156+W155</f>
        <v/>
      </c>
      <c r="X156" s="50">
        <f>W156+X155</f>
        <v/>
      </c>
      <c r="Y156" s="50">
        <f>X156+Y155</f>
        <v/>
      </c>
      <c r="Z156" s="50">
        <f>Y156+Z155</f>
        <v/>
      </c>
    </row>
    <row r="158">
      <c r="B158" s="54" t="inlineStr">
        <is>
          <t>תרחיש B — רכישת מדחסי VSD | פחת סטנדרטי (ללא תמריץ)</t>
        </is>
      </c>
    </row>
    <row r="159">
      <c r="B159" s="7" t="inlineStr">
        <is>
          <t>השקעה ראשונית</t>
        </is>
      </c>
      <c r="C159" s="10" t="inlineStr">
        <is>
          <t>₪</t>
        </is>
      </c>
      <c r="D159" s="10" t="inlineStr">
        <is>
          <t>חישוב</t>
        </is>
      </c>
      <c r="F159" s="51">
        <f>IF(ISNUMBER('נתונים והנחות'!$H$48),-'נתונים והנחות'!$H$48,"PENDING")</f>
        <v/>
      </c>
    </row>
    <row r="160">
      <c r="B160" s="7" t="inlineStr">
        <is>
          <t>OPEX אנרגיה (עם שחיקה שנתית)</t>
        </is>
      </c>
      <c r="C160" s="10" t="inlineStr">
        <is>
          <t>₪</t>
        </is>
      </c>
      <c r="D160" s="10" t="inlineStr">
        <is>
          <t>חישוב</t>
        </is>
      </c>
      <c r="F160" s="51" t="n">
        <v>0</v>
      </c>
      <c r="G160" s="51">
        <f>IF(ISNUMBER('נתונים והנחות'!$H$56),-'נתונים והנחות'!$H$56*(1-'נתונים והנחות'!$H$52)^0,0)</f>
        <v/>
      </c>
      <c r="H160" s="51">
        <f>IF(ISNUMBER('נתונים והנחות'!$H$56),-'נתונים והנחות'!$H$56*(1-'נתונים והנחות'!$H$52)^1,0)</f>
        <v/>
      </c>
      <c r="I160" s="51">
        <f>IF(ISNUMBER('נתונים והנחות'!$H$56),-'נתונים והנחות'!$H$56*(1-'נתונים והנחות'!$H$52)^2,0)</f>
        <v/>
      </c>
      <c r="J160" s="51">
        <f>IF(ISNUMBER('נתונים והנחות'!$H$56),-'נתונים והנחות'!$H$56*(1-'נתונים והנחות'!$H$52)^3,0)</f>
        <v/>
      </c>
      <c r="K160" s="51">
        <f>IF(ISNUMBER('נתונים והנחות'!$H$56),-'נתונים והנחות'!$H$56*(1-'נתונים והנחות'!$H$52)^4,0)</f>
        <v/>
      </c>
      <c r="L160" s="51">
        <f>IF(ISNUMBER('נתונים והנחות'!$H$56),-'נתונים והנחות'!$H$56*(1-'נתונים והנחות'!$H$52)^5,0)</f>
        <v/>
      </c>
      <c r="M160" s="51">
        <f>IF(ISNUMBER('נתונים והנחות'!$H$56),-'נתונים והנחות'!$H$56*(1-'נתונים והנחות'!$H$52)^6,0)</f>
        <v/>
      </c>
      <c r="N160" s="51">
        <f>IF(ISNUMBER('נתונים והנחות'!$H$56),-'נתונים והנחות'!$H$56*(1-'נתונים והנחות'!$H$52)^7,0)</f>
        <v/>
      </c>
      <c r="O160" s="51">
        <f>IF(ISNUMBER('נתונים והנחות'!$H$56),-'נתונים והנחות'!$H$56*(1-'נתונים והנחות'!$H$52)^8,0)</f>
        <v/>
      </c>
      <c r="P160" s="51">
        <f>IF(ISNUMBER('נתונים והנחות'!$H$56),-'נתונים והנחות'!$H$56*(1-'נתונים והנחות'!$H$52)^9,0)</f>
        <v/>
      </c>
      <c r="Q160" s="51">
        <f>IF(ISNUMBER('נתונים והנחות'!$H$56),-'נתונים והנחות'!$H$56*(1-'נתונים והנחות'!$H$52)^10,0)</f>
        <v/>
      </c>
      <c r="R160" s="51">
        <f>IF(ISNUMBER('נתונים והנחות'!$H$56),-'נתונים והנחות'!$H$56*(1-'נתונים והנחות'!$H$52)^11,0)</f>
        <v/>
      </c>
      <c r="S160" s="51">
        <f>0</f>
        <v/>
      </c>
      <c r="T160" s="51">
        <f>0</f>
        <v/>
      </c>
      <c r="U160" s="51">
        <f>0</f>
        <v/>
      </c>
      <c r="V160" s="51">
        <f>0</f>
        <v/>
      </c>
      <c r="W160" s="51">
        <f>0</f>
        <v/>
      </c>
      <c r="X160" s="51">
        <f>0</f>
        <v/>
      </c>
      <c r="Y160" s="51">
        <f>0</f>
        <v/>
      </c>
      <c r="Z160" s="51">
        <f>0</f>
        <v/>
      </c>
    </row>
    <row r="161">
      <c r="B161" s="7" t="inlineStr">
        <is>
          <t>OPEX אחר (תחזוקה וכו')</t>
        </is>
      </c>
      <c r="C161" s="10" t="inlineStr">
        <is>
          <t>₪</t>
        </is>
      </c>
      <c r="D161" s="10" t="inlineStr">
        <is>
          <t>חישוב</t>
        </is>
      </c>
      <c r="F161" s="51" t="n">
        <v>0</v>
      </c>
      <c r="G161" s="51">
        <f>IF(ISNUMBER('נתונים והנחות'!$H$54),-'נתונים והנחות'!$H$54,0)</f>
        <v/>
      </c>
      <c r="H161" s="51">
        <f>IF(ISNUMBER('נתונים והנחות'!$H$54),-'נתונים והנחות'!$H$54,0)</f>
        <v/>
      </c>
      <c r="I161" s="51">
        <f>IF(ISNUMBER('נתונים והנחות'!$H$54),-'נתונים והנחות'!$H$54,0)</f>
        <v/>
      </c>
      <c r="J161" s="51">
        <f>IF(ISNUMBER('נתונים והנחות'!$H$54),-'נתונים והנחות'!$H$54,0)</f>
        <v/>
      </c>
      <c r="K161" s="51">
        <f>IF(ISNUMBER('נתונים והנחות'!$H$54),-'נתונים והנחות'!$H$54,0)</f>
        <v/>
      </c>
      <c r="L161" s="51">
        <f>IF(ISNUMBER('נתונים והנחות'!$H$54),-'נתונים והנחות'!$H$54,0)</f>
        <v/>
      </c>
      <c r="M161" s="51">
        <f>IF(ISNUMBER('נתונים והנחות'!$H$54),-'נתונים והנחות'!$H$54,0)</f>
        <v/>
      </c>
      <c r="N161" s="51">
        <f>IF(ISNUMBER('נתונים והנחות'!$H$54),-'נתונים והנחות'!$H$54,0)</f>
        <v/>
      </c>
      <c r="O161" s="51">
        <f>IF(ISNUMBER('נתונים והנחות'!$H$54),-'נתונים והנחות'!$H$54,0)</f>
        <v/>
      </c>
      <c r="P161" s="51">
        <f>IF(ISNUMBER('נתונים והנחות'!$H$54),-'נתונים והנחות'!$H$54,0)</f>
        <v/>
      </c>
      <c r="Q161" s="51">
        <f>IF(ISNUMBER('נתונים והנחות'!$H$54),-'נתונים והנחות'!$H$54,0)</f>
        <v/>
      </c>
      <c r="R161" s="51">
        <f>IF(ISNUMBER('נתונים והנחות'!$H$54),-'נתונים והנחות'!$H$54,0)</f>
        <v/>
      </c>
      <c r="S161" s="51">
        <f>0</f>
        <v/>
      </c>
      <c r="T161" s="51">
        <f>0</f>
        <v/>
      </c>
      <c r="U161" s="51">
        <f>0</f>
        <v/>
      </c>
      <c r="V161" s="51">
        <f>0</f>
        <v/>
      </c>
      <c r="W161" s="51">
        <f>0</f>
        <v/>
      </c>
      <c r="X161" s="51">
        <f>0</f>
        <v/>
      </c>
      <c r="Y161" s="51">
        <f>0</f>
        <v/>
      </c>
      <c r="Z161" s="51">
        <f>0</f>
        <v/>
      </c>
    </row>
    <row r="162">
      <c r="B162" s="7" t="inlineStr">
        <is>
          <t>תזרים נקי — תרחיש B</t>
        </is>
      </c>
      <c r="C162" s="10" t="inlineStr">
        <is>
          <t>₪</t>
        </is>
      </c>
      <c r="D162" s="10" t="inlineStr">
        <is>
          <t>חישוב</t>
        </is>
      </c>
      <c r="F162" s="51">
        <f>F159</f>
        <v/>
      </c>
      <c r="G162" s="51">
        <f>G160+G161+G144</f>
        <v/>
      </c>
      <c r="H162" s="51">
        <f>H160+H161+H144</f>
        <v/>
      </c>
      <c r="I162" s="51">
        <f>I160+I161+I144</f>
        <v/>
      </c>
      <c r="J162" s="51">
        <f>J160+J161+J144</f>
        <v/>
      </c>
      <c r="K162" s="51">
        <f>K160+K161+K144</f>
        <v/>
      </c>
      <c r="L162" s="51">
        <f>L160+L161+L144</f>
        <v/>
      </c>
      <c r="M162" s="51">
        <f>M160+M161+M144</f>
        <v/>
      </c>
      <c r="N162" s="51">
        <f>N160+N161+N144</f>
        <v/>
      </c>
      <c r="O162" s="51">
        <f>O160+O161+O144</f>
        <v/>
      </c>
      <c r="P162" s="51">
        <f>P160+P161+P144</f>
        <v/>
      </c>
      <c r="Q162" s="51">
        <f>Q160+Q161+Q144</f>
        <v/>
      </c>
      <c r="R162" s="51">
        <f>R160+R161+R144</f>
        <v/>
      </c>
      <c r="S162" s="51">
        <f>S160+S161+S144</f>
        <v/>
      </c>
      <c r="T162" s="51">
        <f>T160+T161+T144</f>
        <v/>
      </c>
      <c r="U162" s="51">
        <f>U160+U161+U144</f>
        <v/>
      </c>
      <c r="V162" s="51">
        <f>V160+V161+V144</f>
        <v/>
      </c>
      <c r="W162" s="51">
        <f>W160+W161+W144</f>
        <v/>
      </c>
      <c r="X162" s="51">
        <f>X160+X161+X144</f>
        <v/>
      </c>
      <c r="Y162" s="51">
        <f>Y160+Y161+Y144</f>
        <v/>
      </c>
      <c r="Z162" s="51">
        <f>Z160+Z161+Z144</f>
        <v/>
      </c>
    </row>
    <row r="163">
      <c r="B163" s="7" t="inlineStr">
        <is>
          <t>תזרים מהוון — תרחיש B</t>
        </is>
      </c>
      <c r="C163" s="10" t="inlineStr">
        <is>
          <t>₪</t>
        </is>
      </c>
      <c r="D163" s="10" t="inlineStr">
        <is>
          <t>חישוב</t>
        </is>
      </c>
      <c r="F163" s="51">
        <f>F162</f>
        <v/>
      </c>
      <c r="G163" s="51">
        <f>G162/(1+'נתונים והנחות'!$F$11)^1</f>
        <v/>
      </c>
      <c r="H163" s="51">
        <f>H162/(1+'נתונים והנחות'!$F$11)^2</f>
        <v/>
      </c>
      <c r="I163" s="51">
        <f>I162/(1+'נתונים והנחות'!$F$11)^3</f>
        <v/>
      </c>
      <c r="J163" s="51">
        <f>J162/(1+'נתונים והנחות'!$F$11)^4</f>
        <v/>
      </c>
      <c r="K163" s="51">
        <f>K162/(1+'נתונים והנחות'!$F$11)^5</f>
        <v/>
      </c>
      <c r="L163" s="51">
        <f>L162/(1+'נתונים והנחות'!$F$11)^6</f>
        <v/>
      </c>
      <c r="M163" s="51">
        <f>M162/(1+'נתונים והנחות'!$F$11)^7</f>
        <v/>
      </c>
      <c r="N163" s="51">
        <f>N162/(1+'נתונים והנחות'!$F$11)^8</f>
        <v/>
      </c>
      <c r="O163" s="51">
        <f>O162/(1+'נתונים והנחות'!$F$11)^9</f>
        <v/>
      </c>
      <c r="P163" s="51">
        <f>P162/(1+'נתונים והנחות'!$F$11)^10</f>
        <v/>
      </c>
      <c r="Q163" s="51">
        <f>Q162/(1+'נתונים והנחות'!$F$11)^11</f>
        <v/>
      </c>
      <c r="R163" s="51">
        <f>R162/(1+'נתונים והנחות'!$F$11)^12</f>
        <v/>
      </c>
      <c r="S163" s="51">
        <f>S162/(1+'נתונים והנחות'!$F$11)^13</f>
        <v/>
      </c>
      <c r="T163" s="51">
        <f>T162/(1+'נתונים והנחות'!$F$11)^14</f>
        <v/>
      </c>
      <c r="U163" s="51">
        <f>U162/(1+'נתונים והנחות'!$F$11)^15</f>
        <v/>
      </c>
      <c r="V163" s="51">
        <f>V162/(1+'נתונים והנחות'!$F$11)^16</f>
        <v/>
      </c>
      <c r="W163" s="51">
        <f>W162/(1+'נתונים והנחות'!$F$11)^17</f>
        <v/>
      </c>
      <c r="X163" s="51">
        <f>X162/(1+'נתונים והנחות'!$F$11)^18</f>
        <v/>
      </c>
      <c r="Y163" s="51">
        <f>Y162/(1+'נתונים והנחות'!$F$11)^19</f>
        <v/>
      </c>
      <c r="Z163" s="51">
        <f>Z162/(1+'נתונים והנחות'!$F$11)^20</f>
        <v/>
      </c>
    </row>
    <row r="164">
      <c r="B164" s="7" t="inlineStr">
        <is>
          <t>NPV מצטבר — תרחיש B</t>
        </is>
      </c>
      <c r="C164" s="10" t="inlineStr">
        <is>
          <t>₪</t>
        </is>
      </c>
      <c r="D164" s="10" t="inlineStr">
        <is>
          <t>חישוב</t>
        </is>
      </c>
      <c r="F164" s="51">
        <f>F163</f>
        <v/>
      </c>
      <c r="G164" s="51">
        <f>F164+G163</f>
        <v/>
      </c>
      <c r="H164" s="51">
        <f>G164+H163</f>
        <v/>
      </c>
      <c r="I164" s="51">
        <f>H164+I163</f>
        <v/>
      </c>
      <c r="J164" s="51">
        <f>I164+J163</f>
        <v/>
      </c>
      <c r="K164" s="51">
        <f>J164+K163</f>
        <v/>
      </c>
      <c r="L164" s="51">
        <f>K164+L163</f>
        <v/>
      </c>
      <c r="M164" s="51">
        <f>L164+M163</f>
        <v/>
      </c>
      <c r="N164" s="51">
        <f>M164+N163</f>
        <v/>
      </c>
      <c r="O164" s="51">
        <f>N164+O163</f>
        <v/>
      </c>
      <c r="P164" s="51">
        <f>O164+P163</f>
        <v/>
      </c>
      <c r="Q164" s="51">
        <f>P164+Q163</f>
        <v/>
      </c>
      <c r="R164" s="51">
        <f>Q164+R163</f>
        <v/>
      </c>
      <c r="S164" s="51">
        <f>R164+S163</f>
        <v/>
      </c>
      <c r="T164" s="51">
        <f>S164+T163</f>
        <v/>
      </c>
      <c r="U164" s="51">
        <f>T164+U163</f>
        <v/>
      </c>
      <c r="V164" s="51">
        <f>U164+V163</f>
        <v/>
      </c>
      <c r="W164" s="51">
        <f>V164+W163</f>
        <v/>
      </c>
      <c r="X164" s="51">
        <f>W164+X163</f>
        <v/>
      </c>
      <c r="Y164" s="51">
        <f>X164+Y163</f>
        <v/>
      </c>
      <c r="Z164" s="51">
        <f>Y164+Z163</f>
        <v/>
      </c>
    </row>
    <row r="166">
      <c r="B166" s="55" t="inlineStr">
        <is>
          <t>תרחיש C — רכישת מדחסי VSD | פחת מואץ (עם תמריץ)</t>
        </is>
      </c>
    </row>
    <row r="167">
      <c r="B167" s="47" t="inlineStr">
        <is>
          <t>* OPEX זהה לתרחיש B — ההבדל הוא מגן המס המואץ בלבד</t>
        </is>
      </c>
    </row>
    <row r="168">
      <c r="B168" s="8" t="inlineStr">
        <is>
          <t>תזרים נקי — תרחיש C</t>
        </is>
      </c>
      <c r="C168" s="10" t="inlineStr">
        <is>
          <t>₪</t>
        </is>
      </c>
      <c r="D168" s="10" t="inlineStr">
        <is>
          <t>חישוב</t>
        </is>
      </c>
      <c r="F168" s="52">
        <f>F159</f>
        <v/>
      </c>
      <c r="G168" s="52">
        <f>G160+G161+G146</f>
        <v/>
      </c>
      <c r="H168" s="52">
        <f>H160+H161+H146</f>
        <v/>
      </c>
      <c r="I168" s="52">
        <f>I160+I161+I146</f>
        <v/>
      </c>
      <c r="J168" s="52">
        <f>J160+J161+J146</f>
        <v/>
      </c>
      <c r="K168" s="52">
        <f>K160+K161+K146</f>
        <v/>
      </c>
      <c r="L168" s="52">
        <f>L160+L161+L146</f>
        <v/>
      </c>
      <c r="M168" s="52">
        <f>M160+M161+M146</f>
        <v/>
      </c>
      <c r="N168" s="52">
        <f>N160+N161+N146</f>
        <v/>
      </c>
      <c r="O168" s="52">
        <f>O160+O161+O146</f>
        <v/>
      </c>
      <c r="P168" s="52">
        <f>P160+P161+P146</f>
        <v/>
      </c>
      <c r="Q168" s="52">
        <f>Q160+Q161+Q146</f>
        <v/>
      </c>
      <c r="R168" s="52">
        <f>R160+R161+R146</f>
        <v/>
      </c>
      <c r="S168" s="52">
        <f>S160+S161+S146</f>
        <v/>
      </c>
      <c r="T168" s="52">
        <f>T160+T161+T146</f>
        <v/>
      </c>
      <c r="U168" s="52">
        <f>U160+U161+U146</f>
        <v/>
      </c>
      <c r="V168" s="52">
        <f>V160+V161+V146</f>
        <v/>
      </c>
      <c r="W168" s="52">
        <f>W160+W161+W146</f>
        <v/>
      </c>
      <c r="X168" s="52">
        <f>X160+X161+X146</f>
        <v/>
      </c>
      <c r="Y168" s="52">
        <f>Y160+Y161+Y146</f>
        <v/>
      </c>
      <c r="Z168" s="52">
        <f>Z160+Z161+Z146</f>
        <v/>
      </c>
    </row>
    <row r="169">
      <c r="B169" s="8" t="inlineStr">
        <is>
          <t>תזרים מהוון — תרחיש C</t>
        </is>
      </c>
      <c r="C169" s="10" t="inlineStr">
        <is>
          <t>₪</t>
        </is>
      </c>
      <c r="D169" s="10" t="inlineStr">
        <is>
          <t>חישוב</t>
        </is>
      </c>
      <c r="F169" s="52">
        <f>F168</f>
        <v/>
      </c>
      <c r="G169" s="52">
        <f>G168/(1+'נתונים והנחות'!$F$11)^1</f>
        <v/>
      </c>
      <c r="H169" s="52">
        <f>H168/(1+'נתונים והנחות'!$F$11)^2</f>
        <v/>
      </c>
      <c r="I169" s="52">
        <f>I168/(1+'נתונים והנחות'!$F$11)^3</f>
        <v/>
      </c>
      <c r="J169" s="52">
        <f>J168/(1+'נתונים והנחות'!$F$11)^4</f>
        <v/>
      </c>
      <c r="K169" s="52">
        <f>K168/(1+'נתונים והנחות'!$F$11)^5</f>
        <v/>
      </c>
      <c r="L169" s="52">
        <f>L168/(1+'נתונים והנחות'!$F$11)^6</f>
        <v/>
      </c>
      <c r="M169" s="52">
        <f>M168/(1+'נתונים והנחות'!$F$11)^7</f>
        <v/>
      </c>
      <c r="N169" s="52">
        <f>N168/(1+'נתונים והנחות'!$F$11)^8</f>
        <v/>
      </c>
      <c r="O169" s="52">
        <f>O168/(1+'נתונים והנחות'!$F$11)^9</f>
        <v/>
      </c>
      <c r="P169" s="52">
        <f>P168/(1+'נתונים והנחות'!$F$11)^10</f>
        <v/>
      </c>
      <c r="Q169" s="52">
        <f>Q168/(1+'נתונים והנחות'!$F$11)^11</f>
        <v/>
      </c>
      <c r="R169" s="52">
        <f>R168/(1+'נתונים והנחות'!$F$11)^12</f>
        <v/>
      </c>
      <c r="S169" s="52">
        <f>S168/(1+'נתונים והנחות'!$F$11)^13</f>
        <v/>
      </c>
      <c r="T169" s="52">
        <f>T168/(1+'נתונים והנחות'!$F$11)^14</f>
        <v/>
      </c>
      <c r="U169" s="52">
        <f>U168/(1+'נתונים והנחות'!$F$11)^15</f>
        <v/>
      </c>
      <c r="V169" s="52">
        <f>V168/(1+'נתונים והנחות'!$F$11)^16</f>
        <v/>
      </c>
      <c r="W169" s="52">
        <f>W168/(1+'נתונים והנחות'!$F$11)^17</f>
        <v/>
      </c>
      <c r="X169" s="52">
        <f>X168/(1+'נתונים והנחות'!$F$11)^18</f>
        <v/>
      </c>
      <c r="Y169" s="52">
        <f>Y168/(1+'נתונים והנחות'!$F$11)^19</f>
        <v/>
      </c>
      <c r="Z169" s="52">
        <f>Z168/(1+'נתונים והנחות'!$F$11)^20</f>
        <v/>
      </c>
    </row>
    <row r="170">
      <c r="B170" s="8" t="inlineStr">
        <is>
          <t>NPV מצטבר — תרחיש C</t>
        </is>
      </c>
      <c r="C170" s="10" t="inlineStr">
        <is>
          <t>₪</t>
        </is>
      </c>
      <c r="D170" s="10" t="inlineStr">
        <is>
          <t>חישוב</t>
        </is>
      </c>
      <c r="F170" s="52">
        <f>F169</f>
        <v/>
      </c>
      <c r="G170" s="52">
        <f>F170+G169</f>
        <v/>
      </c>
      <c r="H170" s="52">
        <f>G170+H169</f>
        <v/>
      </c>
      <c r="I170" s="52">
        <f>H170+I169</f>
        <v/>
      </c>
      <c r="J170" s="52">
        <f>I170+J169</f>
        <v/>
      </c>
      <c r="K170" s="52">
        <f>J170+K169</f>
        <v/>
      </c>
      <c r="L170" s="52">
        <f>K170+L169</f>
        <v/>
      </c>
      <c r="M170" s="52">
        <f>L170+M169</f>
        <v/>
      </c>
      <c r="N170" s="52">
        <f>M170+N169</f>
        <v/>
      </c>
      <c r="O170" s="52">
        <f>N170+O169</f>
        <v/>
      </c>
      <c r="P170" s="52">
        <f>O170+P169</f>
        <v/>
      </c>
      <c r="Q170" s="52">
        <f>P170+Q169</f>
        <v/>
      </c>
      <c r="R170" s="52">
        <f>Q170+R169</f>
        <v/>
      </c>
      <c r="S170" s="52">
        <f>R170+S169</f>
        <v/>
      </c>
      <c r="T170" s="52">
        <f>S170+T169</f>
        <v/>
      </c>
      <c r="U170" s="52">
        <f>T170+U169</f>
        <v/>
      </c>
      <c r="V170" s="52">
        <f>U170+V169</f>
        <v/>
      </c>
      <c r="W170" s="52">
        <f>V170+W169</f>
        <v/>
      </c>
      <c r="X170" s="52">
        <f>W170+X169</f>
        <v/>
      </c>
      <c r="Y170" s="52">
        <f>X170+Y169</f>
        <v/>
      </c>
      <c r="Z170" s="52">
        <f>Y170+Z169</f>
        <v/>
      </c>
    </row>
    <row r="172">
      <c r="B172" s="49" t="inlineStr">
        <is>
          <t>ד. תוצאות</t>
        </is>
      </c>
    </row>
    <row r="173">
      <c r="B173" s="56" t="inlineStr">
        <is>
          <t>NPV — תרחיש A (מדחס מהירות קבועה)</t>
        </is>
      </c>
      <c r="C173" s="10" t="inlineStr">
        <is>
          <t>ש"ח</t>
        </is>
      </c>
      <c r="F173" s="50">
        <f>SUM(F155:Z155)</f>
        <v/>
      </c>
    </row>
    <row r="174">
      <c r="B174" s="57" t="inlineStr">
        <is>
          <t>NPV — תרחיש B (מדחסי VSD, ללא תמריץ)</t>
        </is>
      </c>
      <c r="C174" s="10" t="inlineStr">
        <is>
          <t>ש"ח</t>
        </is>
      </c>
      <c r="F174" s="51">
        <f>SUM(F163:Z163)</f>
        <v/>
      </c>
    </row>
    <row r="175">
      <c r="B175" s="58" t="inlineStr">
        <is>
          <t>NPV — תרחיש C (מדחסי VSD, עם תמריץ)</t>
        </is>
      </c>
      <c r="C175" s="10" t="inlineStr">
        <is>
          <t>ש"ח</t>
        </is>
      </c>
      <c r="F175" s="52">
        <f>SUM(F169:Z169)</f>
        <v/>
      </c>
    </row>
    <row r="177">
      <c r="B177" s="59" t="inlineStr">
        <is>
          <t>NPV מצטבר — הצדקת השדרוג (B−A)</t>
        </is>
      </c>
      <c r="C177" s="10" t="inlineStr">
        <is>
          <t>ש"ח</t>
        </is>
      </c>
      <c r="F177" s="60">
        <f>F174-F173</f>
        <v/>
      </c>
    </row>
    <row r="178">
      <c r="B178" s="61" t="inlineStr">
        <is>
          <t>ערך התמריץ — תועלת הפחת המואץ (C−B)</t>
        </is>
      </c>
      <c r="C178" s="10" t="inlineStr">
        <is>
          <t>ש"ח</t>
        </is>
      </c>
      <c r="F178" s="62">
        <f>F175-F174</f>
        <v/>
      </c>
    </row>
    <row r="180">
      <c r="B180" s="56" t="inlineStr">
        <is>
          <t>ROI — תרחיש A</t>
        </is>
      </c>
      <c r="C180" s="10" t="inlineStr">
        <is>
          <t>%</t>
        </is>
      </c>
      <c r="F180" s="63">
        <f>IF(ISNUMBER('נתונים והנחות'!$H$47),(SUM(F155:Z155)+'נתונים והנחות'!$H$47)/'נתונים והנחות'!$H$47,"PENDING")</f>
        <v/>
      </c>
    </row>
    <row r="181">
      <c r="B181" s="57" t="inlineStr">
        <is>
          <t>ROI — תרחיש B</t>
        </is>
      </c>
      <c r="C181" s="10" t="inlineStr">
        <is>
          <t>%</t>
        </is>
      </c>
      <c r="F181" s="64">
        <f>IF(ISNUMBER('נתונים והנחות'!$H$48),(SUM(F163:Z163)+'נתונים והנחות'!$H$48)/'נתונים והנחות'!$H$48,"PENDING")</f>
        <v/>
      </c>
    </row>
    <row r="182">
      <c r="B182" s="58" t="inlineStr">
        <is>
          <t>ROI — תרחיש C</t>
        </is>
      </c>
      <c r="C182" s="10" t="inlineStr">
        <is>
          <t>%</t>
        </is>
      </c>
      <c r="F182" s="65">
        <f>IF(ISNUMBER('נתונים והנחות'!$H$48),(SUM(F169:Z169)+'נתונים והנחות'!$H$48)/'נתונים והנחות'!$H$48,"PENDING")</f>
        <v/>
      </c>
    </row>
    <row r="184">
      <c r="B184" s="59" t="inlineStr">
        <is>
          <t>תקופת החזר ΔCapEx ללא תמריץ (B−A)</t>
        </is>
      </c>
      <c r="C184" s="10" t="inlineStr">
        <is>
          <t>שנים</t>
        </is>
      </c>
      <c r="E184" s="47" t="inlineStr">
        <is>
          <t>זמן להחזר ההשקעה הנוספת | מחושב על ΔCF = CF_B − CF_A</t>
        </is>
      </c>
      <c r="F184" s="66">
        <f>IFERROR(MATCH(1,(F190:Z190&gt;0)*1,0)-2+ABS(INDEX(F190:Z190,MATCH(1,(F190:Z190&gt;0)*1,0)-1))/(INDEX(F190:Z190,MATCH(1,(F190:Z190&gt;0)*1,0))-INDEX(F190:Z190,MATCH(1,(F190:Z190&gt;0)*1,0)-1)),"לא מגיע לפירעון")</f>
        <v/>
      </c>
    </row>
    <row r="185">
      <c r="B185" s="67" t="inlineStr">
        <is>
          <t>תקופת החזר ΔCapEx עם תמריץ (C−A)</t>
        </is>
      </c>
      <c r="C185" s="68" t="inlineStr">
        <is>
          <t>שנים</t>
        </is>
      </c>
      <c r="E185" s="47" t="inlineStr">
        <is>
          <t>כולל יתרון מגן המס המואץ | מחושב על ΔCF = CF_C − CF_A</t>
        </is>
      </c>
      <c r="F185" s="69">
        <f>IFERROR(MATCH(1,(F191:Z191&gt;0)*1,0)-2+ABS(INDEX(F191:Z191,MATCH(1,(F191:Z191&gt;0)*1,0)-1))/(INDEX(F191:Z191,MATCH(1,(F191:Z191&gt;0)*1,0))-INDEX(F191:Z191,MATCH(1,(F191:Z191&gt;0)*1,0)-1)),"לא מגיע לפירעון")</f>
        <v/>
      </c>
    </row>
    <row r="188">
      <c r="B188" s="49" t="inlineStr">
        <is>
          <t>NPV מצטבר — מנקודת מבט ΔCapEx (לחישוב תקופת החזר על השקעה נוספת)</t>
        </is>
      </c>
    </row>
    <row r="189">
      <c r="B189" s="24" t="inlineStr">
        <is>
          <t>פרמטר</t>
        </is>
      </c>
      <c r="C189" s="24" t="inlineStr">
        <is>
          <t>יחידות</t>
        </is>
      </c>
      <c r="D189" s="24" t="inlineStr">
        <is>
          <t>מקור</t>
        </is>
      </c>
      <c r="E189" s="24" t="inlineStr">
        <is>
          <t>הערות</t>
        </is>
      </c>
      <c r="F189" s="24" t="inlineStr">
        <is>
          <t>שנה 0</t>
        </is>
      </c>
      <c r="G189" s="24" t="inlineStr">
        <is>
          <t>שנה 1</t>
        </is>
      </c>
      <c r="H189" s="24" t="inlineStr">
        <is>
          <t>שנה 2</t>
        </is>
      </c>
      <c r="I189" s="24" t="inlineStr">
        <is>
          <t>שנה 3</t>
        </is>
      </c>
      <c r="J189" s="24" t="inlineStr">
        <is>
          <t>שנה 4</t>
        </is>
      </c>
      <c r="K189" s="24" t="inlineStr">
        <is>
          <t>שנה 5</t>
        </is>
      </c>
      <c r="L189" s="24" t="inlineStr">
        <is>
          <t>שנה 6</t>
        </is>
      </c>
      <c r="M189" s="24" t="inlineStr">
        <is>
          <t>שנה 7</t>
        </is>
      </c>
      <c r="N189" s="24" t="inlineStr">
        <is>
          <t>שנה 8</t>
        </is>
      </c>
      <c r="O189" s="24" t="inlineStr">
        <is>
          <t>שנה 9</t>
        </is>
      </c>
      <c r="P189" s="24" t="inlineStr">
        <is>
          <t>שנה 10</t>
        </is>
      </c>
      <c r="Q189" s="24" t="inlineStr">
        <is>
          <t>שנה 11</t>
        </is>
      </c>
      <c r="R189" s="24" t="inlineStr">
        <is>
          <t>שנה 12</t>
        </is>
      </c>
      <c r="S189" s="24" t="inlineStr">
        <is>
          <t>שנה 13</t>
        </is>
      </c>
      <c r="T189" s="24" t="inlineStr">
        <is>
          <t>שנה 14</t>
        </is>
      </c>
      <c r="U189" s="24" t="inlineStr">
        <is>
          <t>שנה 15</t>
        </is>
      </c>
      <c r="V189" s="24" t="inlineStr">
        <is>
          <t>שנה 16</t>
        </is>
      </c>
      <c r="W189" s="24" t="inlineStr">
        <is>
          <t>שנה 17</t>
        </is>
      </c>
      <c r="X189" s="24" t="inlineStr">
        <is>
          <t>שנה 18</t>
        </is>
      </c>
      <c r="Y189" s="24" t="inlineStr">
        <is>
          <t>שנה 19</t>
        </is>
      </c>
      <c r="Z189" s="24" t="inlineStr">
        <is>
          <t>שנה 20</t>
        </is>
      </c>
    </row>
    <row r="190">
      <c r="B190" s="2" t="inlineStr">
        <is>
          <t>NPV מצטבר ΔCF — שדרוג ללא תמריץ (B−A)</t>
        </is>
      </c>
      <c r="C190" s="10" t="inlineStr">
        <is>
          <t>₪</t>
        </is>
      </c>
      <c r="D190" s="10" t="inlineStr">
        <is>
          <t>חישוב</t>
        </is>
      </c>
      <c r="F190" s="60">
        <f>IF(ISNUMBER('נתונים והנחות'!$H$49),-'נתונים והנחות'!$H$49,"PENDING")</f>
        <v/>
      </c>
      <c r="G190" s="60">
        <f>F190+(G163-G155)</f>
        <v/>
      </c>
      <c r="H190" s="60">
        <f>G190+(H163-H155)</f>
        <v/>
      </c>
      <c r="I190" s="60">
        <f>H190+(I163-I155)</f>
        <v/>
      </c>
      <c r="J190" s="60">
        <f>I190+(J163-J155)</f>
        <v/>
      </c>
      <c r="K190" s="60">
        <f>J190+(K163-K155)</f>
        <v/>
      </c>
      <c r="L190" s="60">
        <f>K190+(L163-L155)</f>
        <v/>
      </c>
      <c r="M190" s="60">
        <f>L190+(M163-M155)</f>
        <v/>
      </c>
      <c r="N190" s="60">
        <f>M190+(N163-N155)</f>
        <v/>
      </c>
      <c r="O190" s="60">
        <f>N190+(O163-O155)</f>
        <v/>
      </c>
      <c r="P190" s="60">
        <f>O190+(P163-P155)</f>
        <v/>
      </c>
      <c r="Q190" s="60">
        <f>P190+(Q163-Q155)</f>
        <v/>
      </c>
      <c r="R190" s="60">
        <f>Q190+(R163-R155)</f>
        <v/>
      </c>
      <c r="S190" s="60">
        <f>R190+(S163-S155)</f>
        <v/>
      </c>
      <c r="T190" s="60">
        <f>S190+(T163-T155)</f>
        <v/>
      </c>
      <c r="U190" s="60">
        <f>T190+(U163-U155)</f>
        <v/>
      </c>
      <c r="V190" s="60">
        <f>U190+(V163-V155)</f>
        <v/>
      </c>
      <c r="W190" s="60">
        <f>V190+(W163-W155)</f>
        <v/>
      </c>
      <c r="X190" s="60">
        <f>W190+(X163-X155)</f>
        <v/>
      </c>
      <c r="Y190" s="60">
        <f>X190+(Y163-Y155)</f>
        <v/>
      </c>
      <c r="Z190" s="60">
        <f>Y190+(Z163-Z155)</f>
        <v/>
      </c>
    </row>
    <row r="191">
      <c r="B191" s="44" t="inlineStr">
        <is>
          <t>NPV מצטבר ΔCF — שדרוג עם תמריץ (C−A)</t>
        </is>
      </c>
      <c r="C191" s="10" t="inlineStr">
        <is>
          <t>₪</t>
        </is>
      </c>
      <c r="D191" s="10" t="inlineStr">
        <is>
          <t>חישוב</t>
        </is>
      </c>
      <c r="F191" s="62">
        <f>IF(ISNUMBER('נתונים והנחות'!$H$49),-'נתונים והנחות'!$H$49,"PENDING")</f>
        <v/>
      </c>
      <c r="G191" s="62">
        <f>F191+(G169-G155)</f>
        <v/>
      </c>
      <c r="H191" s="62">
        <f>G191+(H169-H155)</f>
        <v/>
      </c>
      <c r="I191" s="62">
        <f>H191+(I169-I155)</f>
        <v/>
      </c>
      <c r="J191" s="62">
        <f>I191+(J169-J155)</f>
        <v/>
      </c>
      <c r="K191" s="62">
        <f>J191+(K169-K155)</f>
        <v/>
      </c>
      <c r="L191" s="62">
        <f>K191+(L169-L155)</f>
        <v/>
      </c>
      <c r="M191" s="62">
        <f>L191+(M169-M155)</f>
        <v/>
      </c>
      <c r="N191" s="62">
        <f>M191+(N169-N155)</f>
        <v/>
      </c>
      <c r="O191" s="62">
        <f>N191+(O169-O155)</f>
        <v/>
      </c>
      <c r="P191" s="62">
        <f>O191+(P169-P155)</f>
        <v/>
      </c>
      <c r="Q191" s="62">
        <f>P191+(Q169-Q155)</f>
        <v/>
      </c>
      <c r="R191" s="62">
        <f>Q191+(R169-R155)</f>
        <v/>
      </c>
      <c r="S191" s="62">
        <f>R191+(S169-S155)</f>
        <v/>
      </c>
      <c r="T191" s="62">
        <f>S191+(T169-T155)</f>
        <v/>
      </c>
      <c r="U191" s="62">
        <f>T191+(U169-U155)</f>
        <v/>
      </c>
      <c r="V191" s="62">
        <f>U191+(V169-V155)</f>
        <v/>
      </c>
      <c r="W191" s="62">
        <f>V191+(W169-W155)</f>
        <v/>
      </c>
      <c r="X191" s="62">
        <f>W191+(X169-X155)</f>
        <v/>
      </c>
      <c r="Y191" s="62">
        <f>X191+(Y169-Y155)</f>
        <v/>
      </c>
      <c r="Z191" s="62">
        <f>Y191+(Z169-Z155)</f>
        <v/>
      </c>
    </row>
    <row r="195">
      <c r="B195" s="9" t="inlineStr">
        <is>
          <t>4. סיכום השוואתי לפי טכנולוגיה</t>
        </is>
      </c>
    </row>
    <row r="196">
      <c r="B196" s="47" t="inlineStr">
        <is>
          <t>* מכפיל פחת = 'נתונים והנחות'!F22 — שנה שם ותוצאות מתעדכנות אוטומטית | OPEX אחר ממתין לנתוני רפי | שאר הנתונים ראו גיליון 'נתונים והנחות' סעיף 5 למקורות</t>
        </is>
      </c>
    </row>
    <row r="197">
      <c r="B197" s="24" t="inlineStr">
        <is>
          <t>טכנולוגיה</t>
        </is>
      </c>
      <c r="C197" s="24" t="inlineStr">
        <is>
          <t>NPV A (בסיסי)</t>
        </is>
      </c>
      <c r="D197" s="24" t="inlineStr">
        <is>
          <t>NPV B (יעיל, ללא)</t>
        </is>
      </c>
      <c r="E197" s="24" t="inlineStr">
        <is>
          <t>NPV C (יעיל, עם)</t>
        </is>
      </c>
      <c r="F197" s="24" t="inlineStr">
        <is>
          <t>ΔNPV B−A</t>
        </is>
      </c>
      <c r="G197" s="24" t="inlineStr">
        <is>
          <t>ערך תמריץ C−B</t>
        </is>
      </c>
      <c r="H197" s="24" t="inlineStr">
        <is>
          <t>ROI A</t>
        </is>
      </c>
      <c r="I197" s="24" t="inlineStr">
        <is>
          <t>ROI B</t>
        </is>
      </c>
      <c r="J197" s="24" t="inlineStr">
        <is>
          <t>ROI C</t>
        </is>
      </c>
      <c r="K197" s="24" t="inlineStr">
        <is>
          <t>החזר ΔCapEx B−A (שנים)</t>
        </is>
      </c>
      <c r="L197" s="24" t="inlineStr">
        <is>
          <t>החזר ΔCapEx C−A (שנים)</t>
        </is>
      </c>
    </row>
    <row r="198">
      <c r="B198" s="22" t="inlineStr">
        <is>
          <t>משאבות חום (חימום מים)</t>
        </is>
      </c>
      <c r="C198" s="50">
        <f>$F$57</f>
        <v/>
      </c>
      <c r="D198" s="51">
        <f>$F$58</f>
        <v/>
      </c>
      <c r="E198" s="52">
        <f>$F$59</f>
        <v/>
      </c>
      <c r="F198" s="60">
        <f>$F$61</f>
        <v/>
      </c>
      <c r="G198" s="62">
        <f>$F$62</f>
        <v/>
      </c>
      <c r="H198" s="63">
        <f>$F$64</f>
        <v/>
      </c>
      <c r="I198" s="64">
        <f>$F$65</f>
        <v/>
      </c>
      <c r="J198" s="65">
        <f>$F$66</f>
        <v/>
      </c>
      <c r="K198" s="70">
        <f>$F$68</f>
        <v/>
      </c>
      <c r="L198" s="71">
        <f>$F$69</f>
        <v/>
      </c>
    </row>
    <row r="199">
      <c r="B199" s="22" t="inlineStr">
        <is>
          <t>צ'ילרים</t>
        </is>
      </c>
      <c r="C199" s="50">
        <f>$F$115</f>
        <v/>
      </c>
      <c r="D199" s="51">
        <f>$F$116</f>
        <v/>
      </c>
      <c r="E199" s="52">
        <f>$F$117</f>
        <v/>
      </c>
      <c r="F199" s="60">
        <f>$F$119</f>
        <v/>
      </c>
      <c r="G199" s="62">
        <f>$F$120</f>
        <v/>
      </c>
      <c r="H199" s="63">
        <f>$F$122</f>
        <v/>
      </c>
      <c r="I199" s="64">
        <f>$F$123</f>
        <v/>
      </c>
      <c r="J199" s="65">
        <f>$F$124</f>
        <v/>
      </c>
      <c r="K199" s="70">
        <f>$F$126</f>
        <v/>
      </c>
      <c r="L199" s="71">
        <f>$F$127</f>
        <v/>
      </c>
    </row>
    <row r="200">
      <c r="B200" s="22" t="inlineStr">
        <is>
          <t>מדחסי VSD</t>
        </is>
      </c>
      <c r="C200" s="50">
        <f>$F$173</f>
        <v/>
      </c>
      <c r="D200" s="51">
        <f>$F$174</f>
        <v/>
      </c>
      <c r="E200" s="52">
        <f>$F$175</f>
        <v/>
      </c>
      <c r="F200" s="60">
        <f>$F$177</f>
        <v/>
      </c>
      <c r="G200" s="62">
        <f>$F$178</f>
        <v/>
      </c>
      <c r="H200" s="63">
        <f>$F$180</f>
        <v/>
      </c>
      <c r="I200" s="64">
        <f>$F$181</f>
        <v/>
      </c>
      <c r="J200" s="65">
        <f>$F$182</f>
        <v/>
      </c>
      <c r="K200" s="70">
        <f>$F$184</f>
        <v/>
      </c>
      <c r="L200" s="71">
        <f>$F$185</f>
        <v/>
      </c>
    </row>
    <row r="202">
      <c r="B202" s="72" t="inlineStr">
        <is>
          <t>** ערכי PENDING מתעדכנים אוטומטית עם קבלת הנתונים (שעות משאבות חום, OPEX אחר מרפי)</t>
        </is>
      </c>
    </row>
  </sheetData>
  <mergeCells count="32">
    <mergeCell ref="B19:Z19"/>
    <mergeCell ref="B34:Z34"/>
    <mergeCell ref="B137:Z137"/>
    <mergeCell ref="B108:Z108"/>
    <mergeCell ref="B15:H15"/>
    <mergeCell ref="B158:Z158"/>
    <mergeCell ref="B92:Z92"/>
    <mergeCell ref="B114:H114"/>
    <mergeCell ref="B139:Z139"/>
    <mergeCell ref="B80:Z80"/>
    <mergeCell ref="B79:Z79"/>
    <mergeCell ref="B188:Z188"/>
    <mergeCell ref="B32:Z32"/>
    <mergeCell ref="B50:Z50"/>
    <mergeCell ref="B100:Z100"/>
    <mergeCell ref="B138:Z138"/>
    <mergeCell ref="B72:Z72"/>
    <mergeCell ref="B81:Z81"/>
    <mergeCell ref="B56:H56"/>
    <mergeCell ref="B90:Z90"/>
    <mergeCell ref="B22:Z22"/>
    <mergeCell ref="B150:Z150"/>
    <mergeCell ref="B195:N195"/>
    <mergeCell ref="B21:Z21"/>
    <mergeCell ref="B130:Z130"/>
    <mergeCell ref="B42:Z42"/>
    <mergeCell ref="B23:Z23"/>
    <mergeCell ref="B8:Z8"/>
    <mergeCell ref="B148:Z148"/>
    <mergeCell ref="B166:Z166"/>
    <mergeCell ref="B10:H10"/>
    <mergeCell ref="B172:H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2026-07-13T07:18:22Z</dcterms:created>
  <dcterms:modified xsi:type="dcterms:W3CDTF">2026-07-13T07:18:22Z</dcterms:modified>
</cp:coreProperties>
</file>