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נתונים והנחות" sheetId="1" state="visible" r:id="rId1"/>
    <sheet name="ניתוח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%"/>
    <numFmt numFmtId="165" formatCode="#,##0.0"/>
    <numFmt numFmtId="166" formatCode="0.0&quot;×&quot;"/>
    <numFmt numFmtId="167" formatCode="#,##0 ₪"/>
    <numFmt numFmtId="168" formatCode="0.0"/>
    <numFmt numFmtId="169" formatCode="#,##0.000"/>
  </numFmts>
  <fonts count="14">
    <font>
      <name val="Calibri"/>
      <family val="2"/>
      <color theme="1"/>
      <sz val="11"/>
      <scheme val="minor"/>
    </font>
    <font>
      <name val="Arial"/>
      <b val="1"/>
      <color rgb="00000000"/>
      <sz val="10"/>
    </font>
    <font>
      <name val="Arial"/>
      <sz val="10"/>
    </font>
    <font>
      <name val="Arial"/>
      <b val="1"/>
      <color rgb="00FFFFFF"/>
      <sz val="11"/>
    </font>
    <font>
      <name val="Arial"/>
      <i val="1"/>
      <color rgb="00FFFFFF"/>
      <sz val="9"/>
    </font>
    <font>
      <name val="Arial"/>
      <b val="1"/>
      <color rgb="00C00000"/>
      <sz val="14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i val="1"/>
      <color rgb="00FF0000"/>
      <sz val="10"/>
    </font>
    <font>
      <name val="Arial"/>
      <b val="1"/>
      <color rgb="00FFFFFF"/>
      <sz val="13"/>
    </font>
    <font>
      <name val="Arial"/>
      <b val="1"/>
      <color rgb="00C00000"/>
      <sz val="13"/>
    </font>
    <font>
      <name val="Arial"/>
      <b val="1"/>
      <sz val="10"/>
    </font>
    <font>
      <name val="Arial"/>
      <color rgb="00FFFFFF"/>
    </font>
    <font>
      <name val="Arial"/>
      <i val="1"/>
      <color rgb="00FF0000"/>
      <sz val="9"/>
    </font>
  </fonts>
  <fills count="1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FFC000"/>
      </patternFill>
    </fill>
    <fill>
      <patternFill patternType="solid">
        <fgColor rgb="00E2EFDA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F6B6B"/>
      </patternFill>
    </fill>
    <fill>
      <patternFill patternType="solid">
        <fgColor rgb="004472C4"/>
      </patternFill>
    </fill>
    <fill>
      <patternFill patternType="solid">
        <fgColor rgb="00BDD7EE"/>
      </patternFill>
    </fill>
    <fill>
      <patternFill patternType="solid">
        <fgColor rgb="001F4E79"/>
      </patternFill>
    </fill>
    <fill>
      <patternFill patternType="solid">
        <fgColor rgb="00538135"/>
      </patternFill>
    </fill>
    <fill>
      <patternFill patternType="solid">
        <fgColor rgb="002E75B6"/>
      </patternFill>
    </fill>
    <fill>
      <patternFill patternType="solid">
        <fgColor rgb="007B60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8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right" vertical="center" readingOrder="2"/>
    </xf>
    <xf numFmtId="0" fontId="2" fillId="3" borderId="0" applyAlignment="1" pivotButton="0" quotePrefix="0" xfId="0">
      <alignment horizontal="right" vertical="center" readingOrder="2"/>
    </xf>
    <xf numFmtId="0" fontId="2" fillId="4" borderId="0" applyAlignment="1" pivotButton="0" quotePrefix="0" xfId="0">
      <alignment horizontal="right" vertical="center" readingOrder="2"/>
    </xf>
    <xf numFmtId="0" fontId="2" fillId="5" borderId="0" applyAlignment="1" pivotButton="0" quotePrefix="0" xfId="0">
      <alignment horizontal="right" vertical="center" readingOrder="2"/>
    </xf>
    <xf numFmtId="0" fontId="2" fillId="6" borderId="0" applyAlignment="1" pivotButton="0" quotePrefix="0" xfId="0">
      <alignment horizontal="right" vertical="center" readingOrder="2"/>
    </xf>
    <xf numFmtId="0" fontId="2" fillId="7" borderId="0" applyAlignment="1" pivotButton="0" quotePrefix="0" xfId="0">
      <alignment horizontal="right" vertical="center" readingOrder="2"/>
    </xf>
    <xf numFmtId="0" fontId="3" fillId="8" borderId="0" applyAlignment="1" pivotButton="0" quotePrefix="0" xfId="0">
      <alignment horizontal="right" vertical="center" readingOrder="2"/>
    </xf>
    <xf numFmtId="0" fontId="0" fillId="0" borderId="0" applyAlignment="1" pivotButton="0" quotePrefix="0" xfId="0">
      <alignment horizontal="right" vertical="center" readingOrder="2"/>
    </xf>
    <xf numFmtId="164" fontId="0" fillId="3" borderId="0" applyAlignment="1" pivotButton="0" quotePrefix="0" xfId="0">
      <alignment horizontal="center" vertical="center" readingOrder="2"/>
    </xf>
    <xf numFmtId="164" fontId="0" fillId="2" borderId="0" applyAlignment="1" pivotButton="0" quotePrefix="0" xfId="0">
      <alignment horizontal="center" vertical="center" readingOrder="2"/>
    </xf>
    <xf numFmtId="165" fontId="0" fillId="2" borderId="0" applyAlignment="1" pivotButton="0" quotePrefix="0" xfId="0">
      <alignment horizontal="center" vertical="center" readingOrder="2"/>
    </xf>
    <xf numFmtId="0" fontId="3" fillId="7" borderId="0" applyAlignment="1" pivotButton="0" quotePrefix="0" xfId="0">
      <alignment horizontal="right" vertical="center" readingOrder="2"/>
    </xf>
    <xf numFmtId="0" fontId="3" fillId="7" borderId="0" applyAlignment="1" pivotButton="0" quotePrefix="0" xfId="0">
      <alignment horizontal="center" vertical="center" readingOrder="2"/>
    </xf>
    <xf numFmtId="0" fontId="4" fillId="7" borderId="0" applyAlignment="1" pivotButton="0" quotePrefix="0" xfId="0">
      <alignment horizontal="right" vertical="center" readingOrder="2"/>
    </xf>
    <xf numFmtId="166" fontId="5" fillId="2" borderId="0" applyAlignment="1" pivotButton="0" quotePrefix="0" xfId="0">
      <alignment horizontal="center" vertical="center" readingOrder="2"/>
    </xf>
    <xf numFmtId="0" fontId="6" fillId="0" borderId="0" pivotButton="0" quotePrefix="0" xfId="0"/>
    <xf numFmtId="0" fontId="2" fillId="0" borderId="0" applyAlignment="1" pivotButton="0" quotePrefix="0" xfId="0">
      <alignment horizontal="right" vertical="center" readingOrder="2"/>
    </xf>
    <xf numFmtId="164" fontId="0" fillId="0" borderId="0" applyAlignment="1" pivotButton="0" quotePrefix="0" xfId="0">
      <alignment horizontal="center" vertical="center" readingOrder="2"/>
    </xf>
    <xf numFmtId="0" fontId="1" fillId="9" borderId="0" applyAlignment="1" pivotButton="0" quotePrefix="0" xfId="0">
      <alignment horizontal="center" vertical="center" readingOrder="2"/>
    </xf>
    <xf numFmtId="0" fontId="7" fillId="10" borderId="0" applyAlignment="1" pivotButton="0" quotePrefix="0" xfId="0">
      <alignment horizontal="center" vertical="center" readingOrder="2"/>
    </xf>
    <xf numFmtId="0" fontId="6" fillId="0" borderId="0" applyAlignment="1" pivotButton="0" quotePrefix="0" xfId="0">
      <alignment horizontal="center" vertical="center" readingOrder="2"/>
    </xf>
    <xf numFmtId="0" fontId="8" fillId="0" borderId="0" applyAlignment="1" pivotButton="0" quotePrefix="0" xfId="0">
      <alignment horizontal="right" vertical="center" readingOrder="2"/>
    </xf>
    <xf numFmtId="167" fontId="8" fillId="2" borderId="0" applyAlignment="1" pivotButton="0" quotePrefix="0" xfId="0">
      <alignment horizontal="center" vertical="center" readingOrder="2"/>
    </xf>
    <xf numFmtId="167" fontId="0" fillId="0" borderId="0" applyAlignment="1" pivotButton="0" quotePrefix="0" xfId="0">
      <alignment horizontal="center" vertical="center" readingOrder="2"/>
    </xf>
    <xf numFmtId="168" fontId="0" fillId="3" borderId="0" applyAlignment="1" pivotButton="0" quotePrefix="0" xfId="0">
      <alignment horizontal="center" vertical="center" readingOrder="2"/>
    </xf>
    <xf numFmtId="3" fontId="8" fillId="2" borderId="0" applyAlignment="1" pivotButton="0" quotePrefix="0" xfId="0">
      <alignment horizontal="center" vertical="center" readingOrder="2"/>
    </xf>
    <xf numFmtId="3" fontId="0" fillId="0" borderId="0" applyAlignment="1" pivotButton="0" quotePrefix="0" xfId="0">
      <alignment horizontal="center" vertical="center" readingOrder="2"/>
    </xf>
    <xf numFmtId="0" fontId="9" fillId="8" borderId="0" applyAlignment="1" pivotButton="0" quotePrefix="0" xfId="0">
      <alignment horizontal="right" vertical="center" readingOrder="2"/>
    </xf>
    <xf numFmtId="169" fontId="0" fillId="2" borderId="0" applyAlignment="1" pivotButton="0" quotePrefix="0" xfId="0">
      <alignment horizontal="center" vertical="center" readingOrder="2"/>
    </xf>
    <xf numFmtId="166" fontId="10" fillId="2" borderId="0" applyAlignment="1" pivotButton="0" quotePrefix="0" xfId="0">
      <alignment horizontal="center" vertical="center" readingOrder="2"/>
    </xf>
    <xf numFmtId="0" fontId="6" fillId="0" borderId="0" applyAlignment="1" pivotButton="0" quotePrefix="0" xfId="0">
      <alignment horizontal="right" vertical="center" readingOrder="2"/>
    </xf>
    <xf numFmtId="0" fontId="3" fillId="10" borderId="0" applyAlignment="1" pivotButton="0" quotePrefix="0" xfId="0">
      <alignment horizontal="right" vertical="center" readingOrder="2"/>
    </xf>
    <xf numFmtId="0" fontId="1" fillId="9" borderId="0" applyAlignment="1" pivotButton="0" quotePrefix="0" xfId="0">
      <alignment horizontal="right" vertical="center" readingOrder="2"/>
    </xf>
    <xf numFmtId="167" fontId="0" fillId="4" borderId="0" applyAlignment="1" pivotButton="0" quotePrefix="0" xfId="0">
      <alignment horizontal="center" vertical="center" readingOrder="2"/>
    </xf>
    <xf numFmtId="167" fontId="0" fillId="5" borderId="0" applyAlignment="1" pivotButton="0" quotePrefix="0" xfId="0">
      <alignment horizontal="center" vertical="center" readingOrder="2"/>
    </xf>
    <xf numFmtId="167" fontId="0" fillId="6" borderId="0" applyAlignment="1" pivotButton="0" quotePrefix="0" xfId="0">
      <alignment horizontal="center" vertical="center" readingOrder="2"/>
    </xf>
    <xf numFmtId="0" fontId="1" fillId="11" borderId="0" applyAlignment="1" pivotButton="0" quotePrefix="0" xfId="0">
      <alignment horizontal="right" vertical="center" readingOrder="2"/>
    </xf>
    <xf numFmtId="0" fontId="1" fillId="12" borderId="0" applyAlignment="1" pivotButton="0" quotePrefix="0" xfId="0">
      <alignment horizontal="right" vertical="center" readingOrder="2"/>
    </xf>
    <xf numFmtId="0" fontId="1" fillId="13" borderId="0" applyAlignment="1" pivotButton="0" quotePrefix="0" xfId="0">
      <alignment horizontal="right" vertical="center" readingOrder="2"/>
    </xf>
    <xf numFmtId="0" fontId="11" fillId="4" borderId="0" applyAlignment="1" pivotButton="0" quotePrefix="0" xfId="0">
      <alignment horizontal="right" vertical="center" readingOrder="2"/>
    </xf>
    <xf numFmtId="0" fontId="11" fillId="5" borderId="0" applyAlignment="1" pivotButton="0" quotePrefix="0" xfId="0">
      <alignment horizontal="right" vertical="center" readingOrder="2"/>
    </xf>
    <xf numFmtId="0" fontId="11" fillId="6" borderId="0" applyAlignment="1" pivotButton="0" quotePrefix="0" xfId="0">
      <alignment horizontal="right" vertical="center" readingOrder="2"/>
    </xf>
    <xf numFmtId="0" fontId="11" fillId="2" borderId="0" applyAlignment="1" pivotButton="0" quotePrefix="0" xfId="0">
      <alignment horizontal="right" vertical="center" readingOrder="2"/>
    </xf>
    <xf numFmtId="167" fontId="0" fillId="2" borderId="0" applyAlignment="1" pivotButton="0" quotePrefix="0" xfId="0">
      <alignment horizontal="center" vertical="center" readingOrder="2"/>
    </xf>
    <xf numFmtId="0" fontId="11" fillId="7" borderId="0" applyAlignment="1" pivotButton="0" quotePrefix="0" xfId="0">
      <alignment horizontal="right" vertical="center" readingOrder="2"/>
    </xf>
    <xf numFmtId="167" fontId="0" fillId="7" borderId="0" applyAlignment="1" pivotButton="0" quotePrefix="0" xfId="0">
      <alignment horizontal="center" vertical="center" readingOrder="2"/>
    </xf>
    <xf numFmtId="164" fontId="0" fillId="4" borderId="0" applyAlignment="1" pivotButton="0" quotePrefix="0" xfId="0">
      <alignment horizontal="center" vertical="center" readingOrder="2"/>
    </xf>
    <xf numFmtId="164" fontId="0" fillId="5" borderId="0" applyAlignment="1" pivotButton="0" quotePrefix="0" xfId="0">
      <alignment horizontal="center" vertical="center" readingOrder="2"/>
    </xf>
    <xf numFmtId="164" fontId="0" fillId="6" borderId="0" applyAlignment="1" pivotButton="0" quotePrefix="0" xfId="0">
      <alignment horizontal="center" vertical="center" readingOrder="2"/>
    </xf>
    <xf numFmtId="168" fontId="6" fillId="2" borderId="0" applyAlignment="1" pivotButton="0" quotePrefix="0" xfId="0">
      <alignment horizontal="center" vertical="center" readingOrder="2"/>
    </xf>
    <xf numFmtId="0" fontId="7" fillId="7" borderId="0" applyAlignment="1" pivotButton="0" quotePrefix="0" xfId="0">
      <alignment horizontal="right" vertical="center" readingOrder="2"/>
    </xf>
    <xf numFmtId="0" fontId="12" fillId="0" borderId="0" applyAlignment="1" pivotButton="0" quotePrefix="0" xfId="0">
      <alignment horizontal="right" vertical="center" readingOrder="2"/>
    </xf>
    <xf numFmtId="168" fontId="7" fillId="7" borderId="0" applyAlignment="1" pivotButton="0" quotePrefix="0" xfId="0">
      <alignment horizontal="center" vertical="center" readingOrder="2"/>
    </xf>
    <xf numFmtId="168" fontId="0" fillId="2" borderId="0" applyAlignment="1" pivotButton="0" quotePrefix="0" xfId="0">
      <alignment horizontal="center" vertical="center" readingOrder="2"/>
    </xf>
    <xf numFmtId="168" fontId="0" fillId="7" borderId="0" applyAlignment="1" pivotButton="0" quotePrefix="0" xfId="0">
      <alignment horizontal="center" vertical="center" readingOrder="2"/>
    </xf>
    <xf numFmtId="0" fontId="13" fillId="0" borderId="0" applyAlignment="1" pivotButton="0" quotePrefix="0" xfId="0">
      <alignment horizontal="right" vertical="center" readingOrder="2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J44"/>
  <sheetViews>
    <sheetView rightToLeft="1" workbookViewId="0">
      <selection activeCell="A1" sqref="A1"/>
    </sheetView>
  </sheetViews>
  <sheetFormatPr baseColWidth="8" defaultRowHeight="15"/>
  <cols>
    <col width="4" customWidth="1" min="1" max="1"/>
    <col width="42" customWidth="1" min="2" max="2"/>
    <col width="14" customWidth="1" min="3" max="3"/>
    <col width="18" customWidth="1" min="4" max="4"/>
    <col width="30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</cols>
  <sheetData>
    <row r="1">
      <c r="B1" s="1" t="inlineStr">
        <is>
          <t>מקרא צבעים</t>
        </is>
      </c>
    </row>
    <row r="2">
      <c r="B2" s="2" t="inlineStr">
        <is>
          <t>ערך להזנה</t>
        </is>
      </c>
    </row>
    <row r="3">
      <c r="B3" s="3" t="inlineStr">
        <is>
          <t>נתון לעדכון / בקרה</t>
        </is>
      </c>
    </row>
    <row r="4">
      <c r="B4" s="4" t="inlineStr">
        <is>
          <t>תרחיש A — טכנולוגיה קיימת</t>
        </is>
      </c>
    </row>
    <row r="5">
      <c r="B5" s="5" t="inlineStr">
        <is>
          <t>תרחיש B — יעיל, ללא תמריץ</t>
        </is>
      </c>
    </row>
    <row r="6">
      <c r="B6" s="6" t="inlineStr">
        <is>
          <t>תרחיש C — יעיל, עם תמריץ</t>
        </is>
      </c>
    </row>
    <row r="7">
      <c r="B7" s="7" t="inlineStr">
        <is>
          <t>פרמטר מדיניות מרכזי</t>
        </is>
      </c>
    </row>
    <row r="9">
      <c r="B9" s="8" t="inlineStr">
        <is>
          <t>1. פרמטרים פיננסיים</t>
        </is>
      </c>
    </row>
    <row r="10">
      <c r="B10" s="3" t="inlineStr">
        <is>
          <t>שיעור מס חברות</t>
        </is>
      </c>
      <c r="C10" s="9" t="inlineStr">
        <is>
          <t>%</t>
        </is>
      </c>
      <c r="D10" s="9" t="inlineStr">
        <is>
          <t>רשות המסים</t>
        </is>
      </c>
      <c r="E10" s="9" t="inlineStr"/>
      <c r="F10" s="10" t="n">
        <v>0.23</v>
      </c>
    </row>
    <row r="11">
      <c r="B11" s="2" t="inlineStr">
        <is>
          <t>שיעור היוון (יזמי / פרטי)</t>
        </is>
      </c>
      <c r="C11" s="9" t="inlineStr">
        <is>
          <t>%</t>
        </is>
      </c>
      <c r="D11" s="9" t="inlineStr">
        <is>
          <t>הנחת עבודה</t>
        </is>
      </c>
      <c r="E11" s="9" t="inlineStr">
        <is>
          <t>6% לאומי / 10% תעשייתי — ממתין להחלטת דניאל</t>
        </is>
      </c>
      <c r="F11" s="11" t="n">
        <v>0.1</v>
      </c>
    </row>
    <row r="12">
      <c r="B12" s="2" t="inlineStr">
        <is>
          <t>מחיר חשמל ממוצע לתעשייה</t>
        </is>
      </c>
      <c r="C12" s="9" t="inlineStr">
        <is>
          <t>אג'/קוט"ש</t>
        </is>
      </c>
      <c r="D12" s="9" t="inlineStr">
        <is>
          <t>חברת החשמל</t>
        </is>
      </c>
      <c r="E12" s="9" t="inlineStr">
        <is>
          <t>ממוצע SMP 2024</t>
        </is>
      </c>
      <c r="F12" s="12" t="n">
        <v>14</v>
      </c>
    </row>
    <row r="14">
      <c r="B14" s="8" t="inlineStr">
        <is>
          <t>2. פרמטר תמריץ — מכפיל פחת (פחת מואץ)</t>
        </is>
      </c>
    </row>
    <row r="15">
      <c r="B15" s="13" t="inlineStr">
        <is>
          <t>מכפיל שיעור הפחת  ←  פרמטר המדיניות המרכזי</t>
        </is>
      </c>
      <c r="C15" s="14" t="inlineStr">
        <is>
          <t>מכפיל</t>
        </is>
      </c>
      <c r="D15" s="9" t="inlineStr">
        <is>
          <t>פרמטר ניתן לשינוי</t>
        </is>
      </c>
      <c r="E15" s="15" t="inlineStr">
        <is>
          <t>1.0 = ללא תמריץ | 2.0 = קפריסין (כפול, 5 שנים) | 5.0 = 2 שנים</t>
        </is>
      </c>
      <c r="F15" s="16" t="n">
        <v>2</v>
      </c>
    </row>
    <row r="16">
      <c r="B16" s="17" t="inlineStr">
        <is>
          <t>מכפיל 2.0 + פחת סטנדרטי 10% = שיעור מואץ 20%/שנה למשך 5 שנים. סה"כ ניכוי = 100% CapEx — היתרון הוא קדמות הניכוי (Time Value of Money).</t>
        </is>
      </c>
    </row>
    <row r="17">
      <c r="B17" s="17" t="inlineStr">
        <is>
          <t>דוגמאות: 1.0 = 10%/שנה × 10 שנים (סטנדרטי) | 2.0 = 20%/שנה × 5 שנים | 3.33 = 33%/שנה × 3 שנים | 5.0 = 50%/שנה × 2 שנים (מודל קפריסין/אירלנד)</t>
        </is>
      </c>
    </row>
    <row r="19">
      <c r="B19" s="8" t="inlineStr">
        <is>
          <t>3. שיעורי פחת סטנדרטיים — תקנות מס הכנסה</t>
        </is>
      </c>
    </row>
    <row r="20">
      <c r="B20" s="18" t="inlineStr">
        <is>
          <t>משאבות חום</t>
        </is>
      </c>
      <c r="C20" s="9" t="inlineStr">
        <is>
          <t>% לשנה</t>
        </is>
      </c>
      <c r="D20" s="9" t="inlineStr">
        <is>
          <t>תקנות פחת</t>
        </is>
      </c>
      <c r="E20" s="9" t="inlineStr">
        <is>
          <t>ציוד מכני</t>
        </is>
      </c>
      <c r="F20" s="19" t="n">
        <v>0.1</v>
      </c>
    </row>
    <row r="21">
      <c r="B21" s="18" t="inlineStr">
        <is>
          <t>צ'ילרים</t>
        </is>
      </c>
      <c r="C21" s="9" t="inlineStr">
        <is>
          <t>% לשנה</t>
        </is>
      </c>
      <c r="D21" s="9" t="inlineStr">
        <is>
          <t>תקנות פחת</t>
        </is>
      </c>
      <c r="E21" s="9" t="inlineStr">
        <is>
          <t>ציוד מכני</t>
        </is>
      </c>
      <c r="F21" s="19" t="n">
        <v>0.1</v>
      </c>
    </row>
    <row r="22">
      <c r="B22" s="18" t="inlineStr">
        <is>
          <t>מדחסי VSD</t>
        </is>
      </c>
      <c r="C22" s="9" t="inlineStr">
        <is>
          <t>% לשנה</t>
        </is>
      </c>
      <c r="D22" s="9" t="inlineStr">
        <is>
          <t>תקנות פחת</t>
        </is>
      </c>
      <c r="E22" s="9" t="inlineStr">
        <is>
          <t>ציוד מכני</t>
        </is>
      </c>
      <c r="F22" s="19" t="n">
        <v>0.1</v>
      </c>
    </row>
    <row r="23">
      <c r="B23" s="18" t="inlineStr">
        <is>
          <t>מערכות קיטור</t>
        </is>
      </c>
      <c r="C23" s="9" t="inlineStr">
        <is>
          <t>% לשנה</t>
        </is>
      </c>
      <c r="D23" s="9" t="inlineStr">
        <is>
          <t>תקנות פחת</t>
        </is>
      </c>
      <c r="E23" s="9" t="inlineStr">
        <is>
          <t>ציוד מכני</t>
        </is>
      </c>
      <c r="F23" s="19" t="n">
        <v>0.1</v>
      </c>
    </row>
    <row r="25">
      <c r="B25" s="17" t="inlineStr">
        <is>
          <t>* שיעורי הפחת הם הנחות עבודה — יש לוודא מול יועץ מס לפני הגשה</t>
        </is>
      </c>
    </row>
    <row r="27">
      <c r="B27" s="8" t="inlineStr">
        <is>
          <t>4. הנחות לפי טכנולוגיה — כל הנתונים לעדכון בטבלה זו</t>
        </is>
      </c>
    </row>
    <row r="28">
      <c r="B28" s="20" t="inlineStr">
        <is>
          <t>פרמטר</t>
        </is>
      </c>
      <c r="C28" s="20" t="inlineStr">
        <is>
          <t>יחידות</t>
        </is>
      </c>
      <c r="D28" s="20" t="inlineStr">
        <is>
          <t>מקור</t>
        </is>
      </c>
      <c r="E28" s="20" t="inlineStr">
        <is>
          <t>הערות</t>
        </is>
      </c>
      <c r="F28" s="21" t="inlineStr">
        <is>
          <t>משאבות חום (חימום מים)</t>
        </is>
      </c>
      <c r="G28" s="21" t="inlineStr">
        <is>
          <t>צ'ילרים</t>
        </is>
      </c>
      <c r="H28" s="21" t="inlineStr">
        <is>
          <t>מדחסי VSD</t>
        </is>
      </c>
      <c r="I28" s="21" t="inlineStr">
        <is>
          <t>מערכות קיטור חשמליות</t>
        </is>
      </c>
    </row>
    <row r="29">
      <c r="F29" s="22" t="inlineStr">
        <is>
          <t>vs. דוד חשמל קונבנציונלי</t>
        </is>
      </c>
      <c r="G29" s="22" t="inlineStr">
        <is>
          <t>vs. מערכת קירור קונבנציונלית</t>
        </is>
      </c>
      <c r="H29" s="22" t="inlineStr">
        <is>
          <t>vs. מדחס מהירות קבועה</t>
        </is>
      </c>
      <c r="I29" s="22" t="inlineStr">
        <is>
          <t>vs. קיטור מבוסס דלק / גז</t>
        </is>
      </c>
    </row>
    <row r="30">
      <c r="B30" s="18" t="inlineStr">
        <is>
          <t>CapEx — ציוד קיים (בסיסי)</t>
        </is>
      </c>
      <c r="C30" s="9" t="inlineStr">
        <is>
          <t>₪</t>
        </is>
      </c>
      <c r="D30" s="9" t="inlineStr">
        <is>
          <t>נתוני רפי</t>
        </is>
      </c>
      <c r="E30" s="23" t="inlineStr">
        <is>
          <t>⚠ ממתין לנתוני רפי</t>
        </is>
      </c>
      <c r="F30" s="24" t="inlineStr">
        <is>
          <t>PENDING</t>
        </is>
      </c>
      <c r="G30" s="24" t="inlineStr">
        <is>
          <t>PENDING</t>
        </is>
      </c>
      <c r="H30" s="24" t="inlineStr">
        <is>
          <t>PENDING</t>
        </is>
      </c>
      <c r="I30" s="24" t="inlineStr">
        <is>
          <t>PENDING</t>
        </is>
      </c>
    </row>
    <row r="31">
      <c r="B31" s="18" t="inlineStr">
        <is>
          <t>CapEx — ציוד יעיל</t>
        </is>
      </c>
      <c r="C31" s="9" t="inlineStr">
        <is>
          <t>₪</t>
        </is>
      </c>
      <c r="D31" s="9" t="inlineStr">
        <is>
          <t>נתוני רפי</t>
        </is>
      </c>
      <c r="E31" s="23" t="inlineStr">
        <is>
          <t>⚠ ממתין לנתוני רפי</t>
        </is>
      </c>
      <c r="F31" s="24" t="inlineStr">
        <is>
          <t>PENDING</t>
        </is>
      </c>
      <c r="G31" s="24" t="inlineStr">
        <is>
          <t>PENDING</t>
        </is>
      </c>
      <c r="H31" s="24" t="inlineStr">
        <is>
          <t>PENDING</t>
        </is>
      </c>
      <c r="I31" s="24" t="inlineStr">
        <is>
          <t>PENDING</t>
        </is>
      </c>
    </row>
    <row r="32">
      <c r="B32" s="18" t="inlineStr">
        <is>
          <t>ΔCapEx = יעיל − בסיסי</t>
        </is>
      </c>
      <c r="C32" s="9" t="inlineStr">
        <is>
          <t>₪</t>
        </is>
      </c>
      <c r="D32" s="9" t="inlineStr">
        <is>
          <t>חישוב</t>
        </is>
      </c>
      <c r="F32" s="25">
        <f>IF(ISNUMBER(F31)*ISNUMBER(F30),F31-F30,"PENDING")</f>
        <v/>
      </c>
      <c r="G32" s="25">
        <f>IF(ISNUMBER(G31)*ISNUMBER(G30),G31-G30,"PENDING")</f>
        <v/>
      </c>
      <c r="H32" s="25">
        <f>IF(ISNUMBER(H31)*ISNUMBER(H30),H31-H30,"PENDING")</f>
        <v/>
      </c>
      <c r="I32" s="25">
        <f>IF(ISNUMBER(I31)*ISNUMBER(I30),I31-I30,"PENDING")</f>
        <v/>
      </c>
    </row>
    <row r="33">
      <c r="B33" s="18" t="inlineStr">
        <is>
          <t>אורך חיים — ציוד בסיסי</t>
        </is>
      </c>
      <c r="C33" s="9" t="inlineStr">
        <is>
          <t>שנים</t>
        </is>
      </c>
      <c r="D33" s="9" t="inlineStr">
        <is>
          <t>ממצאי הנדסה</t>
        </is>
      </c>
      <c r="F33" s="26" t="n">
        <v>15</v>
      </c>
      <c r="G33" s="26" t="n">
        <v>15</v>
      </c>
      <c r="H33" s="26" t="n">
        <v>12</v>
      </c>
      <c r="I33" s="26" t="n">
        <v>15</v>
      </c>
    </row>
    <row r="34">
      <c r="B34" s="18" t="inlineStr">
        <is>
          <t>אורך חיים — ציוד יעיל</t>
        </is>
      </c>
      <c r="C34" s="9" t="inlineStr">
        <is>
          <t>שנים</t>
        </is>
      </c>
      <c r="D34" s="9" t="inlineStr">
        <is>
          <t>ממצאי הנדסה</t>
        </is>
      </c>
      <c r="F34" s="26" t="n">
        <v>10</v>
      </c>
      <c r="G34" s="26" t="n">
        <v>17</v>
      </c>
      <c r="H34" s="26" t="n">
        <v>12</v>
      </c>
      <c r="I34" s="26" t="n">
        <v>10</v>
      </c>
    </row>
    <row r="35">
      <c r="B35" s="18" t="inlineStr">
        <is>
          <t>צריכת חשמל שנתית — בסיסי</t>
        </is>
      </c>
      <c r="C35" s="9" t="inlineStr">
        <is>
          <t>קוט"ש/שנה</t>
        </is>
      </c>
      <c r="D35" s="9" t="inlineStr">
        <is>
          <t>נתוני רפי</t>
        </is>
      </c>
      <c r="E35" s="23" t="inlineStr">
        <is>
          <t>⚠ ממתין לנתוני רפי</t>
        </is>
      </c>
      <c r="F35" s="27" t="inlineStr">
        <is>
          <t>PENDING</t>
        </is>
      </c>
      <c r="G35" s="27" t="inlineStr">
        <is>
          <t>PENDING</t>
        </is>
      </c>
      <c r="H35" s="27" t="inlineStr">
        <is>
          <t>PENDING</t>
        </is>
      </c>
      <c r="I35" s="27" t="inlineStr">
        <is>
          <t>PENDING</t>
        </is>
      </c>
    </row>
    <row r="36">
      <c r="B36" s="18" t="inlineStr">
        <is>
          <t>חיסכון אנרגטי</t>
        </is>
      </c>
      <c r="C36" s="9" t="inlineStr">
        <is>
          <t>% מצריכה</t>
        </is>
      </c>
      <c r="D36" s="9" t="inlineStr">
        <is>
          <t>ממצאי הנדסה</t>
        </is>
      </c>
      <c r="F36" s="10" t="n">
        <v>0.5</v>
      </c>
      <c r="G36" s="10" t="n">
        <v>0.2</v>
      </c>
      <c r="H36" s="10" t="n">
        <v>0.2</v>
      </c>
      <c r="I36" s="10" t="n">
        <v>0.5</v>
      </c>
    </row>
    <row r="37">
      <c r="B37" s="18" t="inlineStr">
        <is>
          <t>צריכת חשמל שנתית — יעיל</t>
        </is>
      </c>
      <c r="C37" s="9" t="inlineStr">
        <is>
          <t>קוט"ש/שנה</t>
        </is>
      </c>
      <c r="D37" s="9" t="inlineStr">
        <is>
          <t>חישוב</t>
        </is>
      </c>
      <c r="F37" s="28">
        <f>IF(ISNUMBER(F35),F35*(1-F36),"PENDING")</f>
        <v/>
      </c>
      <c r="G37" s="28">
        <f>IF(ISNUMBER(G35),G35*(1-G36),"PENDING")</f>
        <v/>
      </c>
      <c r="H37" s="28">
        <f>IF(ISNUMBER(H35),H35*(1-H36),"PENDING")</f>
        <v/>
      </c>
      <c r="I37" s="28">
        <f>IF(ISNUMBER(I35),I35*(1-I36),"PENDING")</f>
        <v/>
      </c>
    </row>
    <row r="38">
      <c r="B38" s="18" t="inlineStr">
        <is>
          <t>גורם שחיקת ביצועים</t>
        </is>
      </c>
      <c r="C38" s="9" t="inlineStr">
        <is>
          <t>%/שנה</t>
        </is>
      </c>
      <c r="D38" s="9" t="inlineStr">
        <is>
          <t>הנחת עבודה</t>
        </is>
      </c>
      <c r="F38" s="11" t="n">
        <v>0.005</v>
      </c>
      <c r="G38" s="11" t="n">
        <v>0.005</v>
      </c>
      <c r="H38" s="11" t="n">
        <v>0.005</v>
      </c>
      <c r="I38" s="11" t="n">
        <v>0.005</v>
      </c>
    </row>
    <row r="39">
      <c r="B39" s="18" t="inlineStr">
        <is>
          <t>OPEX אחר — בסיסי (תחזוקה, חלפים...)</t>
        </is>
      </c>
      <c r="C39" s="9" t="inlineStr">
        <is>
          <t>₪/שנה</t>
        </is>
      </c>
      <c r="D39" s="9" t="inlineStr">
        <is>
          <t>נתוני רפי</t>
        </is>
      </c>
      <c r="E39" s="23" t="inlineStr">
        <is>
          <t>⚠ ממתין | תחזוקה, חלפים, ביטוח</t>
        </is>
      </c>
      <c r="F39" s="24" t="inlineStr">
        <is>
          <t>PENDING</t>
        </is>
      </c>
      <c r="G39" s="24" t="inlineStr">
        <is>
          <t>PENDING</t>
        </is>
      </c>
      <c r="H39" s="24" t="inlineStr">
        <is>
          <t>PENDING</t>
        </is>
      </c>
      <c r="I39" s="24" t="inlineStr">
        <is>
          <t>PENDING</t>
        </is>
      </c>
    </row>
    <row r="40">
      <c r="B40" s="18" t="inlineStr">
        <is>
          <t>OPEX אחר — יעיל (תחזוקה, חלפים...)</t>
        </is>
      </c>
      <c r="C40" s="9" t="inlineStr">
        <is>
          <t>₪/שנה</t>
        </is>
      </c>
      <c r="D40" s="9" t="inlineStr">
        <is>
          <t>נתוני רפי</t>
        </is>
      </c>
      <c r="E40" s="23" t="inlineStr">
        <is>
          <t>⚠ ממתין | תחזוקה, חלפים, ביטוח</t>
        </is>
      </c>
      <c r="F40" s="24" t="inlineStr">
        <is>
          <t>PENDING</t>
        </is>
      </c>
      <c r="G40" s="24" t="inlineStr">
        <is>
          <t>PENDING</t>
        </is>
      </c>
      <c r="H40" s="24" t="inlineStr">
        <is>
          <t>PENDING</t>
        </is>
      </c>
      <c r="I40" s="24" t="inlineStr">
        <is>
          <t>PENDING</t>
        </is>
      </c>
    </row>
    <row r="41">
      <c r="B41" s="18" t="inlineStr">
        <is>
          <t>OPEX אנרגיה שנה 1 — בסיסי</t>
        </is>
      </c>
      <c r="C41" s="9" t="inlineStr">
        <is>
          <t>₪/שנה</t>
        </is>
      </c>
      <c r="D41" s="9" t="inlineStr">
        <is>
          <t>חישוב</t>
        </is>
      </c>
      <c r="F41" s="25">
        <f>IF(ISNUMBER(F35),F35*$F$12/100,"PENDING")</f>
        <v/>
      </c>
      <c r="G41" s="25">
        <f>IF(ISNUMBER(G35),G35*$F$12/100,"PENDING")</f>
        <v/>
      </c>
      <c r="H41" s="25">
        <f>IF(ISNUMBER(H35),H35*$F$12/100,"PENDING")</f>
        <v/>
      </c>
      <c r="I41" s="25">
        <f>IF(ISNUMBER(I35),I35*$F$12/100,"PENDING")</f>
        <v/>
      </c>
    </row>
    <row r="42">
      <c r="B42" s="18" t="inlineStr">
        <is>
          <t>OPEX אנרגיה שנה 1 — יעיל</t>
        </is>
      </c>
      <c r="C42" s="9" t="inlineStr">
        <is>
          <t>₪/שנה</t>
        </is>
      </c>
      <c r="D42" s="9" t="inlineStr">
        <is>
          <t>חישוב</t>
        </is>
      </c>
      <c r="F42" s="25">
        <f>IF(ISNUMBER(F37),F37*$F$12/100,"PENDING")</f>
        <v/>
      </c>
      <c r="G42" s="25">
        <f>IF(ISNUMBER(G37),G37*$F$12/100,"PENDING")</f>
        <v/>
      </c>
      <c r="H42" s="25">
        <f>IF(ISNUMBER(H37),H37*$F$12/100,"PENDING")</f>
        <v/>
      </c>
      <c r="I42" s="25">
        <f>IF(ISNUMBER(I37),I37*$F$12/100,"PENDING")</f>
        <v/>
      </c>
    </row>
    <row r="44">
      <c r="B44" s="17" t="inlineStr">
        <is>
          <t>* CapEx, kWh ו-OPEX אחר — ממתינים לנתוני רפי. שאר הנתונים הם הנחות עבודה לאישור.</t>
        </is>
      </c>
    </row>
  </sheetData>
  <mergeCells count="6">
    <mergeCell ref="B19:J19"/>
    <mergeCell ref="B14:J14"/>
    <mergeCell ref="B17:J17"/>
    <mergeCell ref="B9:J9"/>
    <mergeCell ref="B27:I27"/>
    <mergeCell ref="B16:J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Z261"/>
  <sheetViews>
    <sheetView rightToLeft="1" workbookViewId="0">
      <selection activeCell="A1" sqref="A1"/>
    </sheetView>
  </sheetViews>
  <sheetFormatPr baseColWidth="8" defaultRowHeight="15"/>
  <cols>
    <col width="4" customWidth="1" min="1" max="1"/>
    <col width="42" customWidth="1" min="2" max="2"/>
    <col width="14" customWidth="1" min="3" max="3"/>
    <col width="18" customWidth="1" min="4" max="4"/>
    <col width="30" customWidth="1" min="5" max="5"/>
    <col width="18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</cols>
  <sheetData>
    <row r="1">
      <c r="B1" s="1" t="inlineStr">
        <is>
          <t>מקרא צבעים</t>
        </is>
      </c>
    </row>
    <row r="2">
      <c r="B2" s="2" t="inlineStr">
        <is>
          <t>ערך להזנה</t>
        </is>
      </c>
    </row>
    <row r="3">
      <c r="B3" s="3" t="inlineStr">
        <is>
          <t>נתון לעדכון / בקרה</t>
        </is>
      </c>
    </row>
    <row r="4">
      <c r="B4" s="4" t="inlineStr">
        <is>
          <t>תרחיש A — טכנולוגיה קיימת</t>
        </is>
      </c>
    </row>
    <row r="5">
      <c r="B5" s="5" t="inlineStr">
        <is>
          <t>תרחיש B — יעיל, ללא תמריץ</t>
        </is>
      </c>
    </row>
    <row r="6">
      <c r="B6" s="6" t="inlineStr">
        <is>
          <t>תרחיש C — יעיל, עם תמריץ</t>
        </is>
      </c>
    </row>
    <row r="7">
      <c r="B7" s="7" t="inlineStr">
        <is>
          <t>פרמטר מדיניות מרכזי</t>
        </is>
      </c>
    </row>
    <row r="8">
      <c r="B8" s="29" t="inlineStr">
        <is>
          <t>ניתוח כלכלי — פחת מואץ לפי טכנולוגיה | השוואת שלושה תרחישים</t>
        </is>
      </c>
    </row>
    <row r="10">
      <c r="B10" s="8" t="inlineStr">
        <is>
          <t>1. פרמטרים פיננסיים</t>
        </is>
      </c>
    </row>
    <row r="11">
      <c r="B11" s="3" t="inlineStr">
        <is>
          <t>שיעור מס חברות</t>
        </is>
      </c>
      <c r="C11" s="9" t="inlineStr">
        <is>
          <t>%</t>
        </is>
      </c>
      <c r="D11" s="9" t="inlineStr">
        <is>
          <t>נתונים והנחות</t>
        </is>
      </c>
      <c r="F11" s="10">
        <f>'נתונים והנחות'!$F$10</f>
        <v/>
      </c>
    </row>
    <row r="12">
      <c r="B12" s="2" t="inlineStr">
        <is>
          <t>שיעור היוון</t>
        </is>
      </c>
      <c r="C12" s="9" t="inlineStr">
        <is>
          <t>%</t>
        </is>
      </c>
      <c r="D12" s="9" t="inlineStr">
        <is>
          <t>נתונים והנחות</t>
        </is>
      </c>
      <c r="F12" s="11">
        <f>'נתונים והנחות'!$F$11</f>
        <v/>
      </c>
    </row>
    <row r="13">
      <c r="B13" s="2" t="inlineStr">
        <is>
          <t>מחיר חשמל (₪/קוט"ש)</t>
        </is>
      </c>
      <c r="C13" s="9" t="inlineStr">
        <is>
          <t>₪/קוט"ש</t>
        </is>
      </c>
      <c r="D13" s="9" t="inlineStr">
        <is>
          <t>נתונים והנחות</t>
        </is>
      </c>
      <c r="F13" s="30">
        <f>'נתונים והנחות'!$F$12/100</f>
        <v/>
      </c>
    </row>
    <row r="15">
      <c r="B15" s="8" t="inlineStr">
        <is>
          <t>2. פרמטר תמריץ — מכפיל פחת</t>
        </is>
      </c>
    </row>
    <row r="16">
      <c r="B16" s="13" t="inlineStr">
        <is>
          <t>מכפיל שיעור הפחת  ←  שנה ב'נתונים והנחות'!F15</t>
        </is>
      </c>
      <c r="C16" s="14" t="inlineStr">
        <is>
          <t>מכפיל</t>
        </is>
      </c>
      <c r="D16" s="9" t="inlineStr">
        <is>
          <t>נתונים והנחות</t>
        </is>
      </c>
      <c r="F16" s="31">
        <f>'נתונים והנחות'!$F$15</f>
        <v/>
      </c>
    </row>
    <row r="17">
      <c r="B17" s="32" t="inlineStr">
        <is>
          <t>מכפיל × פחת סטנדרטי = שיעור מואץ | סה"כ ניכוי = 100% CapEx | תקופת פחת = 1 ÷ שיעור מואץ</t>
        </is>
      </c>
    </row>
    <row r="19">
      <c r="B19" s="8" t="inlineStr">
        <is>
          <t>3. ניתוחים לפי טכנולוגיה</t>
        </is>
      </c>
    </row>
    <row r="21">
      <c r="B21" s="33" t="inlineStr">
        <is>
          <t>3.1  משאבות חום (חימום מים)</t>
        </is>
      </c>
    </row>
    <row r="22">
      <c r="B22" s="32" t="inlineStr">
        <is>
          <t>* החלפת דוד חשמל במשאבת חום | חיסכון אנרגטי ~50% | אורך חיים: 10 vs 15 שנה | כל הנתונים: גיליון 'נתונים והנחות' — סעיף 4</t>
        </is>
      </c>
    </row>
    <row r="23">
      <c r="B23" s="34" t="inlineStr">
        <is>
          <t>ב. לוחות פחת (ציוד בסיסי vs. יעיל)</t>
        </is>
      </c>
    </row>
    <row r="24">
      <c r="B24" s="20" t="inlineStr">
        <is>
          <t>פרמטר</t>
        </is>
      </c>
      <c r="C24" s="20" t="inlineStr">
        <is>
          <t>יחידות</t>
        </is>
      </c>
      <c r="D24" s="20" t="inlineStr">
        <is>
          <t>מקור</t>
        </is>
      </c>
      <c r="E24" s="20" t="inlineStr">
        <is>
          <t>הערות</t>
        </is>
      </c>
      <c r="F24" s="20" t="inlineStr">
        <is>
          <t>שנה 0 (השקעה)</t>
        </is>
      </c>
      <c r="G24" s="20" t="inlineStr">
        <is>
          <t>שנה 1</t>
        </is>
      </c>
      <c r="H24" s="20" t="inlineStr">
        <is>
          <t>שנה 2</t>
        </is>
      </c>
      <c r="I24" s="20" t="inlineStr">
        <is>
          <t>שנה 3</t>
        </is>
      </c>
      <c r="J24" s="20" t="inlineStr">
        <is>
          <t>שנה 4</t>
        </is>
      </c>
      <c r="K24" s="20" t="inlineStr">
        <is>
          <t>שנה 5</t>
        </is>
      </c>
      <c r="L24" s="20" t="inlineStr">
        <is>
          <t>שנה 6</t>
        </is>
      </c>
      <c r="M24" s="20" t="inlineStr">
        <is>
          <t>שנה 7</t>
        </is>
      </c>
      <c r="N24" s="20" t="inlineStr">
        <is>
          <t>שנה 8</t>
        </is>
      </c>
      <c r="O24" s="20" t="inlineStr">
        <is>
          <t>שנה 9</t>
        </is>
      </c>
      <c r="P24" s="20" t="inlineStr">
        <is>
          <t>שנה 10</t>
        </is>
      </c>
      <c r="Q24" s="20" t="inlineStr">
        <is>
          <t>שנה 11</t>
        </is>
      </c>
      <c r="R24" s="20" t="inlineStr">
        <is>
          <t>שנה 12</t>
        </is>
      </c>
      <c r="S24" s="20" t="inlineStr">
        <is>
          <t>שנה 13</t>
        </is>
      </c>
      <c r="T24" s="20" t="inlineStr">
        <is>
          <t>שנה 14</t>
        </is>
      </c>
      <c r="U24" s="20" t="inlineStr">
        <is>
          <t>שנה 15</t>
        </is>
      </c>
      <c r="V24" s="20" t="inlineStr">
        <is>
          <t>שנה 16</t>
        </is>
      </c>
      <c r="W24" s="20" t="inlineStr">
        <is>
          <t>שנה 17</t>
        </is>
      </c>
      <c r="X24" s="20" t="inlineStr">
        <is>
          <t>שנה 18</t>
        </is>
      </c>
      <c r="Y24" s="20" t="inlineStr">
        <is>
          <t>שנה 19</t>
        </is>
      </c>
      <c r="Z24" s="20" t="inlineStr">
        <is>
          <t>שנה 20</t>
        </is>
      </c>
    </row>
    <row r="25">
      <c r="B25" s="4" t="inlineStr">
        <is>
          <t>פחת סטנדרטי — דוד חשמל קונבנציונלי</t>
        </is>
      </c>
      <c r="C25" s="9" t="inlineStr">
        <is>
          <t>₪</t>
        </is>
      </c>
      <c r="D25" s="9" t="inlineStr">
        <is>
          <t>חישוב</t>
        </is>
      </c>
      <c r="E25" s="9" t="inlineStr">
        <is>
          <t>קו ישר | 10%/שנה | עד 10 שנים | CapEx בסיסי</t>
        </is>
      </c>
      <c r="F25" s="35" t="n">
        <v>0</v>
      </c>
      <c r="G25" s="35">
        <f>IF(ISNUMBER('נתונים והנחות'!$F$30),'נתונים והנחות'!$F$30*0.1,0)</f>
        <v/>
      </c>
      <c r="H25" s="35">
        <f>IF(ISNUMBER('נתונים והנחות'!$F$30),'נתונים והנחות'!$F$30*0.1,0)</f>
        <v/>
      </c>
      <c r="I25" s="35">
        <f>IF(ISNUMBER('נתונים והנחות'!$F$30),'נתונים והנחות'!$F$30*0.1,0)</f>
        <v/>
      </c>
      <c r="J25" s="35">
        <f>IF(ISNUMBER('נתונים והנחות'!$F$30),'נתונים והנחות'!$F$30*0.1,0)</f>
        <v/>
      </c>
      <c r="K25" s="35">
        <f>IF(ISNUMBER('נתונים והנחות'!$F$30),'נתונים והנחות'!$F$30*0.1,0)</f>
        <v/>
      </c>
      <c r="L25" s="35">
        <f>IF(ISNUMBER('נתונים והנחות'!$F$30),'נתונים והנחות'!$F$30*0.1,0)</f>
        <v/>
      </c>
      <c r="M25" s="35">
        <f>IF(ISNUMBER('נתונים והנחות'!$F$30),'נתונים והנחות'!$F$30*0.1,0)</f>
        <v/>
      </c>
      <c r="N25" s="35">
        <f>IF(ISNUMBER('נתונים והנחות'!$F$30),'נתונים והנחות'!$F$30*0.1,0)</f>
        <v/>
      </c>
      <c r="O25" s="35">
        <f>IF(ISNUMBER('נתונים והנחות'!$F$30),'נתונים והנחות'!$F$30*0.1,0)</f>
        <v/>
      </c>
      <c r="P25" s="35">
        <f>IF(ISNUMBER('נתונים והנחות'!$F$30),'נתונים והנחות'!$F$30*0.1,0)</f>
        <v/>
      </c>
      <c r="Q25" s="35">
        <f>0</f>
        <v/>
      </c>
      <c r="R25" s="35">
        <f>0</f>
        <v/>
      </c>
      <c r="S25" s="35">
        <f>0</f>
        <v/>
      </c>
      <c r="T25" s="35">
        <f>0</f>
        <v/>
      </c>
      <c r="U25" s="35">
        <f>0</f>
        <v/>
      </c>
      <c r="V25" s="35">
        <f>0</f>
        <v/>
      </c>
      <c r="W25" s="35">
        <f>0</f>
        <v/>
      </c>
      <c r="X25" s="35">
        <f>0</f>
        <v/>
      </c>
      <c r="Y25" s="35">
        <f>0</f>
        <v/>
      </c>
      <c r="Z25" s="35">
        <f>0</f>
        <v/>
      </c>
    </row>
    <row r="26">
      <c r="B26" s="4" t="inlineStr">
        <is>
          <t>מגן מס — דוד חשמל קונבנציונלי</t>
        </is>
      </c>
      <c r="C26" s="9" t="inlineStr">
        <is>
          <t>₪</t>
        </is>
      </c>
      <c r="D26" s="9" t="inlineStr">
        <is>
          <t>חישוב</t>
        </is>
      </c>
      <c r="E26" s="9">
        <f> פחת × שיעור מס</f>
        <v/>
      </c>
      <c r="F26" s="35" t="n">
        <v>0</v>
      </c>
      <c r="G26" s="35">
        <f>G25*'נתונים והנחות'!$F$10</f>
        <v/>
      </c>
      <c r="H26" s="35">
        <f>H25*'נתונים והנחות'!$F$10</f>
        <v/>
      </c>
      <c r="I26" s="35">
        <f>I25*'נתונים והנחות'!$F$10</f>
        <v/>
      </c>
      <c r="J26" s="35">
        <f>J25*'נתונים והנחות'!$F$10</f>
        <v/>
      </c>
      <c r="K26" s="35">
        <f>K25*'נתונים והנחות'!$F$10</f>
        <v/>
      </c>
      <c r="L26" s="35">
        <f>L25*'נתונים והנחות'!$F$10</f>
        <v/>
      </c>
      <c r="M26" s="35">
        <f>M25*'נתונים והנחות'!$F$10</f>
        <v/>
      </c>
      <c r="N26" s="35">
        <f>N25*'נתונים והנחות'!$F$10</f>
        <v/>
      </c>
      <c r="O26" s="35">
        <f>O25*'נתונים והנחות'!$F$10</f>
        <v/>
      </c>
      <c r="P26" s="35">
        <f>P25*'נתונים והנחות'!$F$10</f>
        <v/>
      </c>
      <c r="Q26" s="35">
        <f>Q25*'נתונים והנחות'!$F$10</f>
        <v/>
      </c>
      <c r="R26" s="35">
        <f>R25*'נתונים והנחות'!$F$10</f>
        <v/>
      </c>
      <c r="S26" s="35">
        <f>S25*'נתונים והנחות'!$F$10</f>
        <v/>
      </c>
      <c r="T26" s="35">
        <f>T25*'נתונים והנחות'!$F$10</f>
        <v/>
      </c>
      <c r="U26" s="35">
        <f>U25*'נתונים והנחות'!$F$10</f>
        <v/>
      </c>
      <c r="V26" s="35">
        <f>V25*'נתונים והנחות'!$F$10</f>
        <v/>
      </c>
      <c r="W26" s="35">
        <f>W25*'נתונים והנחות'!$F$10</f>
        <v/>
      </c>
      <c r="X26" s="35">
        <f>X25*'נתונים והנחות'!$F$10</f>
        <v/>
      </c>
      <c r="Y26" s="35">
        <f>Y25*'נתונים והנחות'!$F$10</f>
        <v/>
      </c>
      <c r="Z26" s="35">
        <f>Z25*'נתונים והנחות'!$F$10</f>
        <v/>
      </c>
    </row>
    <row r="27">
      <c r="B27" s="5" t="inlineStr">
        <is>
          <t>פחת סטנדרטי — משאבות חום (חימום מים)</t>
        </is>
      </c>
      <c r="C27" s="9" t="inlineStr">
        <is>
          <t>₪</t>
        </is>
      </c>
      <c r="D27" s="9" t="inlineStr">
        <is>
          <t>חישוב</t>
        </is>
      </c>
      <c r="E27" s="9" t="inlineStr">
        <is>
          <t>קו ישר | 10%/שנה | עד 10 שנים | CapEx יעיל</t>
        </is>
      </c>
      <c r="F27" s="36" t="n">
        <v>0</v>
      </c>
      <c r="G27" s="36">
        <f>IF(ISNUMBER('נתונים והנחות'!$F$31),'נתונים והנחות'!$F$31*0.1,0)</f>
        <v/>
      </c>
      <c r="H27" s="36">
        <f>IF(ISNUMBER('נתונים והנחות'!$F$31),'נתונים והנחות'!$F$31*0.1,0)</f>
        <v/>
      </c>
      <c r="I27" s="36">
        <f>IF(ISNUMBER('נתונים והנחות'!$F$31),'נתונים והנחות'!$F$31*0.1,0)</f>
        <v/>
      </c>
      <c r="J27" s="36">
        <f>IF(ISNUMBER('נתונים והנחות'!$F$31),'נתונים והנחות'!$F$31*0.1,0)</f>
        <v/>
      </c>
      <c r="K27" s="36">
        <f>IF(ISNUMBER('נתונים והנחות'!$F$31),'נתונים והנחות'!$F$31*0.1,0)</f>
        <v/>
      </c>
      <c r="L27" s="36">
        <f>IF(ISNUMBER('נתונים והנחות'!$F$31),'נתונים והנחות'!$F$31*0.1,0)</f>
        <v/>
      </c>
      <c r="M27" s="36">
        <f>IF(ISNUMBER('נתונים והנחות'!$F$31),'נתונים והנחות'!$F$31*0.1,0)</f>
        <v/>
      </c>
      <c r="N27" s="36">
        <f>IF(ISNUMBER('נתונים והנחות'!$F$31),'נתונים והנחות'!$F$31*0.1,0)</f>
        <v/>
      </c>
      <c r="O27" s="36">
        <f>IF(ISNUMBER('נתונים והנחות'!$F$31),'נתונים והנחות'!$F$31*0.1,0)</f>
        <v/>
      </c>
      <c r="P27" s="36">
        <f>IF(ISNUMBER('נתונים והנחות'!$F$31),'נתונים והנחות'!$F$31*0.1,0)</f>
        <v/>
      </c>
      <c r="Q27" s="36">
        <f>0</f>
        <v/>
      </c>
      <c r="R27" s="36">
        <f>0</f>
        <v/>
      </c>
      <c r="S27" s="36">
        <f>0</f>
        <v/>
      </c>
      <c r="T27" s="36">
        <f>0</f>
        <v/>
      </c>
      <c r="U27" s="36">
        <f>0</f>
        <v/>
      </c>
      <c r="V27" s="36">
        <f>0</f>
        <v/>
      </c>
      <c r="W27" s="36">
        <f>0</f>
        <v/>
      </c>
      <c r="X27" s="36">
        <f>0</f>
        <v/>
      </c>
      <c r="Y27" s="36">
        <f>0</f>
        <v/>
      </c>
      <c r="Z27" s="36">
        <f>0</f>
        <v/>
      </c>
    </row>
    <row r="28">
      <c r="B28" s="5" t="inlineStr">
        <is>
          <t>מגן מס סטנדרטי — משאבות חום (חימום מים)</t>
        </is>
      </c>
      <c r="C28" s="9" t="inlineStr">
        <is>
          <t>₪</t>
        </is>
      </c>
      <c r="D28" s="9" t="inlineStr">
        <is>
          <t>חישוב</t>
        </is>
      </c>
      <c r="E28" s="9">
        <f> פחת × שיעור מס</f>
        <v/>
      </c>
      <c r="F28" s="36" t="n">
        <v>0</v>
      </c>
      <c r="G28" s="36">
        <f>G27*'נתונים והנחות'!$F$10</f>
        <v/>
      </c>
      <c r="H28" s="36">
        <f>H27*'נתונים והנחות'!$F$10</f>
        <v/>
      </c>
      <c r="I28" s="36">
        <f>I27*'נתונים והנחות'!$F$10</f>
        <v/>
      </c>
      <c r="J28" s="36">
        <f>J27*'נתונים והנחות'!$F$10</f>
        <v/>
      </c>
      <c r="K28" s="36">
        <f>K27*'נתונים והנחות'!$F$10</f>
        <v/>
      </c>
      <c r="L28" s="36">
        <f>L27*'נתונים והנחות'!$F$10</f>
        <v/>
      </c>
      <c r="M28" s="36">
        <f>M27*'נתונים והנחות'!$F$10</f>
        <v/>
      </c>
      <c r="N28" s="36">
        <f>N27*'נתונים והנחות'!$F$10</f>
        <v/>
      </c>
      <c r="O28" s="36">
        <f>O27*'נתונים והנחות'!$F$10</f>
        <v/>
      </c>
      <c r="P28" s="36">
        <f>P27*'נתונים והנחות'!$F$10</f>
        <v/>
      </c>
      <c r="Q28" s="36">
        <f>Q27*'נתונים והנחות'!$F$10</f>
        <v/>
      </c>
      <c r="R28" s="36">
        <f>R27*'נתונים והנחות'!$F$10</f>
        <v/>
      </c>
      <c r="S28" s="36">
        <f>S27*'נתונים והנחות'!$F$10</f>
        <v/>
      </c>
      <c r="T28" s="36">
        <f>T27*'נתונים והנחות'!$F$10</f>
        <v/>
      </c>
      <c r="U28" s="36">
        <f>U27*'נתונים והנחות'!$F$10</f>
        <v/>
      </c>
      <c r="V28" s="36">
        <f>V27*'נתונים והנחות'!$F$10</f>
        <v/>
      </c>
      <c r="W28" s="36">
        <f>W27*'נתונים והנחות'!$F$10</f>
        <v/>
      </c>
      <c r="X28" s="36">
        <f>X27*'נתונים והנחות'!$F$10</f>
        <v/>
      </c>
      <c r="Y28" s="36">
        <f>Y27*'נתונים והנחות'!$F$10</f>
        <v/>
      </c>
      <c r="Z28" s="36">
        <f>Z27*'נתונים והנחות'!$F$10</f>
        <v/>
      </c>
    </row>
    <row r="29">
      <c r="B29" s="6" t="inlineStr">
        <is>
          <t>פחת מואץ — משאבות חום (חימום מים)</t>
        </is>
      </c>
      <c r="C29" s="9" t="inlineStr">
        <is>
          <t>₪</t>
        </is>
      </c>
      <c r="D29" s="9" t="inlineStr">
        <is>
          <t>חישוב</t>
        </is>
      </c>
      <c r="E29" s="9">
        <f> CapEx יעיל × (פחת סטנדרטי × מכפיל) | תקופה = 1 ÷ שיעור מואץ</f>
        <v/>
      </c>
      <c r="F29" s="37" t="n">
        <v>0</v>
      </c>
      <c r="G29" s="37">
        <f>IF(ISNUMBER('נתונים והנחות'!$F$31),IF(1&lt;=ROUND(1/(0.1*'נתונים והנחות'!$F$15),0),'נתונים והנחות'!$F$31*0.1*'נתונים והנחות'!$F$15,0),0)</f>
        <v/>
      </c>
      <c r="H29" s="37">
        <f>IF(ISNUMBER('נתונים והנחות'!$F$31),IF(2&lt;=ROUND(1/(0.1*'נתונים והנחות'!$F$15),0),'נתונים והנחות'!$F$31*0.1*'נתונים והנחות'!$F$15,0),0)</f>
        <v/>
      </c>
      <c r="I29" s="37">
        <f>IF(ISNUMBER('נתונים והנחות'!$F$31),IF(3&lt;=ROUND(1/(0.1*'נתונים והנחות'!$F$15),0),'נתונים והנחות'!$F$31*0.1*'נתונים והנחות'!$F$15,0),0)</f>
        <v/>
      </c>
      <c r="J29" s="37">
        <f>IF(ISNUMBER('נתונים והנחות'!$F$31),IF(4&lt;=ROUND(1/(0.1*'נתונים והנחות'!$F$15),0),'נתונים והנחות'!$F$31*0.1*'נתונים והנחות'!$F$15,0),0)</f>
        <v/>
      </c>
      <c r="K29" s="37">
        <f>IF(ISNUMBER('נתונים והנחות'!$F$31),IF(5&lt;=ROUND(1/(0.1*'נתונים והנחות'!$F$15),0),'נתונים והנחות'!$F$31*0.1*'נתונים והנחות'!$F$15,0),0)</f>
        <v/>
      </c>
      <c r="L29" s="37">
        <f>IF(ISNUMBER('נתונים והנחות'!$F$31),IF(6&lt;=ROUND(1/(0.1*'נתונים והנחות'!$F$15),0),'נתונים והנחות'!$F$31*0.1*'נתונים והנחות'!$F$15,0),0)</f>
        <v/>
      </c>
      <c r="M29" s="37">
        <f>IF(ISNUMBER('נתונים והנחות'!$F$31),IF(7&lt;=ROUND(1/(0.1*'נתונים והנחות'!$F$15),0),'נתונים והנחות'!$F$31*0.1*'נתונים והנחות'!$F$15,0),0)</f>
        <v/>
      </c>
      <c r="N29" s="37">
        <f>IF(ISNUMBER('נתונים והנחות'!$F$31),IF(8&lt;=ROUND(1/(0.1*'נתונים והנחות'!$F$15),0),'נתונים והנחות'!$F$31*0.1*'נתונים והנחות'!$F$15,0),0)</f>
        <v/>
      </c>
      <c r="O29" s="37">
        <f>IF(ISNUMBER('נתונים והנחות'!$F$31),IF(9&lt;=ROUND(1/(0.1*'נתונים והנחות'!$F$15),0),'נתונים והנחות'!$F$31*0.1*'נתונים והנחות'!$F$15,0),0)</f>
        <v/>
      </c>
      <c r="P29" s="37">
        <f>IF(ISNUMBER('נתונים והנחות'!$F$31),IF(10&lt;=ROUND(1/(0.1*'נתונים והנחות'!$F$15),0),'נתונים והנחות'!$F$31*0.1*'נתונים והנחות'!$F$15,0),0)</f>
        <v/>
      </c>
      <c r="Q29" s="37">
        <f>IF(ISNUMBER('נתונים והנחות'!$F$31),IF(11&lt;=ROUND(1/(0.1*'נתונים והנחות'!$F$15),0),'נתונים והנחות'!$F$31*0.1*'נתונים והנחות'!$F$15,0),0)</f>
        <v/>
      </c>
      <c r="R29" s="37">
        <f>IF(ISNUMBER('נתונים והנחות'!$F$31),IF(12&lt;=ROUND(1/(0.1*'נתונים והנחות'!$F$15),0),'נתונים והנחות'!$F$31*0.1*'נתונים והנחות'!$F$15,0),0)</f>
        <v/>
      </c>
      <c r="S29" s="37">
        <f>IF(ISNUMBER('נתונים והנחות'!$F$31),IF(13&lt;=ROUND(1/(0.1*'נתונים והנחות'!$F$15),0),'נתונים והנחות'!$F$31*0.1*'נתונים והנחות'!$F$15,0),0)</f>
        <v/>
      </c>
      <c r="T29" s="37">
        <f>IF(ISNUMBER('נתונים והנחות'!$F$31),IF(14&lt;=ROUND(1/(0.1*'נתונים והנחות'!$F$15),0),'נתונים והנחות'!$F$31*0.1*'נתונים והנחות'!$F$15,0),0)</f>
        <v/>
      </c>
      <c r="U29" s="37">
        <f>IF(ISNUMBER('נתונים והנחות'!$F$31),IF(15&lt;=ROUND(1/(0.1*'נתונים והנחות'!$F$15),0),'נתונים והנחות'!$F$31*0.1*'נתונים והנחות'!$F$15,0),0)</f>
        <v/>
      </c>
      <c r="V29" s="37">
        <f>IF(ISNUMBER('נתונים והנחות'!$F$31),IF(16&lt;=ROUND(1/(0.1*'נתונים והנחות'!$F$15),0),'נתונים והנחות'!$F$31*0.1*'נתונים והנחות'!$F$15,0),0)</f>
        <v/>
      </c>
      <c r="W29" s="37">
        <f>IF(ISNUMBER('נתונים והנחות'!$F$31),IF(17&lt;=ROUND(1/(0.1*'נתונים והנחות'!$F$15),0),'נתונים והנחות'!$F$31*0.1*'נתונים והנחות'!$F$15,0),0)</f>
        <v/>
      </c>
      <c r="X29" s="37">
        <f>IF(ISNUMBER('נתונים והנחות'!$F$31),IF(18&lt;=ROUND(1/(0.1*'נתונים והנחות'!$F$15),0),'נתונים והנחות'!$F$31*0.1*'נתונים והנחות'!$F$15,0),0)</f>
        <v/>
      </c>
      <c r="Y29" s="37">
        <f>IF(ISNUMBER('נתונים והנחות'!$F$31),IF(19&lt;=ROUND(1/(0.1*'נתונים והנחות'!$F$15),0),'נתונים והנחות'!$F$31*0.1*'נתונים והנחות'!$F$15,0),0)</f>
        <v/>
      </c>
      <c r="Z29" s="37">
        <f>IF(ISNUMBER('נתונים והנחות'!$F$31),IF(20&lt;=ROUND(1/(0.1*'נתונים והנחות'!$F$15),0),'נתונים והנחות'!$F$31*0.1*'נתונים והנחות'!$F$15,0),0)</f>
        <v/>
      </c>
    </row>
    <row r="30">
      <c r="B30" s="6" t="inlineStr">
        <is>
          <t>מגן מס מואץ — משאבות חום (חימום מים)</t>
        </is>
      </c>
      <c r="C30" s="9" t="inlineStr">
        <is>
          <t>₪</t>
        </is>
      </c>
      <c r="D30" s="9" t="inlineStr">
        <is>
          <t>חישוב</t>
        </is>
      </c>
      <c r="E30" s="9">
        <f> פחת מואץ × שיעור מס</f>
        <v/>
      </c>
      <c r="F30" s="37" t="n">
        <v>0</v>
      </c>
      <c r="G30" s="37">
        <f>G29*'נתונים והנחות'!$F$10</f>
        <v/>
      </c>
      <c r="H30" s="37">
        <f>H29*'נתונים והנחות'!$F$10</f>
        <v/>
      </c>
      <c r="I30" s="37">
        <f>I29*'נתונים והנחות'!$F$10</f>
        <v/>
      </c>
      <c r="J30" s="37">
        <f>J29*'נתונים והנחות'!$F$10</f>
        <v/>
      </c>
      <c r="K30" s="37">
        <f>K29*'נתונים והנחות'!$F$10</f>
        <v/>
      </c>
      <c r="L30" s="37">
        <f>L29*'נתונים והנחות'!$F$10</f>
        <v/>
      </c>
      <c r="M30" s="37">
        <f>M29*'נתונים והנחות'!$F$10</f>
        <v/>
      </c>
      <c r="N30" s="37">
        <f>N29*'נתונים והנחות'!$F$10</f>
        <v/>
      </c>
      <c r="O30" s="37">
        <f>O29*'נתונים והנחות'!$F$10</f>
        <v/>
      </c>
      <c r="P30" s="37">
        <f>P29*'נתונים והנחות'!$F$10</f>
        <v/>
      </c>
      <c r="Q30" s="37">
        <f>Q29*'נתונים והנחות'!$F$10</f>
        <v/>
      </c>
      <c r="R30" s="37">
        <f>R29*'נתונים והנחות'!$F$10</f>
        <v/>
      </c>
      <c r="S30" s="37">
        <f>S29*'נתונים והנחות'!$F$10</f>
        <v/>
      </c>
      <c r="T30" s="37">
        <f>T29*'נתונים והנחות'!$F$10</f>
        <v/>
      </c>
      <c r="U30" s="37">
        <f>U29*'נתונים והנחות'!$F$10</f>
        <v/>
      </c>
      <c r="V30" s="37">
        <f>V29*'נתונים והנחות'!$F$10</f>
        <v/>
      </c>
      <c r="W30" s="37">
        <f>W29*'נתונים והנחות'!$F$10</f>
        <v/>
      </c>
      <c r="X30" s="37">
        <f>X29*'נתונים והנחות'!$F$10</f>
        <v/>
      </c>
      <c r="Y30" s="37">
        <f>Y29*'נתונים והנחות'!$F$10</f>
        <v/>
      </c>
      <c r="Z30" s="37">
        <f>Z29*'נתונים והנחות'!$F$10</f>
        <v/>
      </c>
    </row>
    <row r="32">
      <c r="B32" s="34" t="inlineStr">
        <is>
          <t>ג. ניתוח תזרים מזומנים — שלושה תרחישים</t>
        </is>
      </c>
    </row>
    <row r="33">
      <c r="B33" s="20" t="inlineStr">
        <is>
          <t>פרמטר</t>
        </is>
      </c>
      <c r="C33" s="20" t="inlineStr">
        <is>
          <t>יחידות</t>
        </is>
      </c>
      <c r="D33" s="20" t="inlineStr">
        <is>
          <t>מקור</t>
        </is>
      </c>
      <c r="E33" s="20" t="inlineStr">
        <is>
          <t>הערות</t>
        </is>
      </c>
      <c r="F33" s="20" t="inlineStr">
        <is>
          <t>שנה 0 (השקעה)</t>
        </is>
      </c>
      <c r="G33" s="20" t="inlineStr">
        <is>
          <t>שנה 1</t>
        </is>
      </c>
      <c r="H33" s="20" t="inlineStr">
        <is>
          <t>שנה 2</t>
        </is>
      </c>
      <c r="I33" s="20" t="inlineStr">
        <is>
          <t>שנה 3</t>
        </is>
      </c>
      <c r="J33" s="20" t="inlineStr">
        <is>
          <t>שנה 4</t>
        </is>
      </c>
      <c r="K33" s="20" t="inlineStr">
        <is>
          <t>שנה 5</t>
        </is>
      </c>
      <c r="L33" s="20" t="inlineStr">
        <is>
          <t>שנה 6</t>
        </is>
      </c>
      <c r="M33" s="20" t="inlineStr">
        <is>
          <t>שנה 7</t>
        </is>
      </c>
      <c r="N33" s="20" t="inlineStr">
        <is>
          <t>שנה 8</t>
        </is>
      </c>
      <c r="O33" s="20" t="inlineStr">
        <is>
          <t>שנה 9</t>
        </is>
      </c>
      <c r="P33" s="20" t="inlineStr">
        <is>
          <t>שנה 10</t>
        </is>
      </c>
      <c r="Q33" s="20" t="inlineStr">
        <is>
          <t>שנה 11</t>
        </is>
      </c>
      <c r="R33" s="20" t="inlineStr">
        <is>
          <t>שנה 12</t>
        </is>
      </c>
      <c r="S33" s="20" t="inlineStr">
        <is>
          <t>שנה 13</t>
        </is>
      </c>
      <c r="T33" s="20" t="inlineStr">
        <is>
          <t>שנה 14</t>
        </is>
      </c>
      <c r="U33" s="20" t="inlineStr">
        <is>
          <t>שנה 15</t>
        </is>
      </c>
      <c r="V33" s="20" t="inlineStr">
        <is>
          <t>שנה 16</t>
        </is>
      </c>
      <c r="W33" s="20" t="inlineStr">
        <is>
          <t>שנה 17</t>
        </is>
      </c>
      <c r="X33" s="20" t="inlineStr">
        <is>
          <t>שנה 18</t>
        </is>
      </c>
      <c r="Y33" s="20" t="inlineStr">
        <is>
          <t>שנה 19</t>
        </is>
      </c>
      <c r="Z33" s="20" t="inlineStr">
        <is>
          <t>שנה 20</t>
        </is>
      </c>
    </row>
    <row r="34">
      <c r="B34" s="38" t="inlineStr">
        <is>
          <t>תרחיש A — רכישת דוד חשמל קונבנציונלי (ציוד קיים / לא יעיל)</t>
        </is>
      </c>
    </row>
    <row r="35">
      <c r="B35" s="4" t="inlineStr">
        <is>
          <t>השקעה ראשונית</t>
        </is>
      </c>
      <c r="C35" s="9" t="inlineStr">
        <is>
          <t>₪</t>
        </is>
      </c>
      <c r="D35" s="9" t="inlineStr">
        <is>
          <t>חישוב</t>
        </is>
      </c>
      <c r="F35" s="35">
        <f>IF(ISNUMBER('נתונים והנחות'!$F$30),-'נתונים והנחות'!$F$30,"PENDING")</f>
        <v/>
      </c>
    </row>
    <row r="36">
      <c r="B36" s="4" t="inlineStr">
        <is>
          <t>OPEX אנרגיה</t>
        </is>
      </c>
      <c r="C36" s="9" t="inlineStr">
        <is>
          <t>₪</t>
        </is>
      </c>
      <c r="D36" s="9" t="inlineStr">
        <is>
          <t>חישוב</t>
        </is>
      </c>
      <c r="F36" s="35" t="n">
        <v>0</v>
      </c>
      <c r="G36" s="35">
        <f>IF(ISNUMBER('נתונים והנחות'!$F$41),-'נתונים והנחות'!$F$41,0)</f>
        <v/>
      </c>
      <c r="H36" s="35">
        <f>IF(ISNUMBER('נתונים והנחות'!$F$41),-'נתונים והנחות'!$F$41,0)</f>
        <v/>
      </c>
      <c r="I36" s="35">
        <f>IF(ISNUMBER('נתונים והנחות'!$F$41),-'נתונים והנחות'!$F$41,0)</f>
        <v/>
      </c>
      <c r="J36" s="35">
        <f>IF(ISNUMBER('נתונים והנחות'!$F$41),-'נתונים והנחות'!$F$41,0)</f>
        <v/>
      </c>
      <c r="K36" s="35">
        <f>IF(ISNUMBER('נתונים והנחות'!$F$41),-'נתונים והנחות'!$F$41,0)</f>
        <v/>
      </c>
      <c r="L36" s="35">
        <f>IF(ISNUMBER('נתונים והנחות'!$F$41),-'נתונים והנחות'!$F$41,0)</f>
        <v/>
      </c>
      <c r="M36" s="35">
        <f>IF(ISNUMBER('נתונים והנחות'!$F$41),-'נתונים והנחות'!$F$41,0)</f>
        <v/>
      </c>
      <c r="N36" s="35">
        <f>IF(ISNUMBER('נתונים והנחות'!$F$41),-'נתונים והנחות'!$F$41,0)</f>
        <v/>
      </c>
      <c r="O36" s="35">
        <f>IF(ISNUMBER('נתונים והנחות'!$F$41),-'נתונים והנחות'!$F$41,0)</f>
        <v/>
      </c>
      <c r="P36" s="35">
        <f>IF(ISNUMBER('נתונים והנחות'!$F$41),-'נתונים והנחות'!$F$41,0)</f>
        <v/>
      </c>
      <c r="Q36" s="35">
        <f>IF(ISNUMBER('נתונים והנחות'!$F$41),-'נתונים והנחות'!$F$41,0)</f>
        <v/>
      </c>
      <c r="R36" s="35">
        <f>IF(ISNUMBER('נתונים והנחות'!$F$41),-'נתונים והנחות'!$F$41,0)</f>
        <v/>
      </c>
      <c r="S36" s="35">
        <f>IF(ISNUMBER('נתונים והנחות'!$F$41),-'נתונים והנחות'!$F$41,0)</f>
        <v/>
      </c>
      <c r="T36" s="35">
        <f>IF(ISNUMBER('נתונים והנחות'!$F$41),-'נתונים והנחות'!$F$41,0)</f>
        <v/>
      </c>
      <c r="U36" s="35">
        <f>IF(ISNUMBER('נתונים והנחות'!$F$41),-'נתונים והנחות'!$F$41,0)</f>
        <v/>
      </c>
      <c r="V36" s="35">
        <f>0</f>
        <v/>
      </c>
      <c r="W36" s="35">
        <f>0</f>
        <v/>
      </c>
      <c r="X36" s="35">
        <f>0</f>
        <v/>
      </c>
      <c r="Y36" s="35">
        <f>0</f>
        <v/>
      </c>
      <c r="Z36" s="35">
        <f>0</f>
        <v/>
      </c>
    </row>
    <row r="37">
      <c r="B37" s="4" t="inlineStr">
        <is>
          <t>OPEX אחר (תחזוקה וכו')</t>
        </is>
      </c>
      <c r="C37" s="9" t="inlineStr">
        <is>
          <t>₪</t>
        </is>
      </c>
      <c r="D37" s="9" t="inlineStr">
        <is>
          <t>חישוב</t>
        </is>
      </c>
      <c r="F37" s="35" t="n">
        <v>0</v>
      </c>
      <c r="G37" s="35">
        <f>IF(ISNUMBER('נתונים והנחות'!$F$39),-'נתונים והנחות'!$F$39,0)</f>
        <v/>
      </c>
      <c r="H37" s="35">
        <f>IF(ISNUMBER('נתונים והנחות'!$F$39),-'נתונים והנחות'!$F$39,0)</f>
        <v/>
      </c>
      <c r="I37" s="35">
        <f>IF(ISNUMBER('נתונים והנחות'!$F$39),-'נתונים והנחות'!$F$39,0)</f>
        <v/>
      </c>
      <c r="J37" s="35">
        <f>IF(ISNUMBER('נתונים והנחות'!$F$39),-'נתונים והנחות'!$F$39,0)</f>
        <v/>
      </c>
      <c r="K37" s="35">
        <f>IF(ISNUMBER('נתונים והנחות'!$F$39),-'נתונים והנחות'!$F$39,0)</f>
        <v/>
      </c>
      <c r="L37" s="35">
        <f>IF(ISNUMBER('נתונים והנחות'!$F$39),-'נתונים והנחות'!$F$39,0)</f>
        <v/>
      </c>
      <c r="M37" s="35">
        <f>IF(ISNUMBER('נתונים והנחות'!$F$39),-'נתונים והנחות'!$F$39,0)</f>
        <v/>
      </c>
      <c r="N37" s="35">
        <f>IF(ISNUMBER('נתונים והנחות'!$F$39),-'נתונים והנחות'!$F$39,0)</f>
        <v/>
      </c>
      <c r="O37" s="35">
        <f>IF(ISNUMBER('נתונים והנחות'!$F$39),-'נתונים והנחות'!$F$39,0)</f>
        <v/>
      </c>
      <c r="P37" s="35">
        <f>IF(ISNUMBER('נתונים והנחות'!$F$39),-'נתונים והנחות'!$F$39,0)</f>
        <v/>
      </c>
      <c r="Q37" s="35">
        <f>IF(ISNUMBER('נתונים והנחות'!$F$39),-'נתונים והנחות'!$F$39,0)</f>
        <v/>
      </c>
      <c r="R37" s="35">
        <f>IF(ISNUMBER('נתונים והנחות'!$F$39),-'נתונים והנחות'!$F$39,0)</f>
        <v/>
      </c>
      <c r="S37" s="35">
        <f>IF(ISNUMBER('נתונים והנחות'!$F$39),-'נתונים והנחות'!$F$39,0)</f>
        <v/>
      </c>
      <c r="T37" s="35">
        <f>IF(ISNUMBER('נתונים והנחות'!$F$39),-'נתונים והנחות'!$F$39,0)</f>
        <v/>
      </c>
      <c r="U37" s="35">
        <f>IF(ISNUMBER('נתונים והנחות'!$F$39),-'נתונים והנחות'!$F$39,0)</f>
        <v/>
      </c>
      <c r="V37" s="35">
        <f>0</f>
        <v/>
      </c>
      <c r="W37" s="35">
        <f>0</f>
        <v/>
      </c>
      <c r="X37" s="35">
        <f>0</f>
        <v/>
      </c>
      <c r="Y37" s="35">
        <f>0</f>
        <v/>
      </c>
      <c r="Z37" s="35">
        <f>0</f>
        <v/>
      </c>
    </row>
    <row r="38">
      <c r="B38" s="4" t="inlineStr">
        <is>
          <t>תזרים נקי — תרחיש A</t>
        </is>
      </c>
      <c r="C38" s="9" t="inlineStr">
        <is>
          <t>₪</t>
        </is>
      </c>
      <c r="D38" s="9" t="inlineStr">
        <is>
          <t>חישוב</t>
        </is>
      </c>
      <c r="F38" s="35">
        <f>F35</f>
        <v/>
      </c>
      <c r="G38" s="35">
        <f>G36+G37+G26</f>
        <v/>
      </c>
      <c r="H38" s="35">
        <f>H36+H37+H26</f>
        <v/>
      </c>
      <c r="I38" s="35">
        <f>I36+I37+I26</f>
        <v/>
      </c>
      <c r="J38" s="35">
        <f>J36+J37+J26</f>
        <v/>
      </c>
      <c r="K38" s="35">
        <f>K36+K37+K26</f>
        <v/>
      </c>
      <c r="L38" s="35">
        <f>L36+L37+L26</f>
        <v/>
      </c>
      <c r="M38" s="35">
        <f>M36+M37+M26</f>
        <v/>
      </c>
      <c r="N38" s="35">
        <f>N36+N37+N26</f>
        <v/>
      </c>
      <c r="O38" s="35">
        <f>O36+O37+O26</f>
        <v/>
      </c>
      <c r="P38" s="35">
        <f>P36+P37+P26</f>
        <v/>
      </c>
      <c r="Q38" s="35">
        <f>Q36+Q37+Q26</f>
        <v/>
      </c>
      <c r="R38" s="35">
        <f>R36+R37+R26</f>
        <v/>
      </c>
      <c r="S38" s="35">
        <f>S36+S37+S26</f>
        <v/>
      </c>
      <c r="T38" s="35">
        <f>T36+T37+T26</f>
        <v/>
      </c>
      <c r="U38" s="35">
        <f>U36+U37+U26</f>
        <v/>
      </c>
      <c r="V38" s="35">
        <f>V36+V37+V26</f>
        <v/>
      </c>
      <c r="W38" s="35">
        <f>W36+W37+W26</f>
        <v/>
      </c>
      <c r="X38" s="35">
        <f>X36+X37+X26</f>
        <v/>
      </c>
      <c r="Y38" s="35">
        <f>Y36+Y37+Y26</f>
        <v/>
      </c>
      <c r="Z38" s="35">
        <f>Z36+Z37+Z26</f>
        <v/>
      </c>
    </row>
    <row r="39">
      <c r="B39" s="4" t="inlineStr">
        <is>
          <t>תזרים מהוון — תרחיש A</t>
        </is>
      </c>
      <c r="C39" s="9" t="inlineStr">
        <is>
          <t>₪</t>
        </is>
      </c>
      <c r="D39" s="9" t="inlineStr">
        <is>
          <t>חישוב</t>
        </is>
      </c>
      <c r="F39" s="35">
        <f>F38</f>
        <v/>
      </c>
      <c r="G39" s="35">
        <f>G38/(1+'נתונים והנחות'!$F$11)^1</f>
        <v/>
      </c>
      <c r="H39" s="35">
        <f>H38/(1+'נתונים והנחות'!$F$11)^2</f>
        <v/>
      </c>
      <c r="I39" s="35">
        <f>I38/(1+'נתונים והנחות'!$F$11)^3</f>
        <v/>
      </c>
      <c r="J39" s="35">
        <f>J38/(1+'נתונים והנחות'!$F$11)^4</f>
        <v/>
      </c>
      <c r="K39" s="35">
        <f>K38/(1+'נתונים והנחות'!$F$11)^5</f>
        <v/>
      </c>
      <c r="L39" s="35">
        <f>L38/(1+'נתונים והנחות'!$F$11)^6</f>
        <v/>
      </c>
      <c r="M39" s="35">
        <f>M38/(1+'נתונים והנחות'!$F$11)^7</f>
        <v/>
      </c>
      <c r="N39" s="35">
        <f>N38/(1+'נתונים והנחות'!$F$11)^8</f>
        <v/>
      </c>
      <c r="O39" s="35">
        <f>O38/(1+'נתונים והנחות'!$F$11)^9</f>
        <v/>
      </c>
      <c r="P39" s="35">
        <f>P38/(1+'נתונים והנחות'!$F$11)^10</f>
        <v/>
      </c>
      <c r="Q39" s="35">
        <f>Q38/(1+'נתונים והנחות'!$F$11)^11</f>
        <v/>
      </c>
      <c r="R39" s="35">
        <f>R38/(1+'נתונים והנחות'!$F$11)^12</f>
        <v/>
      </c>
      <c r="S39" s="35">
        <f>S38/(1+'נתונים והנחות'!$F$11)^13</f>
        <v/>
      </c>
      <c r="T39" s="35">
        <f>T38/(1+'נתונים והנחות'!$F$11)^14</f>
        <v/>
      </c>
      <c r="U39" s="35">
        <f>U38/(1+'נתונים והנחות'!$F$11)^15</f>
        <v/>
      </c>
      <c r="V39" s="35">
        <f>V38/(1+'נתונים והנחות'!$F$11)^16</f>
        <v/>
      </c>
      <c r="W39" s="35">
        <f>W38/(1+'נתונים והנחות'!$F$11)^17</f>
        <v/>
      </c>
      <c r="X39" s="35">
        <f>X38/(1+'נתונים והנחות'!$F$11)^18</f>
        <v/>
      </c>
      <c r="Y39" s="35">
        <f>Y38/(1+'נתונים והנחות'!$F$11)^19</f>
        <v/>
      </c>
      <c r="Z39" s="35">
        <f>Z38/(1+'נתונים והנחות'!$F$11)^20</f>
        <v/>
      </c>
    </row>
    <row r="40">
      <c r="B40" s="4" t="inlineStr">
        <is>
          <t>NPV מצטבר — תרחיש A</t>
        </is>
      </c>
      <c r="C40" s="9" t="inlineStr">
        <is>
          <t>₪</t>
        </is>
      </c>
      <c r="D40" s="9" t="inlineStr">
        <is>
          <t>חישוב</t>
        </is>
      </c>
      <c r="F40" s="35">
        <f>F39</f>
        <v/>
      </c>
      <c r="G40" s="35">
        <f>F40+G39</f>
        <v/>
      </c>
      <c r="H40" s="35">
        <f>G40+H39</f>
        <v/>
      </c>
      <c r="I40" s="35">
        <f>H40+I39</f>
        <v/>
      </c>
      <c r="J40" s="35">
        <f>I40+J39</f>
        <v/>
      </c>
      <c r="K40" s="35">
        <f>J40+K39</f>
        <v/>
      </c>
      <c r="L40" s="35">
        <f>K40+L39</f>
        <v/>
      </c>
      <c r="M40" s="35">
        <f>L40+M39</f>
        <v/>
      </c>
      <c r="N40" s="35">
        <f>M40+N39</f>
        <v/>
      </c>
      <c r="O40" s="35">
        <f>N40+O39</f>
        <v/>
      </c>
      <c r="P40" s="35">
        <f>O40+P39</f>
        <v/>
      </c>
      <c r="Q40" s="35">
        <f>P40+Q39</f>
        <v/>
      </c>
      <c r="R40" s="35">
        <f>Q40+R39</f>
        <v/>
      </c>
      <c r="S40" s="35">
        <f>R40+S39</f>
        <v/>
      </c>
      <c r="T40" s="35">
        <f>S40+T39</f>
        <v/>
      </c>
      <c r="U40" s="35">
        <f>T40+U39</f>
        <v/>
      </c>
      <c r="V40" s="35">
        <f>U40+V39</f>
        <v/>
      </c>
      <c r="W40" s="35">
        <f>V40+W39</f>
        <v/>
      </c>
      <c r="X40" s="35">
        <f>W40+X39</f>
        <v/>
      </c>
      <c r="Y40" s="35">
        <f>X40+Y39</f>
        <v/>
      </c>
      <c r="Z40" s="35">
        <f>Y40+Z39</f>
        <v/>
      </c>
    </row>
    <row r="42">
      <c r="B42" s="39" t="inlineStr">
        <is>
          <t>תרחיש B — רכישת משאבות חום (חימום מים) | פחת סטנדרטי (ללא תמריץ)</t>
        </is>
      </c>
    </row>
    <row r="43">
      <c r="B43" s="5" t="inlineStr">
        <is>
          <t>השקעה ראשונית</t>
        </is>
      </c>
      <c r="C43" s="9" t="inlineStr">
        <is>
          <t>₪</t>
        </is>
      </c>
      <c r="D43" s="9" t="inlineStr">
        <is>
          <t>חישוב</t>
        </is>
      </c>
      <c r="F43" s="36">
        <f>IF(ISNUMBER('נתונים והנחות'!$F$31),-'נתונים והנחות'!$F$31,"PENDING")</f>
        <v/>
      </c>
    </row>
    <row r="44">
      <c r="B44" s="5" t="inlineStr">
        <is>
          <t>OPEX אנרגיה (עם שחיקה שנתית)</t>
        </is>
      </c>
      <c r="C44" s="9" t="inlineStr">
        <is>
          <t>₪</t>
        </is>
      </c>
      <c r="D44" s="9" t="inlineStr">
        <is>
          <t>חישוב</t>
        </is>
      </c>
      <c r="F44" s="36" t="n">
        <v>0</v>
      </c>
      <c r="G44" s="36">
        <f>IF(ISNUMBER('נתונים והנחות'!$F$42),-'נתונים והנחות'!$F$42*(1-'נתונים והנחות'!$F$38)^0,0)</f>
        <v/>
      </c>
      <c r="H44" s="36">
        <f>IF(ISNUMBER('נתונים והנחות'!$F$42),-'נתונים והנחות'!$F$42*(1-'נתונים והנחות'!$F$38)^1,0)</f>
        <v/>
      </c>
      <c r="I44" s="36">
        <f>IF(ISNUMBER('נתונים והנחות'!$F$42),-'נתונים והנחות'!$F$42*(1-'נתונים והנחות'!$F$38)^2,0)</f>
        <v/>
      </c>
      <c r="J44" s="36">
        <f>IF(ISNUMBER('נתונים והנחות'!$F$42),-'נתונים והנחות'!$F$42*(1-'נתונים והנחות'!$F$38)^3,0)</f>
        <v/>
      </c>
      <c r="K44" s="36">
        <f>IF(ISNUMBER('נתונים והנחות'!$F$42),-'נתונים והנחות'!$F$42*(1-'נתונים והנחות'!$F$38)^4,0)</f>
        <v/>
      </c>
      <c r="L44" s="36">
        <f>IF(ISNUMBER('נתונים והנחות'!$F$42),-'נתונים והנחות'!$F$42*(1-'נתונים והנחות'!$F$38)^5,0)</f>
        <v/>
      </c>
      <c r="M44" s="36">
        <f>IF(ISNUMBER('נתונים והנחות'!$F$42),-'נתונים והנחות'!$F$42*(1-'נתונים והנחות'!$F$38)^6,0)</f>
        <v/>
      </c>
      <c r="N44" s="36">
        <f>IF(ISNUMBER('נתונים והנחות'!$F$42),-'נתונים והנחות'!$F$42*(1-'נתונים והנחות'!$F$38)^7,0)</f>
        <v/>
      </c>
      <c r="O44" s="36">
        <f>IF(ISNUMBER('נתונים והנחות'!$F$42),-'נתונים והנחות'!$F$42*(1-'נתונים והנחות'!$F$38)^8,0)</f>
        <v/>
      </c>
      <c r="P44" s="36">
        <f>IF(ISNUMBER('נתונים והנחות'!$F$42),-'נתונים והנחות'!$F$42*(1-'נתונים והנחות'!$F$38)^9,0)</f>
        <v/>
      </c>
      <c r="Q44" s="36">
        <f>0</f>
        <v/>
      </c>
      <c r="R44" s="36">
        <f>0</f>
        <v/>
      </c>
      <c r="S44" s="36">
        <f>0</f>
        <v/>
      </c>
      <c r="T44" s="36">
        <f>0</f>
        <v/>
      </c>
      <c r="U44" s="36">
        <f>0</f>
        <v/>
      </c>
      <c r="V44" s="36">
        <f>0</f>
        <v/>
      </c>
      <c r="W44" s="36">
        <f>0</f>
        <v/>
      </c>
      <c r="X44" s="36">
        <f>0</f>
        <v/>
      </c>
      <c r="Y44" s="36">
        <f>0</f>
        <v/>
      </c>
      <c r="Z44" s="36">
        <f>0</f>
        <v/>
      </c>
    </row>
    <row r="45">
      <c r="B45" s="5" t="inlineStr">
        <is>
          <t>OPEX אחר (תחזוקה וכו')</t>
        </is>
      </c>
      <c r="C45" s="9" t="inlineStr">
        <is>
          <t>₪</t>
        </is>
      </c>
      <c r="D45" s="9" t="inlineStr">
        <is>
          <t>חישוב</t>
        </is>
      </c>
      <c r="F45" s="36" t="n">
        <v>0</v>
      </c>
      <c r="G45" s="36">
        <f>IF(ISNUMBER('נתונים והנחות'!$F$40),-'נתונים והנחות'!$F$40,0)</f>
        <v/>
      </c>
      <c r="H45" s="36">
        <f>IF(ISNUMBER('נתונים והנחות'!$F$40),-'נתונים והנחות'!$F$40,0)</f>
        <v/>
      </c>
      <c r="I45" s="36">
        <f>IF(ISNUMBER('נתונים והנחות'!$F$40),-'נתונים והנחות'!$F$40,0)</f>
        <v/>
      </c>
      <c r="J45" s="36">
        <f>IF(ISNUMBER('נתונים והנחות'!$F$40),-'נתונים והנחות'!$F$40,0)</f>
        <v/>
      </c>
      <c r="K45" s="36">
        <f>IF(ISNUMBER('נתונים והנחות'!$F$40),-'נתונים והנחות'!$F$40,0)</f>
        <v/>
      </c>
      <c r="L45" s="36">
        <f>IF(ISNUMBER('נתונים והנחות'!$F$40),-'נתונים והנחות'!$F$40,0)</f>
        <v/>
      </c>
      <c r="M45" s="36">
        <f>IF(ISNUMBER('נתונים והנחות'!$F$40),-'נתונים והנחות'!$F$40,0)</f>
        <v/>
      </c>
      <c r="N45" s="36">
        <f>IF(ISNUMBER('נתונים והנחות'!$F$40),-'נתונים והנחות'!$F$40,0)</f>
        <v/>
      </c>
      <c r="O45" s="36">
        <f>IF(ISNUMBER('נתונים והנחות'!$F$40),-'נתונים והנחות'!$F$40,0)</f>
        <v/>
      </c>
      <c r="P45" s="36">
        <f>IF(ISNUMBER('נתונים והנחות'!$F$40),-'נתונים והנחות'!$F$40,0)</f>
        <v/>
      </c>
      <c r="Q45" s="36">
        <f>0</f>
        <v/>
      </c>
      <c r="R45" s="36">
        <f>0</f>
        <v/>
      </c>
      <c r="S45" s="36">
        <f>0</f>
        <v/>
      </c>
      <c r="T45" s="36">
        <f>0</f>
        <v/>
      </c>
      <c r="U45" s="36">
        <f>0</f>
        <v/>
      </c>
      <c r="V45" s="36">
        <f>0</f>
        <v/>
      </c>
      <c r="W45" s="36">
        <f>0</f>
        <v/>
      </c>
      <c r="X45" s="36">
        <f>0</f>
        <v/>
      </c>
      <c r="Y45" s="36">
        <f>0</f>
        <v/>
      </c>
      <c r="Z45" s="36">
        <f>0</f>
        <v/>
      </c>
    </row>
    <row r="46">
      <c r="B46" s="5" t="inlineStr">
        <is>
          <t>תזרים נקי — תרחיש B</t>
        </is>
      </c>
      <c r="C46" s="9" t="inlineStr">
        <is>
          <t>₪</t>
        </is>
      </c>
      <c r="D46" s="9" t="inlineStr">
        <is>
          <t>חישוב</t>
        </is>
      </c>
      <c r="F46" s="36">
        <f>F43</f>
        <v/>
      </c>
      <c r="G46" s="36">
        <f>G44+G45+G28</f>
        <v/>
      </c>
      <c r="H46" s="36">
        <f>H44+H45+H28</f>
        <v/>
      </c>
      <c r="I46" s="36">
        <f>I44+I45+I28</f>
        <v/>
      </c>
      <c r="J46" s="36">
        <f>J44+J45+J28</f>
        <v/>
      </c>
      <c r="K46" s="36">
        <f>K44+K45+K28</f>
        <v/>
      </c>
      <c r="L46" s="36">
        <f>L44+L45+L28</f>
        <v/>
      </c>
      <c r="M46" s="36">
        <f>M44+M45+M28</f>
        <v/>
      </c>
      <c r="N46" s="36">
        <f>N44+N45+N28</f>
        <v/>
      </c>
      <c r="O46" s="36">
        <f>O44+O45+O28</f>
        <v/>
      </c>
      <c r="P46" s="36">
        <f>P44+P45+P28</f>
        <v/>
      </c>
      <c r="Q46" s="36">
        <f>Q44+Q45+Q28</f>
        <v/>
      </c>
      <c r="R46" s="36">
        <f>R44+R45+R28</f>
        <v/>
      </c>
      <c r="S46" s="36">
        <f>S44+S45+S28</f>
        <v/>
      </c>
      <c r="T46" s="36">
        <f>T44+T45+T28</f>
        <v/>
      </c>
      <c r="U46" s="36">
        <f>U44+U45+U28</f>
        <v/>
      </c>
      <c r="V46" s="36">
        <f>V44+V45+V28</f>
        <v/>
      </c>
      <c r="W46" s="36">
        <f>W44+W45+W28</f>
        <v/>
      </c>
      <c r="X46" s="36">
        <f>X44+X45+X28</f>
        <v/>
      </c>
      <c r="Y46" s="36">
        <f>Y44+Y45+Y28</f>
        <v/>
      </c>
      <c r="Z46" s="36">
        <f>Z44+Z45+Z28</f>
        <v/>
      </c>
    </row>
    <row r="47">
      <c r="B47" s="5" t="inlineStr">
        <is>
          <t>תזרים מהוון — תרחיש B</t>
        </is>
      </c>
      <c r="C47" s="9" t="inlineStr">
        <is>
          <t>₪</t>
        </is>
      </c>
      <c r="D47" s="9" t="inlineStr">
        <is>
          <t>חישוב</t>
        </is>
      </c>
      <c r="F47" s="36">
        <f>F46</f>
        <v/>
      </c>
      <c r="G47" s="36">
        <f>G46/(1+'נתונים והנחות'!$F$11)^1</f>
        <v/>
      </c>
      <c r="H47" s="36">
        <f>H46/(1+'נתונים והנחות'!$F$11)^2</f>
        <v/>
      </c>
      <c r="I47" s="36">
        <f>I46/(1+'נתונים והנחות'!$F$11)^3</f>
        <v/>
      </c>
      <c r="J47" s="36">
        <f>J46/(1+'נתונים והנחות'!$F$11)^4</f>
        <v/>
      </c>
      <c r="K47" s="36">
        <f>K46/(1+'נתונים והנחות'!$F$11)^5</f>
        <v/>
      </c>
      <c r="L47" s="36">
        <f>L46/(1+'נתונים והנחות'!$F$11)^6</f>
        <v/>
      </c>
      <c r="M47" s="36">
        <f>M46/(1+'נתונים והנחות'!$F$11)^7</f>
        <v/>
      </c>
      <c r="N47" s="36">
        <f>N46/(1+'נתונים והנחות'!$F$11)^8</f>
        <v/>
      </c>
      <c r="O47" s="36">
        <f>O46/(1+'נתונים והנחות'!$F$11)^9</f>
        <v/>
      </c>
      <c r="P47" s="36">
        <f>P46/(1+'נתונים והנחות'!$F$11)^10</f>
        <v/>
      </c>
      <c r="Q47" s="36">
        <f>Q46/(1+'נתונים והנחות'!$F$11)^11</f>
        <v/>
      </c>
      <c r="R47" s="36">
        <f>R46/(1+'נתונים והנחות'!$F$11)^12</f>
        <v/>
      </c>
      <c r="S47" s="36">
        <f>S46/(1+'נתונים והנחות'!$F$11)^13</f>
        <v/>
      </c>
      <c r="T47" s="36">
        <f>T46/(1+'נתונים והנחות'!$F$11)^14</f>
        <v/>
      </c>
      <c r="U47" s="36">
        <f>U46/(1+'נתונים והנחות'!$F$11)^15</f>
        <v/>
      </c>
      <c r="V47" s="36">
        <f>V46/(1+'נתונים והנחות'!$F$11)^16</f>
        <v/>
      </c>
      <c r="W47" s="36">
        <f>W46/(1+'נתונים והנחות'!$F$11)^17</f>
        <v/>
      </c>
      <c r="X47" s="36">
        <f>X46/(1+'נתונים והנחות'!$F$11)^18</f>
        <v/>
      </c>
      <c r="Y47" s="36">
        <f>Y46/(1+'נתונים והנחות'!$F$11)^19</f>
        <v/>
      </c>
      <c r="Z47" s="36">
        <f>Z46/(1+'נתונים והנחות'!$F$11)^20</f>
        <v/>
      </c>
    </row>
    <row r="48">
      <c r="B48" s="5" t="inlineStr">
        <is>
          <t>NPV מצטבר — תרחיש B</t>
        </is>
      </c>
      <c r="C48" s="9" t="inlineStr">
        <is>
          <t>₪</t>
        </is>
      </c>
      <c r="D48" s="9" t="inlineStr">
        <is>
          <t>חישוב</t>
        </is>
      </c>
      <c r="F48" s="36">
        <f>F47</f>
        <v/>
      </c>
      <c r="G48" s="36">
        <f>F48+G47</f>
        <v/>
      </c>
      <c r="H48" s="36">
        <f>G48+H47</f>
        <v/>
      </c>
      <c r="I48" s="36">
        <f>H48+I47</f>
        <v/>
      </c>
      <c r="J48" s="36">
        <f>I48+J47</f>
        <v/>
      </c>
      <c r="K48" s="36">
        <f>J48+K47</f>
        <v/>
      </c>
      <c r="L48" s="36">
        <f>K48+L47</f>
        <v/>
      </c>
      <c r="M48" s="36">
        <f>L48+M47</f>
        <v/>
      </c>
      <c r="N48" s="36">
        <f>M48+N47</f>
        <v/>
      </c>
      <c r="O48" s="36">
        <f>N48+O47</f>
        <v/>
      </c>
      <c r="P48" s="36">
        <f>O48+P47</f>
        <v/>
      </c>
      <c r="Q48" s="36">
        <f>P48+Q47</f>
        <v/>
      </c>
      <c r="R48" s="36">
        <f>Q48+R47</f>
        <v/>
      </c>
      <c r="S48" s="36">
        <f>R48+S47</f>
        <v/>
      </c>
      <c r="T48" s="36">
        <f>S48+T47</f>
        <v/>
      </c>
      <c r="U48" s="36">
        <f>T48+U47</f>
        <v/>
      </c>
      <c r="V48" s="36">
        <f>U48+V47</f>
        <v/>
      </c>
      <c r="W48" s="36">
        <f>V48+W47</f>
        <v/>
      </c>
      <c r="X48" s="36">
        <f>W48+X47</f>
        <v/>
      </c>
      <c r="Y48" s="36">
        <f>X48+Y47</f>
        <v/>
      </c>
      <c r="Z48" s="36">
        <f>Y48+Z47</f>
        <v/>
      </c>
    </row>
    <row r="50">
      <c r="B50" s="40" t="inlineStr">
        <is>
          <t>תרחיש C — רכישת משאבות חום (חימום מים) | פחת מואץ (עם תמריץ)</t>
        </is>
      </c>
    </row>
    <row r="51">
      <c r="B51" s="32" t="inlineStr">
        <is>
          <t>* OPEX זהה לתרחיש B — ההבדל הוא מגן המס המואץ בלבד</t>
        </is>
      </c>
    </row>
    <row r="52">
      <c r="B52" s="6" t="inlineStr">
        <is>
          <t>תזרים נקי — תרחיש C</t>
        </is>
      </c>
      <c r="C52" s="9" t="inlineStr">
        <is>
          <t>₪</t>
        </is>
      </c>
      <c r="D52" s="9" t="inlineStr">
        <is>
          <t>חישוב</t>
        </is>
      </c>
      <c r="F52" s="37">
        <f>F43</f>
        <v/>
      </c>
      <c r="G52" s="37">
        <f>G44+G45+G30</f>
        <v/>
      </c>
      <c r="H52" s="37">
        <f>H44+H45+H30</f>
        <v/>
      </c>
      <c r="I52" s="37">
        <f>I44+I45+I30</f>
        <v/>
      </c>
      <c r="J52" s="37">
        <f>J44+J45+J30</f>
        <v/>
      </c>
      <c r="K52" s="37">
        <f>K44+K45+K30</f>
        <v/>
      </c>
      <c r="L52" s="37">
        <f>L44+L45+L30</f>
        <v/>
      </c>
      <c r="M52" s="37">
        <f>M44+M45+M30</f>
        <v/>
      </c>
      <c r="N52" s="37">
        <f>N44+N45+N30</f>
        <v/>
      </c>
      <c r="O52" s="37">
        <f>O44+O45+O30</f>
        <v/>
      </c>
      <c r="P52" s="37">
        <f>P44+P45+P30</f>
        <v/>
      </c>
      <c r="Q52" s="37">
        <f>Q44+Q45+Q30</f>
        <v/>
      </c>
      <c r="R52" s="37">
        <f>R44+R45+R30</f>
        <v/>
      </c>
      <c r="S52" s="37">
        <f>S44+S45+S30</f>
        <v/>
      </c>
      <c r="T52" s="37">
        <f>T44+T45+T30</f>
        <v/>
      </c>
      <c r="U52" s="37">
        <f>U44+U45+U30</f>
        <v/>
      </c>
      <c r="V52" s="37">
        <f>V44+V45+V30</f>
        <v/>
      </c>
      <c r="W52" s="37">
        <f>W44+W45+W30</f>
        <v/>
      </c>
      <c r="X52" s="37">
        <f>X44+X45+X30</f>
        <v/>
      </c>
      <c r="Y52" s="37">
        <f>Y44+Y45+Y30</f>
        <v/>
      </c>
      <c r="Z52" s="37">
        <f>Z44+Z45+Z30</f>
        <v/>
      </c>
    </row>
    <row r="53">
      <c r="B53" s="6" t="inlineStr">
        <is>
          <t>תזרים מהוון — תרחיש C</t>
        </is>
      </c>
      <c r="C53" s="9" t="inlineStr">
        <is>
          <t>₪</t>
        </is>
      </c>
      <c r="D53" s="9" t="inlineStr">
        <is>
          <t>חישוב</t>
        </is>
      </c>
      <c r="F53" s="37">
        <f>F52</f>
        <v/>
      </c>
      <c r="G53" s="37">
        <f>G52/(1+'נתונים והנחות'!$F$11)^1</f>
        <v/>
      </c>
      <c r="H53" s="37">
        <f>H52/(1+'נתונים והנחות'!$F$11)^2</f>
        <v/>
      </c>
      <c r="I53" s="37">
        <f>I52/(1+'נתונים והנחות'!$F$11)^3</f>
        <v/>
      </c>
      <c r="J53" s="37">
        <f>J52/(1+'נתונים והנחות'!$F$11)^4</f>
        <v/>
      </c>
      <c r="K53" s="37">
        <f>K52/(1+'נתונים והנחות'!$F$11)^5</f>
        <v/>
      </c>
      <c r="L53" s="37">
        <f>L52/(1+'נתונים והנחות'!$F$11)^6</f>
        <v/>
      </c>
      <c r="M53" s="37">
        <f>M52/(1+'נתונים והנחות'!$F$11)^7</f>
        <v/>
      </c>
      <c r="N53" s="37">
        <f>N52/(1+'נתונים והנחות'!$F$11)^8</f>
        <v/>
      </c>
      <c r="O53" s="37">
        <f>O52/(1+'נתונים והנחות'!$F$11)^9</f>
        <v/>
      </c>
      <c r="P53" s="37">
        <f>P52/(1+'נתונים והנחות'!$F$11)^10</f>
        <v/>
      </c>
      <c r="Q53" s="37">
        <f>Q52/(1+'נתונים והנחות'!$F$11)^11</f>
        <v/>
      </c>
      <c r="R53" s="37">
        <f>R52/(1+'נתונים והנחות'!$F$11)^12</f>
        <v/>
      </c>
      <c r="S53" s="37">
        <f>S52/(1+'נתונים והנחות'!$F$11)^13</f>
        <v/>
      </c>
      <c r="T53" s="37">
        <f>T52/(1+'נתונים והנחות'!$F$11)^14</f>
        <v/>
      </c>
      <c r="U53" s="37">
        <f>U52/(1+'נתונים והנחות'!$F$11)^15</f>
        <v/>
      </c>
      <c r="V53" s="37">
        <f>V52/(1+'נתונים והנחות'!$F$11)^16</f>
        <v/>
      </c>
      <c r="W53" s="37">
        <f>W52/(1+'נתונים והנחות'!$F$11)^17</f>
        <v/>
      </c>
      <c r="X53" s="37">
        <f>X52/(1+'נתונים והנחות'!$F$11)^18</f>
        <v/>
      </c>
      <c r="Y53" s="37">
        <f>Y52/(1+'נתונים והנחות'!$F$11)^19</f>
        <v/>
      </c>
      <c r="Z53" s="37">
        <f>Z52/(1+'נתונים והנחות'!$F$11)^20</f>
        <v/>
      </c>
    </row>
    <row r="54">
      <c r="B54" s="6" t="inlineStr">
        <is>
          <t>NPV מצטבר — תרחיש C</t>
        </is>
      </c>
      <c r="C54" s="9" t="inlineStr">
        <is>
          <t>₪</t>
        </is>
      </c>
      <c r="D54" s="9" t="inlineStr">
        <is>
          <t>חישוב</t>
        </is>
      </c>
      <c r="F54" s="37">
        <f>F53</f>
        <v/>
      </c>
      <c r="G54" s="37">
        <f>F54+G53</f>
        <v/>
      </c>
      <c r="H54" s="37">
        <f>G54+H53</f>
        <v/>
      </c>
      <c r="I54" s="37">
        <f>H54+I53</f>
        <v/>
      </c>
      <c r="J54" s="37">
        <f>I54+J53</f>
        <v/>
      </c>
      <c r="K54" s="37">
        <f>J54+K53</f>
        <v/>
      </c>
      <c r="L54" s="37">
        <f>K54+L53</f>
        <v/>
      </c>
      <c r="M54" s="37">
        <f>L54+M53</f>
        <v/>
      </c>
      <c r="N54" s="37">
        <f>M54+N53</f>
        <v/>
      </c>
      <c r="O54" s="37">
        <f>N54+O53</f>
        <v/>
      </c>
      <c r="P54" s="37">
        <f>O54+P53</f>
        <v/>
      </c>
      <c r="Q54" s="37">
        <f>P54+Q53</f>
        <v/>
      </c>
      <c r="R54" s="37">
        <f>Q54+R53</f>
        <v/>
      </c>
      <c r="S54" s="37">
        <f>R54+S53</f>
        <v/>
      </c>
      <c r="T54" s="37">
        <f>S54+T53</f>
        <v/>
      </c>
      <c r="U54" s="37">
        <f>T54+U53</f>
        <v/>
      </c>
      <c r="V54" s="37">
        <f>U54+V53</f>
        <v/>
      </c>
      <c r="W54" s="37">
        <f>V54+W53</f>
        <v/>
      </c>
      <c r="X54" s="37">
        <f>W54+X53</f>
        <v/>
      </c>
      <c r="Y54" s="37">
        <f>X54+Y53</f>
        <v/>
      </c>
      <c r="Z54" s="37">
        <f>Y54+Z53</f>
        <v/>
      </c>
    </row>
    <row r="56">
      <c r="B56" s="34" t="inlineStr">
        <is>
          <t>ד. תוצאות</t>
        </is>
      </c>
    </row>
    <row r="57">
      <c r="B57" s="41" t="inlineStr">
        <is>
          <t>NPV — תרחיש A (דוד חשמל קונבנציונלי)</t>
        </is>
      </c>
      <c r="C57" s="9" t="inlineStr">
        <is>
          <t>ש"ח</t>
        </is>
      </c>
      <c r="F57" s="35">
        <f>SUM(F39:Z39)</f>
        <v/>
      </c>
    </row>
    <row r="58">
      <c r="B58" s="42" t="inlineStr">
        <is>
          <t>NPV — תרחיש B (משאבות חום (חימום מים), ללא תמריץ)</t>
        </is>
      </c>
      <c r="C58" s="9" t="inlineStr">
        <is>
          <t>ש"ח</t>
        </is>
      </c>
      <c r="F58" s="36">
        <f>SUM(F47:Z47)</f>
        <v/>
      </c>
    </row>
    <row r="59">
      <c r="B59" s="43" t="inlineStr">
        <is>
          <t>NPV — תרחיש C (משאבות חום (חימום מים), עם תמריץ)</t>
        </is>
      </c>
      <c r="C59" s="9" t="inlineStr">
        <is>
          <t>ש"ח</t>
        </is>
      </c>
      <c r="F59" s="37">
        <f>SUM(F53:Z53)</f>
        <v/>
      </c>
    </row>
    <row r="61">
      <c r="B61" s="44" t="inlineStr">
        <is>
          <t>NPV מצטבר — הצדקת השדרוג (B−A)</t>
        </is>
      </c>
      <c r="C61" s="9" t="inlineStr">
        <is>
          <t>ש"ח</t>
        </is>
      </c>
      <c r="F61" s="45">
        <f>F58-F57</f>
        <v/>
      </c>
    </row>
    <row r="62">
      <c r="B62" s="46" t="inlineStr">
        <is>
          <t>ערך התמריץ — תועלת הפחת המואץ (C−B)</t>
        </is>
      </c>
      <c r="C62" s="9" t="inlineStr">
        <is>
          <t>ש"ח</t>
        </is>
      </c>
      <c r="F62" s="47">
        <f>F59-F58</f>
        <v/>
      </c>
    </row>
    <row r="64">
      <c r="B64" s="41" t="inlineStr">
        <is>
          <t>ROI — תרחיש A</t>
        </is>
      </c>
      <c r="C64" s="9" t="inlineStr">
        <is>
          <t>%</t>
        </is>
      </c>
      <c r="F64" s="48">
        <f>IF(ISNUMBER('נתונים והנחות'!$F$30),(SUM(F39:Z39)+'נתונים והנחות'!$F$30)/'נתונים והנחות'!$F$30,"PENDING")</f>
        <v/>
      </c>
    </row>
    <row r="65">
      <c r="B65" s="42" t="inlineStr">
        <is>
          <t>ROI — תרחיש B</t>
        </is>
      </c>
      <c r="C65" s="9" t="inlineStr">
        <is>
          <t>%</t>
        </is>
      </c>
      <c r="F65" s="49">
        <f>IF(ISNUMBER('נתונים והנחות'!$F$31),(SUM(F47:Z47)+'נתונים והנחות'!$F$31)/'נתונים והנחות'!$F$31,"PENDING")</f>
        <v/>
      </c>
    </row>
    <row r="66">
      <c r="B66" s="43" t="inlineStr">
        <is>
          <t>ROI — תרחיש C</t>
        </is>
      </c>
      <c r="C66" s="9" t="inlineStr">
        <is>
          <t>%</t>
        </is>
      </c>
      <c r="F66" s="50">
        <f>IF(ISNUMBER('נתונים והנחות'!$F$31),(SUM(F53:Z53)+'נתונים והנחות'!$F$31)/'נתונים והנחות'!$F$31,"PENDING")</f>
        <v/>
      </c>
    </row>
    <row r="68">
      <c r="B68" s="44" t="inlineStr">
        <is>
          <t>תקופת החזר ΔCapEx ללא תמריץ (B−A)</t>
        </is>
      </c>
      <c r="C68" s="9" t="inlineStr">
        <is>
          <t>שנים</t>
        </is>
      </c>
      <c r="E68" s="32" t="inlineStr">
        <is>
          <t>זמן להחזר ההשקעה הנוספת | מחושב על ΔCF = CF_B − CF_A</t>
        </is>
      </c>
      <c r="F68" s="51">
        <f>IFERROR(MATCH(1,(F74:Z74&gt;0)*1,0)-2+ABS(INDEX(F74:Z74,MATCH(1,(F74:Z74&gt;0)*1,0)-1))/(INDEX(F74:Z74,MATCH(1,(F74:Z74&gt;0)*1,0))-INDEX(F74:Z74,MATCH(1,(F74:Z74&gt;0)*1,0)-1)),"לא מגיע לפירעון")</f>
        <v/>
      </c>
    </row>
    <row r="69">
      <c r="B69" s="52" t="inlineStr">
        <is>
          <t>תקופת החזר ΔCapEx עם תמריץ (C−A)</t>
        </is>
      </c>
      <c r="C69" s="53" t="inlineStr">
        <is>
          <t>שנים</t>
        </is>
      </c>
      <c r="E69" s="32" t="inlineStr">
        <is>
          <t>כולל יתרון מגן המס המואץ | מחושב על ΔCF = CF_C − CF_A</t>
        </is>
      </c>
      <c r="F69" s="54">
        <f>IFERROR(MATCH(1,(F75:Z75&gt;0)*1,0)-2+ABS(INDEX(F75:Z75,MATCH(1,(F75:Z75&gt;0)*1,0)-1))/(INDEX(F75:Z75,MATCH(1,(F75:Z75&gt;0)*1,0))-INDEX(F75:Z75,MATCH(1,(F75:Z75&gt;0)*1,0)-1)),"לא מגיע לפירעון")</f>
        <v/>
      </c>
    </row>
    <row r="72">
      <c r="B72" s="34" t="inlineStr">
        <is>
          <t>NPV מצטבר — מנקודת מבט ΔCapEx (לחישוב תקופת החזר על השקעה נוספת)</t>
        </is>
      </c>
    </row>
    <row r="73">
      <c r="B73" s="20" t="inlineStr">
        <is>
          <t>פרמטר</t>
        </is>
      </c>
      <c r="C73" s="20" t="inlineStr">
        <is>
          <t>יחידות</t>
        </is>
      </c>
      <c r="D73" s="20" t="inlineStr">
        <is>
          <t>מקור</t>
        </is>
      </c>
      <c r="E73" s="20" t="inlineStr">
        <is>
          <t>הערות</t>
        </is>
      </c>
      <c r="F73" s="20" t="inlineStr">
        <is>
          <t>שנה 0</t>
        </is>
      </c>
      <c r="G73" s="20" t="inlineStr">
        <is>
          <t>שנה 1</t>
        </is>
      </c>
      <c r="H73" s="20" t="inlineStr">
        <is>
          <t>שנה 2</t>
        </is>
      </c>
      <c r="I73" s="20" t="inlineStr">
        <is>
          <t>שנה 3</t>
        </is>
      </c>
      <c r="J73" s="20" t="inlineStr">
        <is>
          <t>שנה 4</t>
        </is>
      </c>
      <c r="K73" s="20" t="inlineStr">
        <is>
          <t>שנה 5</t>
        </is>
      </c>
      <c r="L73" s="20" t="inlineStr">
        <is>
          <t>שנה 6</t>
        </is>
      </c>
      <c r="M73" s="20" t="inlineStr">
        <is>
          <t>שנה 7</t>
        </is>
      </c>
      <c r="N73" s="20" t="inlineStr">
        <is>
          <t>שנה 8</t>
        </is>
      </c>
      <c r="O73" s="20" t="inlineStr">
        <is>
          <t>שנה 9</t>
        </is>
      </c>
      <c r="P73" s="20" t="inlineStr">
        <is>
          <t>שנה 10</t>
        </is>
      </c>
      <c r="Q73" s="20" t="inlineStr">
        <is>
          <t>שנה 11</t>
        </is>
      </c>
      <c r="R73" s="20" t="inlineStr">
        <is>
          <t>שנה 12</t>
        </is>
      </c>
      <c r="S73" s="20" t="inlineStr">
        <is>
          <t>שנה 13</t>
        </is>
      </c>
      <c r="T73" s="20" t="inlineStr">
        <is>
          <t>שנה 14</t>
        </is>
      </c>
      <c r="U73" s="20" t="inlineStr">
        <is>
          <t>שנה 15</t>
        </is>
      </c>
      <c r="V73" s="20" t="inlineStr">
        <is>
          <t>שנה 16</t>
        </is>
      </c>
      <c r="W73" s="20" t="inlineStr">
        <is>
          <t>שנה 17</t>
        </is>
      </c>
      <c r="X73" s="20" t="inlineStr">
        <is>
          <t>שנה 18</t>
        </is>
      </c>
      <c r="Y73" s="20" t="inlineStr">
        <is>
          <t>שנה 19</t>
        </is>
      </c>
      <c r="Z73" s="20" t="inlineStr">
        <is>
          <t>שנה 20</t>
        </is>
      </c>
    </row>
    <row r="74">
      <c r="B74" s="2" t="inlineStr">
        <is>
          <t>NPV מצטבר ΔCF — שדרוג ללא תמריץ (B−A)</t>
        </is>
      </c>
      <c r="C74" s="9" t="inlineStr">
        <is>
          <t>₪</t>
        </is>
      </c>
      <c r="D74" s="9" t="inlineStr">
        <is>
          <t>חישוב</t>
        </is>
      </c>
      <c r="F74" s="45">
        <f>IF(ISNUMBER('נתונים והנחות'!$F$32),-'נתונים והנחות'!$F$32,"PENDING")</f>
        <v/>
      </c>
      <c r="G74" s="45">
        <f>F74+(G47-G39)</f>
        <v/>
      </c>
      <c r="H74" s="45">
        <f>G74+(H47-H39)</f>
        <v/>
      </c>
      <c r="I74" s="45">
        <f>H74+(I47-I39)</f>
        <v/>
      </c>
      <c r="J74" s="45">
        <f>I74+(J47-J39)</f>
        <v/>
      </c>
      <c r="K74" s="45">
        <f>J74+(K47-K39)</f>
        <v/>
      </c>
      <c r="L74" s="45">
        <f>K74+(L47-L39)</f>
        <v/>
      </c>
      <c r="M74" s="45">
        <f>L74+(M47-M39)</f>
        <v/>
      </c>
      <c r="N74" s="45">
        <f>M74+(N47-N39)</f>
        <v/>
      </c>
      <c r="O74" s="45">
        <f>N74+(O47-O39)</f>
        <v/>
      </c>
      <c r="P74" s="45">
        <f>O74+(P47-P39)</f>
        <v/>
      </c>
      <c r="Q74" s="45">
        <f>P74+(Q47-Q39)</f>
        <v/>
      </c>
      <c r="R74" s="45">
        <f>Q74+(R47-R39)</f>
        <v/>
      </c>
      <c r="S74" s="45">
        <f>R74+(S47-S39)</f>
        <v/>
      </c>
      <c r="T74" s="45">
        <f>S74+(T47-T39)</f>
        <v/>
      </c>
      <c r="U74" s="45">
        <f>T74+(U47-U39)</f>
        <v/>
      </c>
      <c r="V74" s="45">
        <f>U74+(V47-V39)</f>
        <v/>
      </c>
      <c r="W74" s="45">
        <f>V74+(W47-W39)</f>
        <v/>
      </c>
      <c r="X74" s="45">
        <f>W74+(X47-X39)</f>
        <v/>
      </c>
      <c r="Y74" s="45">
        <f>X74+(Y47-Y39)</f>
        <v/>
      </c>
      <c r="Z74" s="45">
        <f>Y74+(Z47-Z39)</f>
        <v/>
      </c>
    </row>
    <row r="75">
      <c r="B75" s="7" t="inlineStr">
        <is>
          <t>NPV מצטבר ΔCF — שדרוג עם תמריץ (C−A)</t>
        </is>
      </c>
      <c r="C75" s="9" t="inlineStr">
        <is>
          <t>₪</t>
        </is>
      </c>
      <c r="D75" s="9" t="inlineStr">
        <is>
          <t>חישוב</t>
        </is>
      </c>
      <c r="F75" s="47">
        <f>IF(ISNUMBER('נתונים והנחות'!$F$32),-'נתונים והנחות'!$F$32,"PENDING")</f>
        <v/>
      </c>
      <c r="G75" s="47">
        <f>F75+(G53-G39)</f>
        <v/>
      </c>
      <c r="H75" s="47">
        <f>G75+(H53-H39)</f>
        <v/>
      </c>
      <c r="I75" s="47">
        <f>H75+(I53-I39)</f>
        <v/>
      </c>
      <c r="J75" s="47">
        <f>I75+(J53-J39)</f>
        <v/>
      </c>
      <c r="K75" s="47">
        <f>J75+(K53-K39)</f>
        <v/>
      </c>
      <c r="L75" s="47">
        <f>K75+(L53-L39)</f>
        <v/>
      </c>
      <c r="M75" s="47">
        <f>L75+(M53-M39)</f>
        <v/>
      </c>
      <c r="N75" s="47">
        <f>M75+(N53-N39)</f>
        <v/>
      </c>
      <c r="O75" s="47">
        <f>N75+(O53-O39)</f>
        <v/>
      </c>
      <c r="P75" s="47">
        <f>O75+(P53-P39)</f>
        <v/>
      </c>
      <c r="Q75" s="47">
        <f>P75+(Q53-Q39)</f>
        <v/>
      </c>
      <c r="R75" s="47">
        <f>Q75+(R53-R39)</f>
        <v/>
      </c>
      <c r="S75" s="47">
        <f>R75+(S53-S39)</f>
        <v/>
      </c>
      <c r="T75" s="47">
        <f>S75+(T53-T39)</f>
        <v/>
      </c>
      <c r="U75" s="47">
        <f>T75+(U53-U39)</f>
        <v/>
      </c>
      <c r="V75" s="47">
        <f>U75+(V53-V39)</f>
        <v/>
      </c>
      <c r="W75" s="47">
        <f>V75+(W53-W39)</f>
        <v/>
      </c>
      <c r="X75" s="47">
        <f>W75+(X53-X39)</f>
        <v/>
      </c>
      <c r="Y75" s="47">
        <f>X75+(Y53-Y39)</f>
        <v/>
      </c>
      <c r="Z75" s="47">
        <f>Y75+(Z53-Z39)</f>
        <v/>
      </c>
    </row>
    <row r="79">
      <c r="B79" s="33" t="inlineStr">
        <is>
          <t>3.2  צ'ילרים</t>
        </is>
      </c>
    </row>
    <row r="80">
      <c r="B80" s="32" t="inlineStr">
        <is>
          <t>* שדרוג מערכת קירור תעשייתית | חיסכון ~20% | אורך חיים: 17 vs 15 שנה | כל הנתונים: גיליון 'נתונים והנחות' — סעיף 4</t>
        </is>
      </c>
    </row>
    <row r="81">
      <c r="B81" s="34" t="inlineStr">
        <is>
          <t>ב. לוחות פחת (ציוד בסיסי vs. יעיל)</t>
        </is>
      </c>
    </row>
    <row r="82">
      <c r="B82" s="20" t="inlineStr">
        <is>
          <t>פרמטר</t>
        </is>
      </c>
      <c r="C82" s="20" t="inlineStr">
        <is>
          <t>יחידות</t>
        </is>
      </c>
      <c r="D82" s="20" t="inlineStr">
        <is>
          <t>מקור</t>
        </is>
      </c>
      <c r="E82" s="20" t="inlineStr">
        <is>
          <t>הערות</t>
        </is>
      </c>
      <c r="F82" s="20" t="inlineStr">
        <is>
          <t>שנה 0 (השקעה)</t>
        </is>
      </c>
      <c r="G82" s="20" t="inlineStr">
        <is>
          <t>שנה 1</t>
        </is>
      </c>
      <c r="H82" s="20" t="inlineStr">
        <is>
          <t>שנה 2</t>
        </is>
      </c>
      <c r="I82" s="20" t="inlineStr">
        <is>
          <t>שנה 3</t>
        </is>
      </c>
      <c r="J82" s="20" t="inlineStr">
        <is>
          <t>שנה 4</t>
        </is>
      </c>
      <c r="K82" s="20" t="inlineStr">
        <is>
          <t>שנה 5</t>
        </is>
      </c>
      <c r="L82" s="20" t="inlineStr">
        <is>
          <t>שנה 6</t>
        </is>
      </c>
      <c r="M82" s="20" t="inlineStr">
        <is>
          <t>שנה 7</t>
        </is>
      </c>
      <c r="N82" s="20" t="inlineStr">
        <is>
          <t>שנה 8</t>
        </is>
      </c>
      <c r="O82" s="20" t="inlineStr">
        <is>
          <t>שנה 9</t>
        </is>
      </c>
      <c r="P82" s="20" t="inlineStr">
        <is>
          <t>שנה 10</t>
        </is>
      </c>
      <c r="Q82" s="20" t="inlineStr">
        <is>
          <t>שנה 11</t>
        </is>
      </c>
      <c r="R82" s="20" t="inlineStr">
        <is>
          <t>שנה 12</t>
        </is>
      </c>
      <c r="S82" s="20" t="inlineStr">
        <is>
          <t>שנה 13</t>
        </is>
      </c>
      <c r="T82" s="20" t="inlineStr">
        <is>
          <t>שנה 14</t>
        </is>
      </c>
      <c r="U82" s="20" t="inlineStr">
        <is>
          <t>שנה 15</t>
        </is>
      </c>
      <c r="V82" s="20" t="inlineStr">
        <is>
          <t>שנה 16</t>
        </is>
      </c>
      <c r="W82" s="20" t="inlineStr">
        <is>
          <t>שנה 17</t>
        </is>
      </c>
      <c r="X82" s="20" t="inlineStr">
        <is>
          <t>שנה 18</t>
        </is>
      </c>
      <c r="Y82" s="20" t="inlineStr">
        <is>
          <t>שנה 19</t>
        </is>
      </c>
      <c r="Z82" s="20" t="inlineStr">
        <is>
          <t>שנה 20</t>
        </is>
      </c>
    </row>
    <row r="83">
      <c r="B83" s="4" t="inlineStr">
        <is>
          <t>פחת סטנדרטי — מערכת קירור קונבנציונלית</t>
        </is>
      </c>
      <c r="C83" s="9" t="inlineStr">
        <is>
          <t>₪</t>
        </is>
      </c>
      <c r="D83" s="9" t="inlineStr">
        <is>
          <t>חישוב</t>
        </is>
      </c>
      <c r="E83" s="9" t="inlineStr">
        <is>
          <t>קו ישר | 10%/שנה | עד 10 שנים | CapEx בסיסי</t>
        </is>
      </c>
      <c r="F83" s="35" t="n">
        <v>0</v>
      </c>
      <c r="G83" s="35">
        <f>IF(ISNUMBER('נתונים והנחות'!$G$30),'נתונים והנחות'!$G$30*0.1,0)</f>
        <v/>
      </c>
      <c r="H83" s="35">
        <f>IF(ISNUMBER('נתונים והנחות'!$G$30),'נתונים והנחות'!$G$30*0.1,0)</f>
        <v/>
      </c>
      <c r="I83" s="35">
        <f>IF(ISNUMBER('נתונים והנחות'!$G$30),'נתונים והנחות'!$G$30*0.1,0)</f>
        <v/>
      </c>
      <c r="J83" s="35">
        <f>IF(ISNUMBER('נתונים והנחות'!$G$30),'נתונים והנחות'!$G$30*0.1,0)</f>
        <v/>
      </c>
      <c r="K83" s="35">
        <f>IF(ISNUMBER('נתונים והנחות'!$G$30),'נתונים והנחות'!$G$30*0.1,0)</f>
        <v/>
      </c>
      <c r="L83" s="35">
        <f>IF(ISNUMBER('נתונים והנחות'!$G$30),'נתונים והנחות'!$G$30*0.1,0)</f>
        <v/>
      </c>
      <c r="M83" s="35">
        <f>IF(ISNUMBER('נתונים והנחות'!$G$30),'נתונים והנחות'!$G$30*0.1,0)</f>
        <v/>
      </c>
      <c r="N83" s="35">
        <f>IF(ISNUMBER('נתונים והנחות'!$G$30),'נתונים והנחות'!$G$30*0.1,0)</f>
        <v/>
      </c>
      <c r="O83" s="35">
        <f>IF(ISNUMBER('נתונים והנחות'!$G$30),'נתונים והנחות'!$G$30*0.1,0)</f>
        <v/>
      </c>
      <c r="P83" s="35">
        <f>IF(ISNUMBER('נתונים והנחות'!$G$30),'נתונים והנחות'!$G$30*0.1,0)</f>
        <v/>
      </c>
      <c r="Q83" s="35">
        <f>0</f>
        <v/>
      </c>
      <c r="R83" s="35">
        <f>0</f>
        <v/>
      </c>
      <c r="S83" s="35">
        <f>0</f>
        <v/>
      </c>
      <c r="T83" s="35">
        <f>0</f>
        <v/>
      </c>
      <c r="U83" s="35">
        <f>0</f>
        <v/>
      </c>
      <c r="V83" s="35">
        <f>0</f>
        <v/>
      </c>
      <c r="W83" s="35">
        <f>0</f>
        <v/>
      </c>
      <c r="X83" s="35">
        <f>0</f>
        <v/>
      </c>
      <c r="Y83" s="35">
        <f>0</f>
        <v/>
      </c>
      <c r="Z83" s="35">
        <f>0</f>
        <v/>
      </c>
    </row>
    <row r="84">
      <c r="B84" s="4" t="inlineStr">
        <is>
          <t>מגן מס — מערכת קירור קונבנציונלית</t>
        </is>
      </c>
      <c r="C84" s="9" t="inlineStr">
        <is>
          <t>₪</t>
        </is>
      </c>
      <c r="D84" s="9" t="inlineStr">
        <is>
          <t>חישוב</t>
        </is>
      </c>
      <c r="E84" s="9">
        <f> פחת × שיעור מס</f>
        <v/>
      </c>
      <c r="F84" s="35" t="n">
        <v>0</v>
      </c>
      <c r="G84" s="35">
        <f>G83*'נתונים והנחות'!$F$10</f>
        <v/>
      </c>
      <c r="H84" s="35">
        <f>H83*'נתונים והנחות'!$F$10</f>
        <v/>
      </c>
      <c r="I84" s="35">
        <f>I83*'נתונים והנחות'!$F$10</f>
        <v/>
      </c>
      <c r="J84" s="35">
        <f>J83*'נתונים והנחות'!$F$10</f>
        <v/>
      </c>
      <c r="K84" s="35">
        <f>K83*'נתונים והנחות'!$F$10</f>
        <v/>
      </c>
      <c r="L84" s="35">
        <f>L83*'נתונים והנחות'!$F$10</f>
        <v/>
      </c>
      <c r="M84" s="35">
        <f>M83*'נתונים והנחות'!$F$10</f>
        <v/>
      </c>
      <c r="N84" s="35">
        <f>N83*'נתונים והנחות'!$F$10</f>
        <v/>
      </c>
      <c r="O84" s="35">
        <f>O83*'נתונים והנחות'!$F$10</f>
        <v/>
      </c>
      <c r="P84" s="35">
        <f>P83*'נתונים והנחות'!$F$10</f>
        <v/>
      </c>
      <c r="Q84" s="35">
        <f>Q83*'נתונים והנחות'!$F$10</f>
        <v/>
      </c>
      <c r="R84" s="35">
        <f>R83*'נתונים והנחות'!$F$10</f>
        <v/>
      </c>
      <c r="S84" s="35">
        <f>S83*'נתונים והנחות'!$F$10</f>
        <v/>
      </c>
      <c r="T84" s="35">
        <f>T83*'נתונים והנחות'!$F$10</f>
        <v/>
      </c>
      <c r="U84" s="35">
        <f>U83*'נתונים והנחות'!$F$10</f>
        <v/>
      </c>
      <c r="V84" s="35">
        <f>V83*'נתונים והנחות'!$F$10</f>
        <v/>
      </c>
      <c r="W84" s="35">
        <f>W83*'נתונים והנחות'!$F$10</f>
        <v/>
      </c>
      <c r="X84" s="35">
        <f>X83*'נתונים והנחות'!$F$10</f>
        <v/>
      </c>
      <c r="Y84" s="35">
        <f>Y83*'נתונים והנחות'!$F$10</f>
        <v/>
      </c>
      <c r="Z84" s="35">
        <f>Z83*'נתונים והנחות'!$F$10</f>
        <v/>
      </c>
    </row>
    <row r="85">
      <c r="B85" s="5" t="inlineStr">
        <is>
          <t>פחת סטנדרטי — צ'ילרים</t>
        </is>
      </c>
      <c r="C85" s="9" t="inlineStr">
        <is>
          <t>₪</t>
        </is>
      </c>
      <c r="D85" s="9" t="inlineStr">
        <is>
          <t>חישוב</t>
        </is>
      </c>
      <c r="E85" s="9" t="inlineStr">
        <is>
          <t>קו ישר | 10%/שנה | עד 10 שנים | CapEx יעיל</t>
        </is>
      </c>
      <c r="F85" s="36" t="n">
        <v>0</v>
      </c>
      <c r="G85" s="36">
        <f>IF(ISNUMBER('נתונים והנחות'!$G$31),'נתונים והנחות'!$G$31*0.1,0)</f>
        <v/>
      </c>
      <c r="H85" s="36">
        <f>IF(ISNUMBER('נתונים והנחות'!$G$31),'נתונים והנחות'!$G$31*0.1,0)</f>
        <v/>
      </c>
      <c r="I85" s="36">
        <f>IF(ISNUMBER('נתונים והנחות'!$G$31),'נתונים והנחות'!$G$31*0.1,0)</f>
        <v/>
      </c>
      <c r="J85" s="36">
        <f>IF(ISNUMBER('נתונים והנחות'!$G$31),'נתונים והנחות'!$G$31*0.1,0)</f>
        <v/>
      </c>
      <c r="K85" s="36">
        <f>IF(ISNUMBER('נתונים והנחות'!$G$31),'נתונים והנחות'!$G$31*0.1,0)</f>
        <v/>
      </c>
      <c r="L85" s="36">
        <f>IF(ISNUMBER('נתונים והנחות'!$G$31),'נתונים והנחות'!$G$31*0.1,0)</f>
        <v/>
      </c>
      <c r="M85" s="36">
        <f>IF(ISNUMBER('נתונים והנחות'!$G$31),'נתונים והנחות'!$G$31*0.1,0)</f>
        <v/>
      </c>
      <c r="N85" s="36">
        <f>IF(ISNUMBER('נתונים והנחות'!$G$31),'נתונים והנחות'!$G$31*0.1,0)</f>
        <v/>
      </c>
      <c r="O85" s="36">
        <f>IF(ISNUMBER('נתונים והנחות'!$G$31),'נתונים והנחות'!$G$31*0.1,0)</f>
        <v/>
      </c>
      <c r="P85" s="36">
        <f>IF(ISNUMBER('נתונים והנחות'!$G$31),'נתונים והנחות'!$G$31*0.1,0)</f>
        <v/>
      </c>
      <c r="Q85" s="36">
        <f>0</f>
        <v/>
      </c>
      <c r="R85" s="36">
        <f>0</f>
        <v/>
      </c>
      <c r="S85" s="36">
        <f>0</f>
        <v/>
      </c>
      <c r="T85" s="36">
        <f>0</f>
        <v/>
      </c>
      <c r="U85" s="36">
        <f>0</f>
        <v/>
      </c>
      <c r="V85" s="36">
        <f>0</f>
        <v/>
      </c>
      <c r="W85" s="36">
        <f>0</f>
        <v/>
      </c>
      <c r="X85" s="36">
        <f>0</f>
        <v/>
      </c>
      <c r="Y85" s="36">
        <f>0</f>
        <v/>
      </c>
      <c r="Z85" s="36">
        <f>0</f>
        <v/>
      </c>
    </row>
    <row r="86">
      <c r="B86" s="5" t="inlineStr">
        <is>
          <t>מגן מס סטנדרטי — צ'ילרים</t>
        </is>
      </c>
      <c r="C86" s="9" t="inlineStr">
        <is>
          <t>₪</t>
        </is>
      </c>
      <c r="D86" s="9" t="inlineStr">
        <is>
          <t>חישוב</t>
        </is>
      </c>
      <c r="E86" s="9">
        <f> פחת × שיעור מס</f>
        <v/>
      </c>
      <c r="F86" s="36" t="n">
        <v>0</v>
      </c>
      <c r="G86" s="36">
        <f>G85*'נתונים והנחות'!$F$10</f>
        <v/>
      </c>
      <c r="H86" s="36">
        <f>H85*'נתונים והנחות'!$F$10</f>
        <v/>
      </c>
      <c r="I86" s="36">
        <f>I85*'נתונים והנחות'!$F$10</f>
        <v/>
      </c>
      <c r="J86" s="36">
        <f>J85*'נתונים והנחות'!$F$10</f>
        <v/>
      </c>
      <c r="K86" s="36">
        <f>K85*'נתונים והנחות'!$F$10</f>
        <v/>
      </c>
      <c r="L86" s="36">
        <f>L85*'נתונים והנחות'!$F$10</f>
        <v/>
      </c>
      <c r="M86" s="36">
        <f>M85*'נתונים והנחות'!$F$10</f>
        <v/>
      </c>
      <c r="N86" s="36">
        <f>N85*'נתונים והנחות'!$F$10</f>
        <v/>
      </c>
      <c r="O86" s="36">
        <f>O85*'נתונים והנחות'!$F$10</f>
        <v/>
      </c>
      <c r="P86" s="36">
        <f>P85*'נתונים והנחות'!$F$10</f>
        <v/>
      </c>
      <c r="Q86" s="36">
        <f>Q85*'נתונים והנחות'!$F$10</f>
        <v/>
      </c>
      <c r="R86" s="36">
        <f>R85*'נתונים והנחות'!$F$10</f>
        <v/>
      </c>
      <c r="S86" s="36">
        <f>S85*'נתונים והנחות'!$F$10</f>
        <v/>
      </c>
      <c r="T86" s="36">
        <f>T85*'נתונים והנחות'!$F$10</f>
        <v/>
      </c>
      <c r="U86" s="36">
        <f>U85*'נתונים והנחות'!$F$10</f>
        <v/>
      </c>
      <c r="V86" s="36">
        <f>V85*'נתונים והנחות'!$F$10</f>
        <v/>
      </c>
      <c r="W86" s="36">
        <f>W85*'נתונים והנחות'!$F$10</f>
        <v/>
      </c>
      <c r="X86" s="36">
        <f>X85*'נתונים והנחות'!$F$10</f>
        <v/>
      </c>
      <c r="Y86" s="36">
        <f>Y85*'נתונים והנחות'!$F$10</f>
        <v/>
      </c>
      <c r="Z86" s="36">
        <f>Z85*'נתונים והנחות'!$F$10</f>
        <v/>
      </c>
    </row>
    <row r="87">
      <c r="B87" s="6" t="inlineStr">
        <is>
          <t>פחת מואץ — צ'ילרים</t>
        </is>
      </c>
      <c r="C87" s="9" t="inlineStr">
        <is>
          <t>₪</t>
        </is>
      </c>
      <c r="D87" s="9" t="inlineStr">
        <is>
          <t>חישוב</t>
        </is>
      </c>
      <c r="E87" s="9">
        <f> CapEx יעיל × (פחת סטנדרטי × מכפיל) | תקופה = 1 ÷ שיעור מואץ</f>
        <v/>
      </c>
      <c r="F87" s="37" t="n">
        <v>0</v>
      </c>
      <c r="G87" s="37">
        <f>IF(ISNUMBER('נתונים והנחות'!$G$31),IF(1&lt;=ROUND(1/(0.1*'נתונים והנחות'!$F$15),0),'נתונים והנחות'!$G$31*0.1*'נתונים והנחות'!$F$15,0),0)</f>
        <v/>
      </c>
      <c r="H87" s="37">
        <f>IF(ISNUMBER('נתונים והנחות'!$G$31),IF(2&lt;=ROUND(1/(0.1*'נתונים והנחות'!$F$15),0),'נתונים והנחות'!$G$31*0.1*'נתונים והנחות'!$F$15,0),0)</f>
        <v/>
      </c>
      <c r="I87" s="37">
        <f>IF(ISNUMBER('נתונים והנחות'!$G$31),IF(3&lt;=ROUND(1/(0.1*'נתונים והנחות'!$F$15),0),'נתונים והנחות'!$G$31*0.1*'נתונים והנחות'!$F$15,0),0)</f>
        <v/>
      </c>
      <c r="J87" s="37">
        <f>IF(ISNUMBER('נתונים והנחות'!$G$31),IF(4&lt;=ROUND(1/(0.1*'נתונים והנחות'!$F$15),0),'נתונים והנחות'!$G$31*0.1*'נתונים והנחות'!$F$15,0),0)</f>
        <v/>
      </c>
      <c r="K87" s="37">
        <f>IF(ISNUMBER('נתונים והנחות'!$G$31),IF(5&lt;=ROUND(1/(0.1*'נתונים והנחות'!$F$15),0),'נתונים והנחות'!$G$31*0.1*'נתונים והנחות'!$F$15,0),0)</f>
        <v/>
      </c>
      <c r="L87" s="37">
        <f>IF(ISNUMBER('נתונים והנחות'!$G$31),IF(6&lt;=ROUND(1/(0.1*'נתונים והנחות'!$F$15),0),'נתונים והנחות'!$G$31*0.1*'נתונים והנחות'!$F$15,0),0)</f>
        <v/>
      </c>
      <c r="M87" s="37">
        <f>IF(ISNUMBER('נתונים והנחות'!$G$31),IF(7&lt;=ROUND(1/(0.1*'נתונים והנחות'!$F$15),0),'נתונים והנחות'!$G$31*0.1*'נתונים והנחות'!$F$15,0),0)</f>
        <v/>
      </c>
      <c r="N87" s="37">
        <f>IF(ISNUMBER('נתונים והנחות'!$G$31),IF(8&lt;=ROUND(1/(0.1*'נתונים והנחות'!$F$15),0),'נתונים והנחות'!$G$31*0.1*'נתונים והנחות'!$F$15,0),0)</f>
        <v/>
      </c>
      <c r="O87" s="37">
        <f>IF(ISNUMBER('נתונים והנחות'!$G$31),IF(9&lt;=ROUND(1/(0.1*'נתונים והנחות'!$F$15),0),'נתונים והנחות'!$G$31*0.1*'נתונים והנחות'!$F$15,0),0)</f>
        <v/>
      </c>
      <c r="P87" s="37">
        <f>IF(ISNUMBER('נתונים והנחות'!$G$31),IF(10&lt;=ROUND(1/(0.1*'נתונים והנחות'!$F$15),0),'נתונים והנחות'!$G$31*0.1*'נתונים והנחות'!$F$15,0),0)</f>
        <v/>
      </c>
      <c r="Q87" s="37">
        <f>IF(ISNUMBER('נתונים והנחות'!$G$31),IF(11&lt;=ROUND(1/(0.1*'נתונים והנחות'!$F$15),0),'נתונים והנחות'!$G$31*0.1*'נתונים והנחות'!$F$15,0),0)</f>
        <v/>
      </c>
      <c r="R87" s="37">
        <f>IF(ISNUMBER('נתונים והנחות'!$G$31),IF(12&lt;=ROUND(1/(0.1*'נתונים והנחות'!$F$15),0),'נתונים והנחות'!$G$31*0.1*'נתונים והנחות'!$F$15,0),0)</f>
        <v/>
      </c>
      <c r="S87" s="37">
        <f>IF(ISNUMBER('נתונים והנחות'!$G$31),IF(13&lt;=ROUND(1/(0.1*'נתונים והנחות'!$F$15),0),'נתונים והנחות'!$G$31*0.1*'נתונים והנחות'!$F$15,0),0)</f>
        <v/>
      </c>
      <c r="T87" s="37">
        <f>IF(ISNUMBER('נתונים והנחות'!$G$31),IF(14&lt;=ROUND(1/(0.1*'נתונים והנחות'!$F$15),0),'נתונים והנחות'!$G$31*0.1*'נתונים והנחות'!$F$15,0),0)</f>
        <v/>
      </c>
      <c r="U87" s="37">
        <f>IF(ISNUMBER('נתונים והנחות'!$G$31),IF(15&lt;=ROUND(1/(0.1*'נתונים והנחות'!$F$15),0),'נתונים והנחות'!$G$31*0.1*'נתונים והנחות'!$F$15,0),0)</f>
        <v/>
      </c>
      <c r="V87" s="37">
        <f>IF(ISNUMBER('נתונים והנחות'!$G$31),IF(16&lt;=ROUND(1/(0.1*'נתונים והנחות'!$F$15),0),'נתונים והנחות'!$G$31*0.1*'נתונים והנחות'!$F$15,0),0)</f>
        <v/>
      </c>
      <c r="W87" s="37">
        <f>IF(ISNUMBER('נתונים והנחות'!$G$31),IF(17&lt;=ROUND(1/(0.1*'נתונים והנחות'!$F$15),0),'נתונים והנחות'!$G$31*0.1*'נתונים והנחות'!$F$15,0),0)</f>
        <v/>
      </c>
      <c r="X87" s="37">
        <f>IF(ISNUMBER('נתונים והנחות'!$G$31),IF(18&lt;=ROUND(1/(0.1*'נתונים והנחות'!$F$15),0),'נתונים והנחות'!$G$31*0.1*'נתונים והנחות'!$F$15,0),0)</f>
        <v/>
      </c>
      <c r="Y87" s="37">
        <f>IF(ISNUMBER('נתונים והנחות'!$G$31),IF(19&lt;=ROUND(1/(0.1*'נתונים והנחות'!$F$15),0),'נתונים והנחות'!$G$31*0.1*'נתונים והנחות'!$F$15,0),0)</f>
        <v/>
      </c>
      <c r="Z87" s="37">
        <f>IF(ISNUMBER('נתונים והנחות'!$G$31),IF(20&lt;=ROUND(1/(0.1*'נתונים והנחות'!$F$15),0),'נתונים והנחות'!$G$31*0.1*'נתונים והנחות'!$F$15,0),0)</f>
        <v/>
      </c>
    </row>
    <row r="88">
      <c r="B88" s="6" t="inlineStr">
        <is>
          <t>מגן מס מואץ — צ'ילרים</t>
        </is>
      </c>
      <c r="C88" s="9" t="inlineStr">
        <is>
          <t>₪</t>
        </is>
      </c>
      <c r="D88" s="9" t="inlineStr">
        <is>
          <t>חישוב</t>
        </is>
      </c>
      <c r="E88" s="9">
        <f> פחת מואץ × שיעור מס</f>
        <v/>
      </c>
      <c r="F88" s="37" t="n">
        <v>0</v>
      </c>
      <c r="G88" s="37">
        <f>G87*'נתונים והנחות'!$F$10</f>
        <v/>
      </c>
      <c r="H88" s="37">
        <f>H87*'נתונים והנחות'!$F$10</f>
        <v/>
      </c>
      <c r="I88" s="37">
        <f>I87*'נתונים והנחות'!$F$10</f>
        <v/>
      </c>
      <c r="J88" s="37">
        <f>J87*'נתונים והנחות'!$F$10</f>
        <v/>
      </c>
      <c r="K88" s="37">
        <f>K87*'נתונים והנחות'!$F$10</f>
        <v/>
      </c>
      <c r="L88" s="37">
        <f>L87*'נתונים והנחות'!$F$10</f>
        <v/>
      </c>
      <c r="M88" s="37">
        <f>M87*'נתונים והנחות'!$F$10</f>
        <v/>
      </c>
      <c r="N88" s="37">
        <f>N87*'נתונים והנחות'!$F$10</f>
        <v/>
      </c>
      <c r="O88" s="37">
        <f>O87*'נתונים והנחות'!$F$10</f>
        <v/>
      </c>
      <c r="P88" s="37">
        <f>P87*'נתונים והנחות'!$F$10</f>
        <v/>
      </c>
      <c r="Q88" s="37">
        <f>Q87*'נתונים והנחות'!$F$10</f>
        <v/>
      </c>
      <c r="R88" s="37">
        <f>R87*'נתונים והנחות'!$F$10</f>
        <v/>
      </c>
      <c r="S88" s="37">
        <f>S87*'נתונים והנחות'!$F$10</f>
        <v/>
      </c>
      <c r="T88" s="37">
        <f>T87*'נתונים והנחות'!$F$10</f>
        <v/>
      </c>
      <c r="U88" s="37">
        <f>U87*'נתונים והנחות'!$F$10</f>
        <v/>
      </c>
      <c r="V88" s="37">
        <f>V87*'נתונים והנחות'!$F$10</f>
        <v/>
      </c>
      <c r="W88" s="37">
        <f>W87*'נתונים והנחות'!$F$10</f>
        <v/>
      </c>
      <c r="X88" s="37">
        <f>X87*'נתונים והנחות'!$F$10</f>
        <v/>
      </c>
      <c r="Y88" s="37">
        <f>Y87*'נתונים והנחות'!$F$10</f>
        <v/>
      </c>
      <c r="Z88" s="37">
        <f>Z87*'נתונים והנחות'!$F$10</f>
        <v/>
      </c>
    </row>
    <row r="90">
      <c r="B90" s="34" t="inlineStr">
        <is>
          <t>ג. ניתוח תזרים מזומנים — שלושה תרחישים</t>
        </is>
      </c>
    </row>
    <row r="91">
      <c r="B91" s="20" t="inlineStr">
        <is>
          <t>פרמטר</t>
        </is>
      </c>
      <c r="C91" s="20" t="inlineStr">
        <is>
          <t>יחידות</t>
        </is>
      </c>
      <c r="D91" s="20" t="inlineStr">
        <is>
          <t>מקור</t>
        </is>
      </c>
      <c r="E91" s="20" t="inlineStr">
        <is>
          <t>הערות</t>
        </is>
      </c>
      <c r="F91" s="20" t="inlineStr">
        <is>
          <t>שנה 0 (השקעה)</t>
        </is>
      </c>
      <c r="G91" s="20" t="inlineStr">
        <is>
          <t>שנה 1</t>
        </is>
      </c>
      <c r="H91" s="20" t="inlineStr">
        <is>
          <t>שנה 2</t>
        </is>
      </c>
      <c r="I91" s="20" t="inlineStr">
        <is>
          <t>שנה 3</t>
        </is>
      </c>
      <c r="J91" s="20" t="inlineStr">
        <is>
          <t>שנה 4</t>
        </is>
      </c>
      <c r="K91" s="20" t="inlineStr">
        <is>
          <t>שנה 5</t>
        </is>
      </c>
      <c r="L91" s="20" t="inlineStr">
        <is>
          <t>שנה 6</t>
        </is>
      </c>
      <c r="M91" s="20" t="inlineStr">
        <is>
          <t>שנה 7</t>
        </is>
      </c>
      <c r="N91" s="20" t="inlineStr">
        <is>
          <t>שנה 8</t>
        </is>
      </c>
      <c r="O91" s="20" t="inlineStr">
        <is>
          <t>שנה 9</t>
        </is>
      </c>
      <c r="P91" s="20" t="inlineStr">
        <is>
          <t>שנה 10</t>
        </is>
      </c>
      <c r="Q91" s="20" t="inlineStr">
        <is>
          <t>שנה 11</t>
        </is>
      </c>
      <c r="R91" s="20" t="inlineStr">
        <is>
          <t>שנה 12</t>
        </is>
      </c>
      <c r="S91" s="20" t="inlineStr">
        <is>
          <t>שנה 13</t>
        </is>
      </c>
      <c r="T91" s="20" t="inlineStr">
        <is>
          <t>שנה 14</t>
        </is>
      </c>
      <c r="U91" s="20" t="inlineStr">
        <is>
          <t>שנה 15</t>
        </is>
      </c>
      <c r="V91" s="20" t="inlineStr">
        <is>
          <t>שנה 16</t>
        </is>
      </c>
      <c r="W91" s="20" t="inlineStr">
        <is>
          <t>שנה 17</t>
        </is>
      </c>
      <c r="X91" s="20" t="inlineStr">
        <is>
          <t>שנה 18</t>
        </is>
      </c>
      <c r="Y91" s="20" t="inlineStr">
        <is>
          <t>שנה 19</t>
        </is>
      </c>
      <c r="Z91" s="20" t="inlineStr">
        <is>
          <t>שנה 20</t>
        </is>
      </c>
    </row>
    <row r="92">
      <c r="B92" s="38" t="inlineStr">
        <is>
          <t>תרחיש A — רכישת מערכת קירור קונבנציונלית (ציוד קיים / לא יעיל)</t>
        </is>
      </c>
    </row>
    <row r="93">
      <c r="B93" s="4" t="inlineStr">
        <is>
          <t>השקעה ראשונית</t>
        </is>
      </c>
      <c r="C93" s="9" t="inlineStr">
        <is>
          <t>₪</t>
        </is>
      </c>
      <c r="D93" s="9" t="inlineStr">
        <is>
          <t>חישוב</t>
        </is>
      </c>
      <c r="F93" s="35">
        <f>IF(ISNUMBER('נתונים והנחות'!$G$30),-'נתונים והנחות'!$G$30,"PENDING")</f>
        <v/>
      </c>
    </row>
    <row r="94">
      <c r="B94" s="4" t="inlineStr">
        <is>
          <t>OPEX אנרגיה</t>
        </is>
      </c>
      <c r="C94" s="9" t="inlineStr">
        <is>
          <t>₪</t>
        </is>
      </c>
      <c r="D94" s="9" t="inlineStr">
        <is>
          <t>חישוב</t>
        </is>
      </c>
      <c r="F94" s="35" t="n">
        <v>0</v>
      </c>
      <c r="G94" s="35">
        <f>IF(ISNUMBER('נתונים והנחות'!$G$41),-'נתונים והנחות'!$G$41,0)</f>
        <v/>
      </c>
      <c r="H94" s="35">
        <f>IF(ISNUMBER('נתונים והנחות'!$G$41),-'נתונים והנחות'!$G$41,0)</f>
        <v/>
      </c>
      <c r="I94" s="35">
        <f>IF(ISNUMBER('נתונים והנחות'!$G$41),-'נתונים והנחות'!$G$41,0)</f>
        <v/>
      </c>
      <c r="J94" s="35">
        <f>IF(ISNUMBER('נתונים והנחות'!$G$41),-'נתונים והנחות'!$G$41,0)</f>
        <v/>
      </c>
      <c r="K94" s="35">
        <f>IF(ISNUMBER('נתונים והנחות'!$G$41),-'נתונים והנחות'!$G$41,0)</f>
        <v/>
      </c>
      <c r="L94" s="35">
        <f>IF(ISNUMBER('נתונים והנחות'!$G$41),-'נתונים והנחות'!$G$41,0)</f>
        <v/>
      </c>
      <c r="M94" s="35">
        <f>IF(ISNUMBER('נתונים והנחות'!$G$41),-'נתונים והנחות'!$G$41,0)</f>
        <v/>
      </c>
      <c r="N94" s="35">
        <f>IF(ISNUMBER('נתונים והנחות'!$G$41),-'נתונים והנחות'!$G$41,0)</f>
        <v/>
      </c>
      <c r="O94" s="35">
        <f>IF(ISNUMBER('נתונים והנחות'!$G$41),-'נתונים והנחות'!$G$41,0)</f>
        <v/>
      </c>
      <c r="P94" s="35">
        <f>IF(ISNUMBER('נתונים והנחות'!$G$41),-'נתונים והנחות'!$G$41,0)</f>
        <v/>
      </c>
      <c r="Q94" s="35">
        <f>IF(ISNUMBER('נתונים והנחות'!$G$41),-'נתונים והנחות'!$G$41,0)</f>
        <v/>
      </c>
      <c r="R94" s="35">
        <f>IF(ISNUMBER('נתונים והנחות'!$G$41),-'נתונים והנחות'!$G$41,0)</f>
        <v/>
      </c>
      <c r="S94" s="35">
        <f>IF(ISNUMBER('נתונים והנחות'!$G$41),-'נתונים והנחות'!$G$41,0)</f>
        <v/>
      </c>
      <c r="T94" s="35">
        <f>IF(ISNUMBER('נתונים והנחות'!$G$41),-'נתונים והנחות'!$G$41,0)</f>
        <v/>
      </c>
      <c r="U94" s="35">
        <f>IF(ISNUMBER('נתונים והנחות'!$G$41),-'נתונים והנחות'!$G$41,0)</f>
        <v/>
      </c>
      <c r="V94" s="35">
        <f>0</f>
        <v/>
      </c>
      <c r="W94" s="35">
        <f>0</f>
        <v/>
      </c>
      <c r="X94" s="35">
        <f>0</f>
        <v/>
      </c>
      <c r="Y94" s="35">
        <f>0</f>
        <v/>
      </c>
      <c r="Z94" s="35">
        <f>0</f>
        <v/>
      </c>
    </row>
    <row r="95">
      <c r="B95" s="4" t="inlineStr">
        <is>
          <t>OPEX אחר (תחזוקה וכו')</t>
        </is>
      </c>
      <c r="C95" s="9" t="inlineStr">
        <is>
          <t>₪</t>
        </is>
      </c>
      <c r="D95" s="9" t="inlineStr">
        <is>
          <t>חישוב</t>
        </is>
      </c>
      <c r="F95" s="35" t="n">
        <v>0</v>
      </c>
      <c r="G95" s="35">
        <f>IF(ISNUMBER('נתונים והנחות'!$G$39),-'נתונים והנחות'!$G$39,0)</f>
        <v/>
      </c>
      <c r="H95" s="35">
        <f>IF(ISNUMBER('נתונים והנחות'!$G$39),-'נתונים והנחות'!$G$39,0)</f>
        <v/>
      </c>
      <c r="I95" s="35">
        <f>IF(ISNUMBER('נתונים והנחות'!$G$39),-'נתונים והנחות'!$G$39,0)</f>
        <v/>
      </c>
      <c r="J95" s="35">
        <f>IF(ISNUMBER('נתונים והנחות'!$G$39),-'נתונים והנחות'!$G$39,0)</f>
        <v/>
      </c>
      <c r="K95" s="35">
        <f>IF(ISNUMBER('נתונים והנחות'!$G$39),-'נתונים והנחות'!$G$39,0)</f>
        <v/>
      </c>
      <c r="L95" s="35">
        <f>IF(ISNUMBER('נתונים והנחות'!$G$39),-'נתונים והנחות'!$G$39,0)</f>
        <v/>
      </c>
      <c r="M95" s="35">
        <f>IF(ISNUMBER('נתונים והנחות'!$G$39),-'נתונים והנחות'!$G$39,0)</f>
        <v/>
      </c>
      <c r="N95" s="35">
        <f>IF(ISNUMBER('נתונים והנחות'!$G$39),-'נתונים והנחות'!$G$39,0)</f>
        <v/>
      </c>
      <c r="O95" s="35">
        <f>IF(ISNUMBER('נתונים והנחות'!$G$39),-'נתונים והנחות'!$G$39,0)</f>
        <v/>
      </c>
      <c r="P95" s="35">
        <f>IF(ISNUMBER('נתונים והנחות'!$G$39),-'נתונים והנחות'!$G$39,0)</f>
        <v/>
      </c>
      <c r="Q95" s="35">
        <f>IF(ISNUMBER('נתונים והנחות'!$G$39),-'נתונים והנחות'!$G$39,0)</f>
        <v/>
      </c>
      <c r="R95" s="35">
        <f>IF(ISNUMBER('נתונים והנחות'!$G$39),-'נתונים והנחות'!$G$39,0)</f>
        <v/>
      </c>
      <c r="S95" s="35">
        <f>IF(ISNUMBER('נתונים והנחות'!$G$39),-'נתונים והנחות'!$G$39,0)</f>
        <v/>
      </c>
      <c r="T95" s="35">
        <f>IF(ISNUMBER('נתונים והנחות'!$G$39),-'נתונים והנחות'!$G$39,0)</f>
        <v/>
      </c>
      <c r="U95" s="35">
        <f>IF(ISNUMBER('נתונים והנחות'!$G$39),-'נתונים והנחות'!$G$39,0)</f>
        <v/>
      </c>
      <c r="V95" s="35">
        <f>0</f>
        <v/>
      </c>
      <c r="W95" s="35">
        <f>0</f>
        <v/>
      </c>
      <c r="X95" s="35">
        <f>0</f>
        <v/>
      </c>
      <c r="Y95" s="35">
        <f>0</f>
        <v/>
      </c>
      <c r="Z95" s="35">
        <f>0</f>
        <v/>
      </c>
    </row>
    <row r="96">
      <c r="B96" s="4" t="inlineStr">
        <is>
          <t>תזרים נקי — תרחיש A</t>
        </is>
      </c>
      <c r="C96" s="9" t="inlineStr">
        <is>
          <t>₪</t>
        </is>
      </c>
      <c r="D96" s="9" t="inlineStr">
        <is>
          <t>חישוב</t>
        </is>
      </c>
      <c r="F96" s="35">
        <f>F93</f>
        <v/>
      </c>
      <c r="G96" s="35">
        <f>G94+G95+G84</f>
        <v/>
      </c>
      <c r="H96" s="35">
        <f>H94+H95+H84</f>
        <v/>
      </c>
      <c r="I96" s="35">
        <f>I94+I95+I84</f>
        <v/>
      </c>
      <c r="J96" s="35">
        <f>J94+J95+J84</f>
        <v/>
      </c>
      <c r="K96" s="35">
        <f>K94+K95+K84</f>
        <v/>
      </c>
      <c r="L96" s="35">
        <f>L94+L95+L84</f>
        <v/>
      </c>
      <c r="M96" s="35">
        <f>M94+M95+M84</f>
        <v/>
      </c>
      <c r="N96" s="35">
        <f>N94+N95+N84</f>
        <v/>
      </c>
      <c r="O96" s="35">
        <f>O94+O95+O84</f>
        <v/>
      </c>
      <c r="P96" s="35">
        <f>P94+P95+P84</f>
        <v/>
      </c>
      <c r="Q96" s="35">
        <f>Q94+Q95+Q84</f>
        <v/>
      </c>
      <c r="R96" s="35">
        <f>R94+R95+R84</f>
        <v/>
      </c>
      <c r="S96" s="35">
        <f>S94+S95+S84</f>
        <v/>
      </c>
      <c r="T96" s="35">
        <f>T94+T95+T84</f>
        <v/>
      </c>
      <c r="U96" s="35">
        <f>U94+U95+U84</f>
        <v/>
      </c>
      <c r="V96" s="35">
        <f>V94+V95+V84</f>
        <v/>
      </c>
      <c r="W96" s="35">
        <f>W94+W95+W84</f>
        <v/>
      </c>
      <c r="X96" s="35">
        <f>X94+X95+X84</f>
        <v/>
      </c>
      <c r="Y96" s="35">
        <f>Y94+Y95+Y84</f>
        <v/>
      </c>
      <c r="Z96" s="35">
        <f>Z94+Z95+Z84</f>
        <v/>
      </c>
    </row>
    <row r="97">
      <c r="B97" s="4" t="inlineStr">
        <is>
          <t>תזרים מהוון — תרחיש A</t>
        </is>
      </c>
      <c r="C97" s="9" t="inlineStr">
        <is>
          <t>₪</t>
        </is>
      </c>
      <c r="D97" s="9" t="inlineStr">
        <is>
          <t>חישוב</t>
        </is>
      </c>
      <c r="F97" s="35">
        <f>F96</f>
        <v/>
      </c>
      <c r="G97" s="35">
        <f>G96/(1+'נתונים והנחות'!$F$11)^1</f>
        <v/>
      </c>
      <c r="H97" s="35">
        <f>H96/(1+'נתונים והנחות'!$F$11)^2</f>
        <v/>
      </c>
      <c r="I97" s="35">
        <f>I96/(1+'נתונים והנחות'!$F$11)^3</f>
        <v/>
      </c>
      <c r="J97" s="35">
        <f>J96/(1+'נתונים והנחות'!$F$11)^4</f>
        <v/>
      </c>
      <c r="K97" s="35">
        <f>K96/(1+'נתונים והנחות'!$F$11)^5</f>
        <v/>
      </c>
      <c r="L97" s="35">
        <f>L96/(1+'נתונים והנחות'!$F$11)^6</f>
        <v/>
      </c>
      <c r="M97" s="35">
        <f>M96/(1+'נתונים והנחות'!$F$11)^7</f>
        <v/>
      </c>
      <c r="N97" s="35">
        <f>N96/(1+'נתונים והנחות'!$F$11)^8</f>
        <v/>
      </c>
      <c r="O97" s="35">
        <f>O96/(1+'נתונים והנחות'!$F$11)^9</f>
        <v/>
      </c>
      <c r="P97" s="35">
        <f>P96/(1+'נתונים והנחות'!$F$11)^10</f>
        <v/>
      </c>
      <c r="Q97" s="35">
        <f>Q96/(1+'נתונים והנחות'!$F$11)^11</f>
        <v/>
      </c>
      <c r="R97" s="35">
        <f>R96/(1+'נתונים והנחות'!$F$11)^12</f>
        <v/>
      </c>
      <c r="S97" s="35">
        <f>S96/(1+'נתונים והנחות'!$F$11)^13</f>
        <v/>
      </c>
      <c r="T97" s="35">
        <f>T96/(1+'נתונים והנחות'!$F$11)^14</f>
        <v/>
      </c>
      <c r="U97" s="35">
        <f>U96/(1+'נתונים והנחות'!$F$11)^15</f>
        <v/>
      </c>
      <c r="V97" s="35">
        <f>V96/(1+'נתונים והנחות'!$F$11)^16</f>
        <v/>
      </c>
      <c r="W97" s="35">
        <f>W96/(1+'נתונים והנחות'!$F$11)^17</f>
        <v/>
      </c>
      <c r="X97" s="35">
        <f>X96/(1+'נתונים והנחות'!$F$11)^18</f>
        <v/>
      </c>
      <c r="Y97" s="35">
        <f>Y96/(1+'נתונים והנחות'!$F$11)^19</f>
        <v/>
      </c>
      <c r="Z97" s="35">
        <f>Z96/(1+'נתונים והנחות'!$F$11)^20</f>
        <v/>
      </c>
    </row>
    <row r="98">
      <c r="B98" s="4" t="inlineStr">
        <is>
          <t>NPV מצטבר — תרחיש A</t>
        </is>
      </c>
      <c r="C98" s="9" t="inlineStr">
        <is>
          <t>₪</t>
        </is>
      </c>
      <c r="D98" s="9" t="inlineStr">
        <is>
          <t>חישוב</t>
        </is>
      </c>
      <c r="F98" s="35">
        <f>F97</f>
        <v/>
      </c>
      <c r="G98" s="35">
        <f>F98+G97</f>
        <v/>
      </c>
      <c r="H98" s="35">
        <f>G98+H97</f>
        <v/>
      </c>
      <c r="I98" s="35">
        <f>H98+I97</f>
        <v/>
      </c>
      <c r="J98" s="35">
        <f>I98+J97</f>
        <v/>
      </c>
      <c r="K98" s="35">
        <f>J98+K97</f>
        <v/>
      </c>
      <c r="L98" s="35">
        <f>K98+L97</f>
        <v/>
      </c>
      <c r="M98" s="35">
        <f>L98+M97</f>
        <v/>
      </c>
      <c r="N98" s="35">
        <f>M98+N97</f>
        <v/>
      </c>
      <c r="O98" s="35">
        <f>N98+O97</f>
        <v/>
      </c>
      <c r="P98" s="35">
        <f>O98+P97</f>
        <v/>
      </c>
      <c r="Q98" s="35">
        <f>P98+Q97</f>
        <v/>
      </c>
      <c r="R98" s="35">
        <f>Q98+R97</f>
        <v/>
      </c>
      <c r="S98" s="35">
        <f>R98+S97</f>
        <v/>
      </c>
      <c r="T98" s="35">
        <f>S98+T97</f>
        <v/>
      </c>
      <c r="U98" s="35">
        <f>T98+U97</f>
        <v/>
      </c>
      <c r="V98" s="35">
        <f>U98+V97</f>
        <v/>
      </c>
      <c r="W98" s="35">
        <f>V98+W97</f>
        <v/>
      </c>
      <c r="X98" s="35">
        <f>W98+X97</f>
        <v/>
      </c>
      <c r="Y98" s="35">
        <f>X98+Y97</f>
        <v/>
      </c>
      <c r="Z98" s="35">
        <f>Y98+Z97</f>
        <v/>
      </c>
    </row>
    <row r="100">
      <c r="B100" s="39" t="inlineStr">
        <is>
          <t>תרחיש B — רכישת צ'ילרים | פחת סטנדרטי (ללא תמריץ)</t>
        </is>
      </c>
    </row>
    <row r="101">
      <c r="B101" s="5" t="inlineStr">
        <is>
          <t>השקעה ראשונית</t>
        </is>
      </c>
      <c r="C101" s="9" t="inlineStr">
        <is>
          <t>₪</t>
        </is>
      </c>
      <c r="D101" s="9" t="inlineStr">
        <is>
          <t>חישוב</t>
        </is>
      </c>
      <c r="F101" s="36">
        <f>IF(ISNUMBER('נתונים והנחות'!$G$31),-'נתונים והנחות'!$G$31,"PENDING")</f>
        <v/>
      </c>
    </row>
    <row r="102">
      <c r="B102" s="5" t="inlineStr">
        <is>
          <t>OPEX אנרגיה (עם שחיקה שנתית)</t>
        </is>
      </c>
      <c r="C102" s="9" t="inlineStr">
        <is>
          <t>₪</t>
        </is>
      </c>
      <c r="D102" s="9" t="inlineStr">
        <is>
          <t>חישוב</t>
        </is>
      </c>
      <c r="F102" s="36" t="n">
        <v>0</v>
      </c>
      <c r="G102" s="36">
        <f>IF(ISNUMBER('נתונים והנחות'!$G$42),-'נתונים והנחות'!$G$42*(1-'נתונים והנחות'!$G$38)^0,0)</f>
        <v/>
      </c>
      <c r="H102" s="36">
        <f>IF(ISNUMBER('נתונים והנחות'!$G$42),-'נתונים והנחות'!$G$42*(1-'נתונים והנחות'!$G$38)^1,0)</f>
        <v/>
      </c>
      <c r="I102" s="36">
        <f>IF(ISNUMBER('נתונים והנחות'!$G$42),-'נתונים והנחות'!$G$42*(1-'נתונים והנחות'!$G$38)^2,0)</f>
        <v/>
      </c>
      <c r="J102" s="36">
        <f>IF(ISNUMBER('נתונים והנחות'!$G$42),-'נתונים והנחות'!$G$42*(1-'נתונים והנחות'!$G$38)^3,0)</f>
        <v/>
      </c>
      <c r="K102" s="36">
        <f>IF(ISNUMBER('נתונים והנחות'!$G$42),-'נתונים והנחות'!$G$42*(1-'נתונים והנחות'!$G$38)^4,0)</f>
        <v/>
      </c>
      <c r="L102" s="36">
        <f>IF(ISNUMBER('נתונים והנחות'!$G$42),-'נתונים והנחות'!$G$42*(1-'נתונים והנחות'!$G$38)^5,0)</f>
        <v/>
      </c>
      <c r="M102" s="36">
        <f>IF(ISNUMBER('נתונים והנחות'!$G$42),-'נתונים והנחות'!$G$42*(1-'נתונים והנחות'!$G$38)^6,0)</f>
        <v/>
      </c>
      <c r="N102" s="36">
        <f>IF(ISNUMBER('נתונים והנחות'!$G$42),-'נתונים והנחות'!$G$42*(1-'נתונים והנחות'!$G$38)^7,0)</f>
        <v/>
      </c>
      <c r="O102" s="36">
        <f>IF(ISNUMBER('נתונים והנחות'!$G$42),-'נתונים והנחות'!$G$42*(1-'נתונים והנחות'!$G$38)^8,0)</f>
        <v/>
      </c>
      <c r="P102" s="36">
        <f>IF(ISNUMBER('נתונים והנחות'!$G$42),-'נתונים והנחות'!$G$42*(1-'נתונים והנחות'!$G$38)^9,0)</f>
        <v/>
      </c>
      <c r="Q102" s="36">
        <f>IF(ISNUMBER('נתונים והנחות'!$G$42),-'נתונים והנחות'!$G$42*(1-'נתונים והנחות'!$G$38)^10,0)</f>
        <v/>
      </c>
      <c r="R102" s="36">
        <f>IF(ISNUMBER('נתונים והנחות'!$G$42),-'נתונים והנחות'!$G$42*(1-'נתונים והנחות'!$G$38)^11,0)</f>
        <v/>
      </c>
      <c r="S102" s="36">
        <f>IF(ISNUMBER('נתונים והנחות'!$G$42),-'נתונים והנחות'!$G$42*(1-'נתונים והנחות'!$G$38)^12,0)</f>
        <v/>
      </c>
      <c r="T102" s="36">
        <f>IF(ISNUMBER('נתונים והנחות'!$G$42),-'נתונים והנחות'!$G$42*(1-'נתונים והנחות'!$G$38)^13,0)</f>
        <v/>
      </c>
      <c r="U102" s="36">
        <f>IF(ISNUMBER('נתונים והנחות'!$G$42),-'נתונים והנחות'!$G$42*(1-'נתונים והנחות'!$G$38)^14,0)</f>
        <v/>
      </c>
      <c r="V102" s="36">
        <f>IF(ISNUMBER('נתונים והנחות'!$G$42),-'נתונים והנחות'!$G$42*(1-'נתונים והנחות'!$G$38)^15,0)</f>
        <v/>
      </c>
      <c r="W102" s="36">
        <f>IF(ISNUMBER('נתונים והנחות'!$G$42),-'נתונים והנחות'!$G$42*(1-'נתונים והנחות'!$G$38)^16,0)</f>
        <v/>
      </c>
      <c r="X102" s="36">
        <f>0</f>
        <v/>
      </c>
      <c r="Y102" s="36">
        <f>0</f>
        <v/>
      </c>
      <c r="Z102" s="36">
        <f>0</f>
        <v/>
      </c>
    </row>
    <row r="103">
      <c r="B103" s="5" t="inlineStr">
        <is>
          <t>OPEX אחר (תחזוקה וכו')</t>
        </is>
      </c>
      <c r="C103" s="9" t="inlineStr">
        <is>
          <t>₪</t>
        </is>
      </c>
      <c r="D103" s="9" t="inlineStr">
        <is>
          <t>חישוב</t>
        </is>
      </c>
      <c r="F103" s="36" t="n">
        <v>0</v>
      </c>
      <c r="G103" s="36">
        <f>IF(ISNUMBER('נתונים והנחות'!$G$40),-'נתונים והנחות'!$G$40,0)</f>
        <v/>
      </c>
      <c r="H103" s="36">
        <f>IF(ISNUMBER('נתונים והנחות'!$G$40),-'נתונים והנחות'!$G$40,0)</f>
        <v/>
      </c>
      <c r="I103" s="36">
        <f>IF(ISNUMBER('נתונים והנחות'!$G$40),-'נתונים והנחות'!$G$40,0)</f>
        <v/>
      </c>
      <c r="J103" s="36">
        <f>IF(ISNUMBER('נתונים והנחות'!$G$40),-'נתונים והנחות'!$G$40,0)</f>
        <v/>
      </c>
      <c r="K103" s="36">
        <f>IF(ISNUMBER('נתונים והנחות'!$G$40),-'נתונים והנחות'!$G$40,0)</f>
        <v/>
      </c>
      <c r="L103" s="36">
        <f>IF(ISNUMBER('נתונים והנחות'!$G$40),-'נתונים והנחות'!$G$40,0)</f>
        <v/>
      </c>
      <c r="M103" s="36">
        <f>IF(ISNUMBER('נתונים והנחות'!$G$40),-'נתונים והנחות'!$G$40,0)</f>
        <v/>
      </c>
      <c r="N103" s="36">
        <f>IF(ISNUMBER('נתונים והנחות'!$G$40),-'נתונים והנחות'!$G$40,0)</f>
        <v/>
      </c>
      <c r="O103" s="36">
        <f>IF(ISNUMBER('נתונים והנחות'!$G$40),-'נתונים והנחות'!$G$40,0)</f>
        <v/>
      </c>
      <c r="P103" s="36">
        <f>IF(ISNUMBER('נתונים והנחות'!$G$40),-'נתונים והנחות'!$G$40,0)</f>
        <v/>
      </c>
      <c r="Q103" s="36">
        <f>IF(ISNUMBER('נתונים והנחות'!$G$40),-'נתונים והנחות'!$G$40,0)</f>
        <v/>
      </c>
      <c r="R103" s="36">
        <f>IF(ISNUMBER('נתונים והנחות'!$G$40),-'נתונים והנחות'!$G$40,0)</f>
        <v/>
      </c>
      <c r="S103" s="36">
        <f>IF(ISNUMBER('נתונים והנחות'!$G$40),-'נתונים והנחות'!$G$40,0)</f>
        <v/>
      </c>
      <c r="T103" s="36">
        <f>IF(ISNUMBER('נתונים והנחות'!$G$40),-'נתונים והנחות'!$G$40,0)</f>
        <v/>
      </c>
      <c r="U103" s="36">
        <f>IF(ISNUMBER('נתונים והנחות'!$G$40),-'נתונים והנחות'!$G$40,0)</f>
        <v/>
      </c>
      <c r="V103" s="36">
        <f>IF(ISNUMBER('נתונים והנחות'!$G$40),-'נתונים והנחות'!$G$40,0)</f>
        <v/>
      </c>
      <c r="W103" s="36">
        <f>IF(ISNUMBER('נתונים והנחות'!$G$40),-'נתונים והנחות'!$G$40,0)</f>
        <v/>
      </c>
      <c r="X103" s="36">
        <f>0</f>
        <v/>
      </c>
      <c r="Y103" s="36">
        <f>0</f>
        <v/>
      </c>
      <c r="Z103" s="36">
        <f>0</f>
        <v/>
      </c>
    </row>
    <row r="104">
      <c r="B104" s="5" t="inlineStr">
        <is>
          <t>תזרים נקי — תרחיש B</t>
        </is>
      </c>
      <c r="C104" s="9" t="inlineStr">
        <is>
          <t>₪</t>
        </is>
      </c>
      <c r="D104" s="9" t="inlineStr">
        <is>
          <t>חישוב</t>
        </is>
      </c>
      <c r="F104" s="36">
        <f>F101</f>
        <v/>
      </c>
      <c r="G104" s="36">
        <f>G102+G103+G86</f>
        <v/>
      </c>
      <c r="H104" s="36">
        <f>H102+H103+H86</f>
        <v/>
      </c>
      <c r="I104" s="36">
        <f>I102+I103+I86</f>
        <v/>
      </c>
      <c r="J104" s="36">
        <f>J102+J103+J86</f>
        <v/>
      </c>
      <c r="K104" s="36">
        <f>K102+K103+K86</f>
        <v/>
      </c>
      <c r="L104" s="36">
        <f>L102+L103+L86</f>
        <v/>
      </c>
      <c r="M104" s="36">
        <f>M102+M103+M86</f>
        <v/>
      </c>
      <c r="N104" s="36">
        <f>N102+N103+N86</f>
        <v/>
      </c>
      <c r="O104" s="36">
        <f>O102+O103+O86</f>
        <v/>
      </c>
      <c r="P104" s="36">
        <f>P102+P103+P86</f>
        <v/>
      </c>
      <c r="Q104" s="36">
        <f>Q102+Q103+Q86</f>
        <v/>
      </c>
      <c r="R104" s="36">
        <f>R102+R103+R86</f>
        <v/>
      </c>
      <c r="S104" s="36">
        <f>S102+S103+S86</f>
        <v/>
      </c>
      <c r="T104" s="36">
        <f>T102+T103+T86</f>
        <v/>
      </c>
      <c r="U104" s="36">
        <f>U102+U103+U86</f>
        <v/>
      </c>
      <c r="V104" s="36">
        <f>V102+V103+V86</f>
        <v/>
      </c>
      <c r="W104" s="36">
        <f>W102+W103+W86</f>
        <v/>
      </c>
      <c r="X104" s="36">
        <f>X102+X103+X86</f>
        <v/>
      </c>
      <c r="Y104" s="36">
        <f>Y102+Y103+Y86</f>
        <v/>
      </c>
      <c r="Z104" s="36">
        <f>Z102+Z103+Z86</f>
        <v/>
      </c>
    </row>
    <row r="105">
      <c r="B105" s="5" t="inlineStr">
        <is>
          <t>תזרים מהוון — תרחיש B</t>
        </is>
      </c>
      <c r="C105" s="9" t="inlineStr">
        <is>
          <t>₪</t>
        </is>
      </c>
      <c r="D105" s="9" t="inlineStr">
        <is>
          <t>חישוב</t>
        </is>
      </c>
      <c r="F105" s="36">
        <f>F104</f>
        <v/>
      </c>
      <c r="G105" s="36">
        <f>G104/(1+'נתונים והנחות'!$F$11)^1</f>
        <v/>
      </c>
      <c r="H105" s="36">
        <f>H104/(1+'נתונים והנחות'!$F$11)^2</f>
        <v/>
      </c>
      <c r="I105" s="36">
        <f>I104/(1+'נתונים והנחות'!$F$11)^3</f>
        <v/>
      </c>
      <c r="J105" s="36">
        <f>J104/(1+'נתונים והנחות'!$F$11)^4</f>
        <v/>
      </c>
      <c r="K105" s="36">
        <f>K104/(1+'נתונים והנחות'!$F$11)^5</f>
        <v/>
      </c>
      <c r="L105" s="36">
        <f>L104/(1+'נתונים והנחות'!$F$11)^6</f>
        <v/>
      </c>
      <c r="M105" s="36">
        <f>M104/(1+'נתונים והנחות'!$F$11)^7</f>
        <v/>
      </c>
      <c r="N105" s="36">
        <f>N104/(1+'נתונים והנחות'!$F$11)^8</f>
        <v/>
      </c>
      <c r="O105" s="36">
        <f>O104/(1+'נתונים והנחות'!$F$11)^9</f>
        <v/>
      </c>
      <c r="P105" s="36">
        <f>P104/(1+'נתונים והנחות'!$F$11)^10</f>
        <v/>
      </c>
      <c r="Q105" s="36">
        <f>Q104/(1+'נתונים והנחות'!$F$11)^11</f>
        <v/>
      </c>
      <c r="R105" s="36">
        <f>R104/(1+'נתונים והנחות'!$F$11)^12</f>
        <v/>
      </c>
      <c r="S105" s="36">
        <f>S104/(1+'נתונים והנחות'!$F$11)^13</f>
        <v/>
      </c>
      <c r="T105" s="36">
        <f>T104/(1+'נתונים והנחות'!$F$11)^14</f>
        <v/>
      </c>
      <c r="U105" s="36">
        <f>U104/(1+'נתונים והנחות'!$F$11)^15</f>
        <v/>
      </c>
      <c r="V105" s="36">
        <f>V104/(1+'נתונים והנחות'!$F$11)^16</f>
        <v/>
      </c>
      <c r="W105" s="36">
        <f>W104/(1+'נתונים והנחות'!$F$11)^17</f>
        <v/>
      </c>
      <c r="X105" s="36">
        <f>X104/(1+'נתונים והנחות'!$F$11)^18</f>
        <v/>
      </c>
      <c r="Y105" s="36">
        <f>Y104/(1+'נתונים והנחות'!$F$11)^19</f>
        <v/>
      </c>
      <c r="Z105" s="36">
        <f>Z104/(1+'נתונים והנחות'!$F$11)^20</f>
        <v/>
      </c>
    </row>
    <row r="106">
      <c r="B106" s="5" t="inlineStr">
        <is>
          <t>NPV מצטבר — תרחיש B</t>
        </is>
      </c>
      <c r="C106" s="9" t="inlineStr">
        <is>
          <t>₪</t>
        </is>
      </c>
      <c r="D106" s="9" t="inlineStr">
        <is>
          <t>חישוב</t>
        </is>
      </c>
      <c r="F106" s="36">
        <f>F105</f>
        <v/>
      </c>
      <c r="G106" s="36">
        <f>F106+G105</f>
        <v/>
      </c>
      <c r="H106" s="36">
        <f>G106+H105</f>
        <v/>
      </c>
      <c r="I106" s="36">
        <f>H106+I105</f>
        <v/>
      </c>
      <c r="J106" s="36">
        <f>I106+J105</f>
        <v/>
      </c>
      <c r="K106" s="36">
        <f>J106+K105</f>
        <v/>
      </c>
      <c r="L106" s="36">
        <f>K106+L105</f>
        <v/>
      </c>
      <c r="M106" s="36">
        <f>L106+M105</f>
        <v/>
      </c>
      <c r="N106" s="36">
        <f>M106+N105</f>
        <v/>
      </c>
      <c r="O106" s="36">
        <f>N106+O105</f>
        <v/>
      </c>
      <c r="P106" s="36">
        <f>O106+P105</f>
        <v/>
      </c>
      <c r="Q106" s="36">
        <f>P106+Q105</f>
        <v/>
      </c>
      <c r="R106" s="36">
        <f>Q106+R105</f>
        <v/>
      </c>
      <c r="S106" s="36">
        <f>R106+S105</f>
        <v/>
      </c>
      <c r="T106" s="36">
        <f>S106+T105</f>
        <v/>
      </c>
      <c r="U106" s="36">
        <f>T106+U105</f>
        <v/>
      </c>
      <c r="V106" s="36">
        <f>U106+V105</f>
        <v/>
      </c>
      <c r="W106" s="36">
        <f>V106+W105</f>
        <v/>
      </c>
      <c r="X106" s="36">
        <f>W106+X105</f>
        <v/>
      </c>
      <c r="Y106" s="36">
        <f>X106+Y105</f>
        <v/>
      </c>
      <c r="Z106" s="36">
        <f>Y106+Z105</f>
        <v/>
      </c>
    </row>
    <row r="108">
      <c r="B108" s="40" t="inlineStr">
        <is>
          <t>תרחיש C — רכישת צ'ילרים | פחת מואץ (עם תמריץ)</t>
        </is>
      </c>
    </row>
    <row r="109">
      <c r="B109" s="32" t="inlineStr">
        <is>
          <t>* OPEX זהה לתרחיש B — ההבדל הוא מגן המס המואץ בלבד</t>
        </is>
      </c>
    </row>
    <row r="110">
      <c r="B110" s="6" t="inlineStr">
        <is>
          <t>תזרים נקי — תרחיש C</t>
        </is>
      </c>
      <c r="C110" s="9" t="inlineStr">
        <is>
          <t>₪</t>
        </is>
      </c>
      <c r="D110" s="9" t="inlineStr">
        <is>
          <t>חישוב</t>
        </is>
      </c>
      <c r="F110" s="37">
        <f>F101</f>
        <v/>
      </c>
      <c r="G110" s="37">
        <f>G102+G103+G88</f>
        <v/>
      </c>
      <c r="H110" s="37">
        <f>H102+H103+H88</f>
        <v/>
      </c>
      <c r="I110" s="37">
        <f>I102+I103+I88</f>
        <v/>
      </c>
      <c r="J110" s="37">
        <f>J102+J103+J88</f>
        <v/>
      </c>
      <c r="K110" s="37">
        <f>K102+K103+K88</f>
        <v/>
      </c>
      <c r="L110" s="37">
        <f>L102+L103+L88</f>
        <v/>
      </c>
      <c r="M110" s="37">
        <f>M102+M103+M88</f>
        <v/>
      </c>
      <c r="N110" s="37">
        <f>N102+N103+N88</f>
        <v/>
      </c>
      <c r="O110" s="37">
        <f>O102+O103+O88</f>
        <v/>
      </c>
      <c r="P110" s="37">
        <f>P102+P103+P88</f>
        <v/>
      </c>
      <c r="Q110" s="37">
        <f>Q102+Q103+Q88</f>
        <v/>
      </c>
      <c r="R110" s="37">
        <f>R102+R103+R88</f>
        <v/>
      </c>
      <c r="S110" s="37">
        <f>S102+S103+S88</f>
        <v/>
      </c>
      <c r="T110" s="37">
        <f>T102+T103+T88</f>
        <v/>
      </c>
      <c r="U110" s="37">
        <f>U102+U103+U88</f>
        <v/>
      </c>
      <c r="V110" s="37">
        <f>V102+V103+V88</f>
        <v/>
      </c>
      <c r="W110" s="37">
        <f>W102+W103+W88</f>
        <v/>
      </c>
      <c r="X110" s="37">
        <f>X102+X103+X88</f>
        <v/>
      </c>
      <c r="Y110" s="37">
        <f>Y102+Y103+Y88</f>
        <v/>
      </c>
      <c r="Z110" s="37">
        <f>Z102+Z103+Z88</f>
        <v/>
      </c>
    </row>
    <row r="111">
      <c r="B111" s="6" t="inlineStr">
        <is>
          <t>תזרים מהוון — תרחיש C</t>
        </is>
      </c>
      <c r="C111" s="9" t="inlineStr">
        <is>
          <t>₪</t>
        </is>
      </c>
      <c r="D111" s="9" t="inlineStr">
        <is>
          <t>חישוב</t>
        </is>
      </c>
      <c r="F111" s="37">
        <f>F110</f>
        <v/>
      </c>
      <c r="G111" s="37">
        <f>G110/(1+'נתונים והנחות'!$F$11)^1</f>
        <v/>
      </c>
      <c r="H111" s="37">
        <f>H110/(1+'נתונים והנחות'!$F$11)^2</f>
        <v/>
      </c>
      <c r="I111" s="37">
        <f>I110/(1+'נתונים והנחות'!$F$11)^3</f>
        <v/>
      </c>
      <c r="J111" s="37">
        <f>J110/(1+'נתונים והנחות'!$F$11)^4</f>
        <v/>
      </c>
      <c r="K111" s="37">
        <f>K110/(1+'נתונים והנחות'!$F$11)^5</f>
        <v/>
      </c>
      <c r="L111" s="37">
        <f>L110/(1+'נתונים והנחות'!$F$11)^6</f>
        <v/>
      </c>
      <c r="M111" s="37">
        <f>M110/(1+'נתונים והנחות'!$F$11)^7</f>
        <v/>
      </c>
      <c r="N111" s="37">
        <f>N110/(1+'נתונים והנחות'!$F$11)^8</f>
        <v/>
      </c>
      <c r="O111" s="37">
        <f>O110/(1+'נתונים והנחות'!$F$11)^9</f>
        <v/>
      </c>
      <c r="P111" s="37">
        <f>P110/(1+'נתונים והנחות'!$F$11)^10</f>
        <v/>
      </c>
      <c r="Q111" s="37">
        <f>Q110/(1+'נתונים והנחות'!$F$11)^11</f>
        <v/>
      </c>
      <c r="R111" s="37">
        <f>R110/(1+'נתונים והנחות'!$F$11)^12</f>
        <v/>
      </c>
      <c r="S111" s="37">
        <f>S110/(1+'נתונים והנחות'!$F$11)^13</f>
        <v/>
      </c>
      <c r="T111" s="37">
        <f>T110/(1+'נתונים והנחות'!$F$11)^14</f>
        <v/>
      </c>
      <c r="U111" s="37">
        <f>U110/(1+'נתונים והנחות'!$F$11)^15</f>
        <v/>
      </c>
      <c r="V111" s="37">
        <f>V110/(1+'נתונים והנחות'!$F$11)^16</f>
        <v/>
      </c>
      <c r="W111" s="37">
        <f>W110/(1+'נתונים והנחות'!$F$11)^17</f>
        <v/>
      </c>
      <c r="X111" s="37">
        <f>X110/(1+'נתונים והנחות'!$F$11)^18</f>
        <v/>
      </c>
      <c r="Y111" s="37">
        <f>Y110/(1+'נתונים והנחות'!$F$11)^19</f>
        <v/>
      </c>
      <c r="Z111" s="37">
        <f>Z110/(1+'נתונים והנחות'!$F$11)^20</f>
        <v/>
      </c>
    </row>
    <row r="112">
      <c r="B112" s="6" t="inlineStr">
        <is>
          <t>NPV מצטבר — תרחיש C</t>
        </is>
      </c>
      <c r="C112" s="9" t="inlineStr">
        <is>
          <t>₪</t>
        </is>
      </c>
      <c r="D112" s="9" t="inlineStr">
        <is>
          <t>חישוב</t>
        </is>
      </c>
      <c r="F112" s="37">
        <f>F111</f>
        <v/>
      </c>
      <c r="G112" s="37">
        <f>F112+G111</f>
        <v/>
      </c>
      <c r="H112" s="37">
        <f>G112+H111</f>
        <v/>
      </c>
      <c r="I112" s="37">
        <f>H112+I111</f>
        <v/>
      </c>
      <c r="J112" s="37">
        <f>I112+J111</f>
        <v/>
      </c>
      <c r="K112" s="37">
        <f>J112+K111</f>
        <v/>
      </c>
      <c r="L112" s="37">
        <f>K112+L111</f>
        <v/>
      </c>
      <c r="M112" s="37">
        <f>L112+M111</f>
        <v/>
      </c>
      <c r="N112" s="37">
        <f>M112+N111</f>
        <v/>
      </c>
      <c r="O112" s="37">
        <f>N112+O111</f>
        <v/>
      </c>
      <c r="P112" s="37">
        <f>O112+P111</f>
        <v/>
      </c>
      <c r="Q112" s="37">
        <f>P112+Q111</f>
        <v/>
      </c>
      <c r="R112" s="37">
        <f>Q112+R111</f>
        <v/>
      </c>
      <c r="S112" s="37">
        <f>R112+S111</f>
        <v/>
      </c>
      <c r="T112" s="37">
        <f>S112+T111</f>
        <v/>
      </c>
      <c r="U112" s="37">
        <f>T112+U111</f>
        <v/>
      </c>
      <c r="V112" s="37">
        <f>U112+V111</f>
        <v/>
      </c>
      <c r="W112" s="37">
        <f>V112+W111</f>
        <v/>
      </c>
      <c r="X112" s="37">
        <f>W112+X111</f>
        <v/>
      </c>
      <c r="Y112" s="37">
        <f>X112+Y111</f>
        <v/>
      </c>
      <c r="Z112" s="37">
        <f>Y112+Z111</f>
        <v/>
      </c>
    </row>
    <row r="114">
      <c r="B114" s="34" t="inlineStr">
        <is>
          <t>ד. תוצאות</t>
        </is>
      </c>
    </row>
    <row r="115">
      <c r="B115" s="41" t="inlineStr">
        <is>
          <t>NPV — תרחיש A (מערכת קירור קונבנציונלית)</t>
        </is>
      </c>
      <c r="C115" s="9" t="inlineStr">
        <is>
          <t>ש"ח</t>
        </is>
      </c>
      <c r="F115" s="35">
        <f>SUM(F97:Z97)</f>
        <v/>
      </c>
    </row>
    <row r="116">
      <c r="B116" s="42" t="inlineStr">
        <is>
          <t>NPV — תרחיש B (צ'ילרים, ללא תמריץ)</t>
        </is>
      </c>
      <c r="C116" s="9" t="inlineStr">
        <is>
          <t>ש"ח</t>
        </is>
      </c>
      <c r="F116" s="36">
        <f>SUM(F105:Z105)</f>
        <v/>
      </c>
    </row>
    <row r="117">
      <c r="B117" s="43" t="inlineStr">
        <is>
          <t>NPV — תרחיש C (צ'ילרים, עם תמריץ)</t>
        </is>
      </c>
      <c r="C117" s="9" t="inlineStr">
        <is>
          <t>ש"ח</t>
        </is>
      </c>
      <c r="F117" s="37">
        <f>SUM(F111:Z111)</f>
        <v/>
      </c>
    </row>
    <row r="119">
      <c r="B119" s="44" t="inlineStr">
        <is>
          <t>NPV מצטבר — הצדקת השדרוג (B−A)</t>
        </is>
      </c>
      <c r="C119" s="9" t="inlineStr">
        <is>
          <t>ש"ח</t>
        </is>
      </c>
      <c r="F119" s="45">
        <f>F116-F115</f>
        <v/>
      </c>
    </row>
    <row r="120">
      <c r="B120" s="46" t="inlineStr">
        <is>
          <t>ערך התמריץ — תועלת הפחת המואץ (C−B)</t>
        </is>
      </c>
      <c r="C120" s="9" t="inlineStr">
        <is>
          <t>ש"ח</t>
        </is>
      </c>
      <c r="F120" s="47">
        <f>F117-F116</f>
        <v/>
      </c>
    </row>
    <row r="122">
      <c r="B122" s="41" t="inlineStr">
        <is>
          <t>ROI — תרחיש A</t>
        </is>
      </c>
      <c r="C122" s="9" t="inlineStr">
        <is>
          <t>%</t>
        </is>
      </c>
      <c r="F122" s="48">
        <f>IF(ISNUMBER('נתונים והנחות'!$G$30),(SUM(F97:Z97)+'נתונים והנחות'!$G$30)/'נתונים והנחות'!$G$30,"PENDING")</f>
        <v/>
      </c>
    </row>
    <row r="123">
      <c r="B123" s="42" t="inlineStr">
        <is>
          <t>ROI — תרחיש B</t>
        </is>
      </c>
      <c r="C123" s="9" t="inlineStr">
        <is>
          <t>%</t>
        </is>
      </c>
      <c r="F123" s="49">
        <f>IF(ISNUMBER('נתונים והנחות'!$G$31),(SUM(F105:Z105)+'נתונים והנחות'!$G$31)/'נתונים והנחות'!$G$31,"PENDING")</f>
        <v/>
      </c>
    </row>
    <row r="124">
      <c r="B124" s="43" t="inlineStr">
        <is>
          <t>ROI — תרחיש C</t>
        </is>
      </c>
      <c r="C124" s="9" t="inlineStr">
        <is>
          <t>%</t>
        </is>
      </c>
      <c r="F124" s="50">
        <f>IF(ISNUMBER('נתונים והנחות'!$G$31),(SUM(F111:Z111)+'נתונים והנחות'!$G$31)/'נתונים והנחות'!$G$31,"PENDING")</f>
        <v/>
      </c>
    </row>
    <row r="126">
      <c r="B126" s="44" t="inlineStr">
        <is>
          <t>תקופת החזר ΔCapEx ללא תמריץ (B−A)</t>
        </is>
      </c>
      <c r="C126" s="9" t="inlineStr">
        <is>
          <t>שנים</t>
        </is>
      </c>
      <c r="E126" s="32" t="inlineStr">
        <is>
          <t>זמן להחזר ההשקעה הנוספת | מחושב על ΔCF = CF_B − CF_A</t>
        </is>
      </c>
      <c r="F126" s="51">
        <f>IFERROR(MATCH(1,(F132:Z132&gt;0)*1,0)-2+ABS(INDEX(F132:Z132,MATCH(1,(F132:Z132&gt;0)*1,0)-1))/(INDEX(F132:Z132,MATCH(1,(F132:Z132&gt;0)*1,0))-INDEX(F132:Z132,MATCH(1,(F132:Z132&gt;0)*1,0)-1)),"לא מגיע לפירעון")</f>
        <v/>
      </c>
    </row>
    <row r="127">
      <c r="B127" s="52" t="inlineStr">
        <is>
          <t>תקופת החזר ΔCapEx עם תמריץ (C−A)</t>
        </is>
      </c>
      <c r="C127" s="53" t="inlineStr">
        <is>
          <t>שנים</t>
        </is>
      </c>
      <c r="E127" s="32" t="inlineStr">
        <is>
          <t>כולל יתרון מגן המס המואץ | מחושב על ΔCF = CF_C − CF_A</t>
        </is>
      </c>
      <c r="F127" s="54">
        <f>IFERROR(MATCH(1,(F133:Z133&gt;0)*1,0)-2+ABS(INDEX(F133:Z133,MATCH(1,(F133:Z133&gt;0)*1,0)-1))/(INDEX(F133:Z133,MATCH(1,(F133:Z133&gt;0)*1,0))-INDEX(F133:Z133,MATCH(1,(F133:Z133&gt;0)*1,0)-1)),"לא מגיע לפירעון")</f>
        <v/>
      </c>
    </row>
    <row r="130">
      <c r="B130" s="34" t="inlineStr">
        <is>
          <t>NPV מצטבר — מנקודת מבט ΔCapEx (לחישוב תקופת החזר על השקעה נוספת)</t>
        </is>
      </c>
    </row>
    <row r="131">
      <c r="B131" s="20" t="inlineStr">
        <is>
          <t>פרמטר</t>
        </is>
      </c>
      <c r="C131" s="20" t="inlineStr">
        <is>
          <t>יחידות</t>
        </is>
      </c>
      <c r="D131" s="20" t="inlineStr">
        <is>
          <t>מקור</t>
        </is>
      </c>
      <c r="E131" s="20" t="inlineStr">
        <is>
          <t>הערות</t>
        </is>
      </c>
      <c r="F131" s="20" t="inlineStr">
        <is>
          <t>שנה 0</t>
        </is>
      </c>
      <c r="G131" s="20" t="inlineStr">
        <is>
          <t>שנה 1</t>
        </is>
      </c>
      <c r="H131" s="20" t="inlineStr">
        <is>
          <t>שנה 2</t>
        </is>
      </c>
      <c r="I131" s="20" t="inlineStr">
        <is>
          <t>שנה 3</t>
        </is>
      </c>
      <c r="J131" s="20" t="inlineStr">
        <is>
          <t>שנה 4</t>
        </is>
      </c>
      <c r="K131" s="20" t="inlineStr">
        <is>
          <t>שנה 5</t>
        </is>
      </c>
      <c r="L131" s="20" t="inlineStr">
        <is>
          <t>שנה 6</t>
        </is>
      </c>
      <c r="M131" s="20" t="inlineStr">
        <is>
          <t>שנה 7</t>
        </is>
      </c>
      <c r="N131" s="20" t="inlineStr">
        <is>
          <t>שנה 8</t>
        </is>
      </c>
      <c r="O131" s="20" t="inlineStr">
        <is>
          <t>שנה 9</t>
        </is>
      </c>
      <c r="P131" s="20" t="inlineStr">
        <is>
          <t>שנה 10</t>
        </is>
      </c>
      <c r="Q131" s="20" t="inlineStr">
        <is>
          <t>שנה 11</t>
        </is>
      </c>
      <c r="R131" s="20" t="inlineStr">
        <is>
          <t>שנה 12</t>
        </is>
      </c>
      <c r="S131" s="20" t="inlineStr">
        <is>
          <t>שנה 13</t>
        </is>
      </c>
      <c r="T131" s="20" t="inlineStr">
        <is>
          <t>שנה 14</t>
        </is>
      </c>
      <c r="U131" s="20" t="inlineStr">
        <is>
          <t>שנה 15</t>
        </is>
      </c>
      <c r="V131" s="20" t="inlineStr">
        <is>
          <t>שנה 16</t>
        </is>
      </c>
      <c r="W131" s="20" t="inlineStr">
        <is>
          <t>שנה 17</t>
        </is>
      </c>
      <c r="X131" s="20" t="inlineStr">
        <is>
          <t>שנה 18</t>
        </is>
      </c>
      <c r="Y131" s="20" t="inlineStr">
        <is>
          <t>שנה 19</t>
        </is>
      </c>
      <c r="Z131" s="20" t="inlineStr">
        <is>
          <t>שנה 20</t>
        </is>
      </c>
    </row>
    <row r="132">
      <c r="B132" s="2" t="inlineStr">
        <is>
          <t>NPV מצטבר ΔCF — שדרוג ללא תמריץ (B−A)</t>
        </is>
      </c>
      <c r="C132" s="9" t="inlineStr">
        <is>
          <t>₪</t>
        </is>
      </c>
      <c r="D132" s="9" t="inlineStr">
        <is>
          <t>חישוב</t>
        </is>
      </c>
      <c r="F132" s="45">
        <f>IF(ISNUMBER('נתונים והנחות'!$G$32),-'נתונים והנחות'!$G$32,"PENDING")</f>
        <v/>
      </c>
      <c r="G132" s="45">
        <f>F132+(G105-G97)</f>
        <v/>
      </c>
      <c r="H132" s="45">
        <f>G132+(H105-H97)</f>
        <v/>
      </c>
      <c r="I132" s="45">
        <f>H132+(I105-I97)</f>
        <v/>
      </c>
      <c r="J132" s="45">
        <f>I132+(J105-J97)</f>
        <v/>
      </c>
      <c r="K132" s="45">
        <f>J132+(K105-K97)</f>
        <v/>
      </c>
      <c r="L132" s="45">
        <f>K132+(L105-L97)</f>
        <v/>
      </c>
      <c r="M132" s="45">
        <f>L132+(M105-M97)</f>
        <v/>
      </c>
      <c r="N132" s="45">
        <f>M132+(N105-N97)</f>
        <v/>
      </c>
      <c r="O132" s="45">
        <f>N132+(O105-O97)</f>
        <v/>
      </c>
      <c r="P132" s="45">
        <f>O132+(P105-P97)</f>
        <v/>
      </c>
      <c r="Q132" s="45">
        <f>P132+(Q105-Q97)</f>
        <v/>
      </c>
      <c r="R132" s="45">
        <f>Q132+(R105-R97)</f>
        <v/>
      </c>
      <c r="S132" s="45">
        <f>R132+(S105-S97)</f>
        <v/>
      </c>
      <c r="T132" s="45">
        <f>S132+(T105-T97)</f>
        <v/>
      </c>
      <c r="U132" s="45">
        <f>T132+(U105-U97)</f>
        <v/>
      </c>
      <c r="V132" s="45">
        <f>U132+(V105-V97)</f>
        <v/>
      </c>
      <c r="W132" s="45">
        <f>V132+(W105-W97)</f>
        <v/>
      </c>
      <c r="X132" s="45">
        <f>W132+(X105-X97)</f>
        <v/>
      </c>
      <c r="Y132" s="45">
        <f>X132+(Y105-Y97)</f>
        <v/>
      </c>
      <c r="Z132" s="45">
        <f>Y132+(Z105-Z97)</f>
        <v/>
      </c>
    </row>
    <row r="133">
      <c r="B133" s="7" t="inlineStr">
        <is>
          <t>NPV מצטבר ΔCF — שדרוג עם תמריץ (C−A)</t>
        </is>
      </c>
      <c r="C133" s="9" t="inlineStr">
        <is>
          <t>₪</t>
        </is>
      </c>
      <c r="D133" s="9" t="inlineStr">
        <is>
          <t>חישוב</t>
        </is>
      </c>
      <c r="F133" s="47">
        <f>IF(ISNUMBER('נתונים והנחות'!$G$32),-'נתונים והנחות'!$G$32,"PENDING")</f>
        <v/>
      </c>
      <c r="G133" s="47">
        <f>F133+(G111-G97)</f>
        <v/>
      </c>
      <c r="H133" s="47">
        <f>G133+(H111-H97)</f>
        <v/>
      </c>
      <c r="I133" s="47">
        <f>H133+(I111-I97)</f>
        <v/>
      </c>
      <c r="J133" s="47">
        <f>I133+(J111-J97)</f>
        <v/>
      </c>
      <c r="K133" s="47">
        <f>J133+(K111-K97)</f>
        <v/>
      </c>
      <c r="L133" s="47">
        <f>K133+(L111-L97)</f>
        <v/>
      </c>
      <c r="M133" s="47">
        <f>L133+(M111-M97)</f>
        <v/>
      </c>
      <c r="N133" s="47">
        <f>M133+(N111-N97)</f>
        <v/>
      </c>
      <c r="O133" s="47">
        <f>N133+(O111-O97)</f>
        <v/>
      </c>
      <c r="P133" s="47">
        <f>O133+(P111-P97)</f>
        <v/>
      </c>
      <c r="Q133" s="47">
        <f>P133+(Q111-Q97)</f>
        <v/>
      </c>
      <c r="R133" s="47">
        <f>Q133+(R111-R97)</f>
        <v/>
      </c>
      <c r="S133" s="47">
        <f>R133+(S111-S97)</f>
        <v/>
      </c>
      <c r="T133" s="47">
        <f>S133+(T111-T97)</f>
        <v/>
      </c>
      <c r="U133" s="47">
        <f>T133+(U111-U97)</f>
        <v/>
      </c>
      <c r="V133" s="47">
        <f>U133+(V111-V97)</f>
        <v/>
      </c>
      <c r="W133" s="47">
        <f>V133+(W111-W97)</f>
        <v/>
      </c>
      <c r="X133" s="47">
        <f>W133+(X111-X97)</f>
        <v/>
      </c>
      <c r="Y133" s="47">
        <f>X133+(Y111-Y97)</f>
        <v/>
      </c>
      <c r="Z133" s="47">
        <f>Y133+(Z111-Z97)</f>
        <v/>
      </c>
    </row>
    <row r="137">
      <c r="B137" s="33" t="inlineStr">
        <is>
          <t>3.3  מדחסי VSD</t>
        </is>
      </c>
    </row>
    <row r="138">
      <c r="B138" s="32" t="inlineStr">
        <is>
          <t>* מדחסי אוויר עם בקרת מהירות משתנה | חיסכון ~20% | אורך חיים: 12 שנה | כל הנתונים: גיליון 'נתונים והנחות' — סעיף 4</t>
        </is>
      </c>
    </row>
    <row r="139">
      <c r="B139" s="34" t="inlineStr">
        <is>
          <t>ב. לוחות פחת (ציוד בסיסי vs. יעיל)</t>
        </is>
      </c>
    </row>
    <row r="140">
      <c r="B140" s="20" t="inlineStr">
        <is>
          <t>פרמטר</t>
        </is>
      </c>
      <c r="C140" s="20" t="inlineStr">
        <is>
          <t>יחידות</t>
        </is>
      </c>
      <c r="D140" s="20" t="inlineStr">
        <is>
          <t>מקור</t>
        </is>
      </c>
      <c r="E140" s="20" t="inlineStr">
        <is>
          <t>הערות</t>
        </is>
      </c>
      <c r="F140" s="20" t="inlineStr">
        <is>
          <t>שנה 0 (השקעה)</t>
        </is>
      </c>
      <c r="G140" s="20" t="inlineStr">
        <is>
          <t>שנה 1</t>
        </is>
      </c>
      <c r="H140" s="20" t="inlineStr">
        <is>
          <t>שנה 2</t>
        </is>
      </c>
      <c r="I140" s="20" t="inlineStr">
        <is>
          <t>שנה 3</t>
        </is>
      </c>
      <c r="J140" s="20" t="inlineStr">
        <is>
          <t>שנה 4</t>
        </is>
      </c>
      <c r="K140" s="20" t="inlineStr">
        <is>
          <t>שנה 5</t>
        </is>
      </c>
      <c r="L140" s="20" t="inlineStr">
        <is>
          <t>שנה 6</t>
        </is>
      </c>
      <c r="M140" s="20" t="inlineStr">
        <is>
          <t>שנה 7</t>
        </is>
      </c>
      <c r="N140" s="20" t="inlineStr">
        <is>
          <t>שנה 8</t>
        </is>
      </c>
      <c r="O140" s="20" t="inlineStr">
        <is>
          <t>שנה 9</t>
        </is>
      </c>
      <c r="P140" s="20" t="inlineStr">
        <is>
          <t>שנה 10</t>
        </is>
      </c>
      <c r="Q140" s="20" t="inlineStr">
        <is>
          <t>שנה 11</t>
        </is>
      </c>
      <c r="R140" s="20" t="inlineStr">
        <is>
          <t>שנה 12</t>
        </is>
      </c>
      <c r="S140" s="20" t="inlineStr">
        <is>
          <t>שנה 13</t>
        </is>
      </c>
      <c r="T140" s="20" t="inlineStr">
        <is>
          <t>שנה 14</t>
        </is>
      </c>
      <c r="U140" s="20" t="inlineStr">
        <is>
          <t>שנה 15</t>
        </is>
      </c>
      <c r="V140" s="20" t="inlineStr">
        <is>
          <t>שנה 16</t>
        </is>
      </c>
      <c r="W140" s="20" t="inlineStr">
        <is>
          <t>שנה 17</t>
        </is>
      </c>
      <c r="X140" s="20" t="inlineStr">
        <is>
          <t>שנה 18</t>
        </is>
      </c>
      <c r="Y140" s="20" t="inlineStr">
        <is>
          <t>שנה 19</t>
        </is>
      </c>
      <c r="Z140" s="20" t="inlineStr">
        <is>
          <t>שנה 20</t>
        </is>
      </c>
    </row>
    <row r="141">
      <c r="B141" s="4" t="inlineStr">
        <is>
          <t>פחת סטנדרטי — מדחס מהירות קבועה</t>
        </is>
      </c>
      <c r="C141" s="9" t="inlineStr">
        <is>
          <t>₪</t>
        </is>
      </c>
      <c r="D141" s="9" t="inlineStr">
        <is>
          <t>חישוב</t>
        </is>
      </c>
      <c r="E141" s="9" t="inlineStr">
        <is>
          <t>קו ישר | 10%/שנה | עד 10 שנים | CapEx בסיסי</t>
        </is>
      </c>
      <c r="F141" s="35" t="n">
        <v>0</v>
      </c>
      <c r="G141" s="35">
        <f>IF(ISNUMBER('נתונים והנחות'!$H$30),'נתונים והנחות'!$H$30*0.1,0)</f>
        <v/>
      </c>
      <c r="H141" s="35">
        <f>IF(ISNUMBER('נתונים והנחות'!$H$30),'נתונים והנחות'!$H$30*0.1,0)</f>
        <v/>
      </c>
      <c r="I141" s="35">
        <f>IF(ISNUMBER('נתונים והנחות'!$H$30),'נתונים והנחות'!$H$30*0.1,0)</f>
        <v/>
      </c>
      <c r="J141" s="35">
        <f>IF(ISNUMBER('נתונים והנחות'!$H$30),'נתונים והנחות'!$H$30*0.1,0)</f>
        <v/>
      </c>
      <c r="K141" s="35">
        <f>IF(ISNUMBER('נתונים והנחות'!$H$30),'נתונים והנחות'!$H$30*0.1,0)</f>
        <v/>
      </c>
      <c r="L141" s="35">
        <f>IF(ISNUMBER('נתונים והנחות'!$H$30),'נתונים והנחות'!$H$30*0.1,0)</f>
        <v/>
      </c>
      <c r="M141" s="35">
        <f>IF(ISNUMBER('נתונים והנחות'!$H$30),'נתונים והנחות'!$H$30*0.1,0)</f>
        <v/>
      </c>
      <c r="N141" s="35">
        <f>IF(ISNUMBER('נתונים והנחות'!$H$30),'נתונים והנחות'!$H$30*0.1,0)</f>
        <v/>
      </c>
      <c r="O141" s="35">
        <f>IF(ISNUMBER('נתונים והנחות'!$H$30),'נתונים והנחות'!$H$30*0.1,0)</f>
        <v/>
      </c>
      <c r="P141" s="35">
        <f>IF(ISNUMBER('נתונים והנחות'!$H$30),'נתונים והנחות'!$H$30*0.1,0)</f>
        <v/>
      </c>
      <c r="Q141" s="35">
        <f>0</f>
        <v/>
      </c>
      <c r="R141" s="35">
        <f>0</f>
        <v/>
      </c>
      <c r="S141" s="35">
        <f>0</f>
        <v/>
      </c>
      <c r="T141" s="35">
        <f>0</f>
        <v/>
      </c>
      <c r="U141" s="35">
        <f>0</f>
        <v/>
      </c>
      <c r="V141" s="35">
        <f>0</f>
        <v/>
      </c>
      <c r="W141" s="35">
        <f>0</f>
        <v/>
      </c>
      <c r="X141" s="35">
        <f>0</f>
        <v/>
      </c>
      <c r="Y141" s="35">
        <f>0</f>
        <v/>
      </c>
      <c r="Z141" s="35">
        <f>0</f>
        <v/>
      </c>
    </row>
    <row r="142">
      <c r="B142" s="4" t="inlineStr">
        <is>
          <t>מגן מס — מדחס מהירות קבועה</t>
        </is>
      </c>
      <c r="C142" s="9" t="inlineStr">
        <is>
          <t>₪</t>
        </is>
      </c>
      <c r="D142" s="9" t="inlineStr">
        <is>
          <t>חישוב</t>
        </is>
      </c>
      <c r="E142" s="9">
        <f> פחת × שיעור מס</f>
        <v/>
      </c>
      <c r="F142" s="35" t="n">
        <v>0</v>
      </c>
      <c r="G142" s="35">
        <f>G141*'נתונים והנחות'!$F$10</f>
        <v/>
      </c>
      <c r="H142" s="35">
        <f>H141*'נתונים והנחות'!$F$10</f>
        <v/>
      </c>
      <c r="I142" s="35">
        <f>I141*'נתונים והנחות'!$F$10</f>
        <v/>
      </c>
      <c r="J142" s="35">
        <f>J141*'נתונים והנחות'!$F$10</f>
        <v/>
      </c>
      <c r="K142" s="35">
        <f>K141*'נתונים והנחות'!$F$10</f>
        <v/>
      </c>
      <c r="L142" s="35">
        <f>L141*'נתונים והנחות'!$F$10</f>
        <v/>
      </c>
      <c r="M142" s="35">
        <f>M141*'נתונים והנחות'!$F$10</f>
        <v/>
      </c>
      <c r="N142" s="35">
        <f>N141*'נתונים והנחות'!$F$10</f>
        <v/>
      </c>
      <c r="O142" s="35">
        <f>O141*'נתונים והנחות'!$F$10</f>
        <v/>
      </c>
      <c r="P142" s="35">
        <f>P141*'נתונים והנחות'!$F$10</f>
        <v/>
      </c>
      <c r="Q142" s="35">
        <f>Q141*'נתונים והנחות'!$F$10</f>
        <v/>
      </c>
      <c r="R142" s="35">
        <f>R141*'נתונים והנחות'!$F$10</f>
        <v/>
      </c>
      <c r="S142" s="35">
        <f>S141*'נתונים והנחות'!$F$10</f>
        <v/>
      </c>
      <c r="T142" s="35">
        <f>T141*'נתונים והנחות'!$F$10</f>
        <v/>
      </c>
      <c r="U142" s="35">
        <f>U141*'נתונים והנחות'!$F$10</f>
        <v/>
      </c>
      <c r="V142" s="35">
        <f>V141*'נתונים והנחות'!$F$10</f>
        <v/>
      </c>
      <c r="W142" s="35">
        <f>W141*'נתונים והנחות'!$F$10</f>
        <v/>
      </c>
      <c r="X142" s="35">
        <f>X141*'נתונים והנחות'!$F$10</f>
        <v/>
      </c>
      <c r="Y142" s="35">
        <f>Y141*'נתונים והנחות'!$F$10</f>
        <v/>
      </c>
      <c r="Z142" s="35">
        <f>Z141*'נתונים והנחות'!$F$10</f>
        <v/>
      </c>
    </row>
    <row r="143">
      <c r="B143" s="5" t="inlineStr">
        <is>
          <t>פחת סטנדרטי — מדחסי VSD</t>
        </is>
      </c>
      <c r="C143" s="9" t="inlineStr">
        <is>
          <t>₪</t>
        </is>
      </c>
      <c r="D143" s="9" t="inlineStr">
        <is>
          <t>חישוב</t>
        </is>
      </c>
      <c r="E143" s="9" t="inlineStr">
        <is>
          <t>קו ישר | 10%/שנה | עד 10 שנים | CapEx יעיל</t>
        </is>
      </c>
      <c r="F143" s="36" t="n">
        <v>0</v>
      </c>
      <c r="G143" s="36">
        <f>IF(ISNUMBER('נתונים והנחות'!$H$31),'נתונים והנחות'!$H$31*0.1,0)</f>
        <v/>
      </c>
      <c r="H143" s="36">
        <f>IF(ISNUMBER('נתונים והנחות'!$H$31),'נתונים והנחות'!$H$31*0.1,0)</f>
        <v/>
      </c>
      <c r="I143" s="36">
        <f>IF(ISNUMBER('נתונים והנחות'!$H$31),'נתונים והנחות'!$H$31*0.1,0)</f>
        <v/>
      </c>
      <c r="J143" s="36">
        <f>IF(ISNUMBER('נתונים והנחות'!$H$31),'נתונים והנחות'!$H$31*0.1,0)</f>
        <v/>
      </c>
      <c r="K143" s="36">
        <f>IF(ISNUMBER('נתונים והנחות'!$H$31),'נתונים והנחות'!$H$31*0.1,0)</f>
        <v/>
      </c>
      <c r="L143" s="36">
        <f>IF(ISNUMBER('נתונים והנחות'!$H$31),'נתונים והנחות'!$H$31*0.1,0)</f>
        <v/>
      </c>
      <c r="M143" s="36">
        <f>IF(ISNUMBER('נתונים והנחות'!$H$31),'נתונים והנחות'!$H$31*0.1,0)</f>
        <v/>
      </c>
      <c r="N143" s="36">
        <f>IF(ISNUMBER('נתונים והנחות'!$H$31),'נתונים והנחות'!$H$31*0.1,0)</f>
        <v/>
      </c>
      <c r="O143" s="36">
        <f>IF(ISNUMBER('נתונים והנחות'!$H$31),'נתונים והנחות'!$H$31*0.1,0)</f>
        <v/>
      </c>
      <c r="P143" s="36">
        <f>IF(ISNUMBER('נתונים והנחות'!$H$31),'נתונים והנחות'!$H$31*0.1,0)</f>
        <v/>
      </c>
      <c r="Q143" s="36">
        <f>0</f>
        <v/>
      </c>
      <c r="R143" s="36">
        <f>0</f>
        <v/>
      </c>
      <c r="S143" s="36">
        <f>0</f>
        <v/>
      </c>
      <c r="T143" s="36">
        <f>0</f>
        <v/>
      </c>
      <c r="U143" s="36">
        <f>0</f>
        <v/>
      </c>
      <c r="V143" s="36">
        <f>0</f>
        <v/>
      </c>
      <c r="W143" s="36">
        <f>0</f>
        <v/>
      </c>
      <c r="X143" s="36">
        <f>0</f>
        <v/>
      </c>
      <c r="Y143" s="36">
        <f>0</f>
        <v/>
      </c>
      <c r="Z143" s="36">
        <f>0</f>
        <v/>
      </c>
    </row>
    <row r="144">
      <c r="B144" s="5" t="inlineStr">
        <is>
          <t>מגן מס סטנדרטי — מדחסי VSD</t>
        </is>
      </c>
      <c r="C144" s="9" t="inlineStr">
        <is>
          <t>₪</t>
        </is>
      </c>
      <c r="D144" s="9" t="inlineStr">
        <is>
          <t>חישוב</t>
        </is>
      </c>
      <c r="E144" s="9">
        <f> פחת × שיעור מס</f>
        <v/>
      </c>
      <c r="F144" s="36" t="n">
        <v>0</v>
      </c>
      <c r="G144" s="36">
        <f>G143*'נתונים והנחות'!$F$10</f>
        <v/>
      </c>
      <c r="H144" s="36">
        <f>H143*'נתונים והנחות'!$F$10</f>
        <v/>
      </c>
      <c r="I144" s="36">
        <f>I143*'נתונים והנחות'!$F$10</f>
        <v/>
      </c>
      <c r="J144" s="36">
        <f>J143*'נתונים והנחות'!$F$10</f>
        <v/>
      </c>
      <c r="K144" s="36">
        <f>K143*'נתונים והנחות'!$F$10</f>
        <v/>
      </c>
      <c r="L144" s="36">
        <f>L143*'נתונים והנחות'!$F$10</f>
        <v/>
      </c>
      <c r="M144" s="36">
        <f>M143*'נתונים והנחות'!$F$10</f>
        <v/>
      </c>
      <c r="N144" s="36">
        <f>N143*'נתונים והנחות'!$F$10</f>
        <v/>
      </c>
      <c r="O144" s="36">
        <f>O143*'נתונים והנחות'!$F$10</f>
        <v/>
      </c>
      <c r="P144" s="36">
        <f>P143*'נתונים והנחות'!$F$10</f>
        <v/>
      </c>
      <c r="Q144" s="36">
        <f>Q143*'נתונים והנחות'!$F$10</f>
        <v/>
      </c>
      <c r="R144" s="36">
        <f>R143*'נתונים והנחות'!$F$10</f>
        <v/>
      </c>
      <c r="S144" s="36">
        <f>S143*'נתונים והנחות'!$F$10</f>
        <v/>
      </c>
      <c r="T144" s="36">
        <f>T143*'נתונים והנחות'!$F$10</f>
        <v/>
      </c>
      <c r="U144" s="36">
        <f>U143*'נתונים והנחות'!$F$10</f>
        <v/>
      </c>
      <c r="V144" s="36">
        <f>V143*'נתונים והנחות'!$F$10</f>
        <v/>
      </c>
      <c r="W144" s="36">
        <f>W143*'נתונים והנחות'!$F$10</f>
        <v/>
      </c>
      <c r="X144" s="36">
        <f>X143*'נתונים והנחות'!$F$10</f>
        <v/>
      </c>
      <c r="Y144" s="36">
        <f>Y143*'נתונים והנחות'!$F$10</f>
        <v/>
      </c>
      <c r="Z144" s="36">
        <f>Z143*'נתונים והנחות'!$F$10</f>
        <v/>
      </c>
    </row>
    <row r="145">
      <c r="B145" s="6" t="inlineStr">
        <is>
          <t>פחת מואץ — מדחסי VSD</t>
        </is>
      </c>
      <c r="C145" s="9" t="inlineStr">
        <is>
          <t>₪</t>
        </is>
      </c>
      <c r="D145" s="9" t="inlineStr">
        <is>
          <t>חישוב</t>
        </is>
      </c>
      <c r="E145" s="9">
        <f> CapEx יעיל × (פחת סטנדרטי × מכפיל) | תקופה = 1 ÷ שיעור מואץ</f>
        <v/>
      </c>
      <c r="F145" s="37" t="n">
        <v>0</v>
      </c>
      <c r="G145" s="37">
        <f>IF(ISNUMBER('נתונים והנחות'!$H$31),IF(1&lt;=ROUND(1/(0.1*'נתונים והנחות'!$F$15),0),'נתונים והנחות'!$H$31*0.1*'נתונים והנחות'!$F$15,0),0)</f>
        <v/>
      </c>
      <c r="H145" s="37">
        <f>IF(ISNUMBER('נתונים והנחות'!$H$31),IF(2&lt;=ROUND(1/(0.1*'נתונים והנחות'!$F$15),0),'נתונים והנחות'!$H$31*0.1*'נתונים והנחות'!$F$15,0),0)</f>
        <v/>
      </c>
      <c r="I145" s="37">
        <f>IF(ISNUMBER('נתונים והנחות'!$H$31),IF(3&lt;=ROUND(1/(0.1*'נתונים והנחות'!$F$15),0),'נתונים והנחות'!$H$31*0.1*'נתונים והנחות'!$F$15,0),0)</f>
        <v/>
      </c>
      <c r="J145" s="37">
        <f>IF(ISNUMBER('נתונים והנחות'!$H$31),IF(4&lt;=ROUND(1/(0.1*'נתונים והנחות'!$F$15),0),'נתונים והנחות'!$H$31*0.1*'נתונים והנחות'!$F$15,0),0)</f>
        <v/>
      </c>
      <c r="K145" s="37">
        <f>IF(ISNUMBER('נתונים והנחות'!$H$31),IF(5&lt;=ROUND(1/(0.1*'נתונים והנחות'!$F$15),0),'נתונים והנחות'!$H$31*0.1*'נתונים והנחות'!$F$15,0),0)</f>
        <v/>
      </c>
      <c r="L145" s="37">
        <f>IF(ISNUMBER('נתונים והנחות'!$H$31),IF(6&lt;=ROUND(1/(0.1*'נתונים והנחות'!$F$15),0),'נתונים והנחות'!$H$31*0.1*'נתונים והנחות'!$F$15,0),0)</f>
        <v/>
      </c>
      <c r="M145" s="37">
        <f>IF(ISNUMBER('נתונים והנחות'!$H$31),IF(7&lt;=ROUND(1/(0.1*'נתונים והנחות'!$F$15),0),'נתונים והנחות'!$H$31*0.1*'נתונים והנחות'!$F$15,0),0)</f>
        <v/>
      </c>
      <c r="N145" s="37">
        <f>IF(ISNUMBER('נתונים והנחות'!$H$31),IF(8&lt;=ROUND(1/(0.1*'נתונים והנחות'!$F$15),0),'נתונים והנחות'!$H$31*0.1*'נתונים והנחות'!$F$15,0),0)</f>
        <v/>
      </c>
      <c r="O145" s="37">
        <f>IF(ISNUMBER('נתונים והנחות'!$H$31),IF(9&lt;=ROUND(1/(0.1*'נתונים והנחות'!$F$15),0),'נתונים והנחות'!$H$31*0.1*'נתונים והנחות'!$F$15,0),0)</f>
        <v/>
      </c>
      <c r="P145" s="37">
        <f>IF(ISNUMBER('נתונים והנחות'!$H$31),IF(10&lt;=ROUND(1/(0.1*'נתונים והנחות'!$F$15),0),'נתונים והנחות'!$H$31*0.1*'נתונים והנחות'!$F$15,0),0)</f>
        <v/>
      </c>
      <c r="Q145" s="37">
        <f>IF(ISNUMBER('נתונים והנחות'!$H$31),IF(11&lt;=ROUND(1/(0.1*'נתונים והנחות'!$F$15),0),'נתונים והנחות'!$H$31*0.1*'נתונים והנחות'!$F$15,0),0)</f>
        <v/>
      </c>
      <c r="R145" s="37">
        <f>IF(ISNUMBER('נתונים והנחות'!$H$31),IF(12&lt;=ROUND(1/(0.1*'נתונים והנחות'!$F$15),0),'נתונים והנחות'!$H$31*0.1*'נתונים והנחות'!$F$15,0),0)</f>
        <v/>
      </c>
      <c r="S145" s="37">
        <f>IF(ISNUMBER('נתונים והנחות'!$H$31),IF(13&lt;=ROUND(1/(0.1*'נתונים והנחות'!$F$15),0),'נתונים והנחות'!$H$31*0.1*'נתונים והנחות'!$F$15,0),0)</f>
        <v/>
      </c>
      <c r="T145" s="37">
        <f>IF(ISNUMBER('נתונים והנחות'!$H$31),IF(14&lt;=ROUND(1/(0.1*'נתונים והנחות'!$F$15),0),'נתונים והנחות'!$H$31*0.1*'נתונים והנחות'!$F$15,0),0)</f>
        <v/>
      </c>
      <c r="U145" s="37">
        <f>IF(ISNUMBER('נתונים והנחות'!$H$31),IF(15&lt;=ROUND(1/(0.1*'נתונים והנחות'!$F$15),0),'נתונים והנחות'!$H$31*0.1*'נתונים והנחות'!$F$15,0),0)</f>
        <v/>
      </c>
      <c r="V145" s="37">
        <f>IF(ISNUMBER('נתונים והנחות'!$H$31),IF(16&lt;=ROUND(1/(0.1*'נתונים והנחות'!$F$15),0),'נתונים והנחות'!$H$31*0.1*'נתונים והנחות'!$F$15,0),0)</f>
        <v/>
      </c>
      <c r="W145" s="37">
        <f>IF(ISNUMBER('נתונים והנחות'!$H$31),IF(17&lt;=ROUND(1/(0.1*'נתונים והנחות'!$F$15),0),'נתונים והנחות'!$H$31*0.1*'נתונים והנחות'!$F$15,0),0)</f>
        <v/>
      </c>
      <c r="X145" s="37">
        <f>IF(ISNUMBER('נתונים והנחות'!$H$31),IF(18&lt;=ROUND(1/(0.1*'נתונים והנחות'!$F$15),0),'נתונים והנחות'!$H$31*0.1*'נתונים והנחות'!$F$15,0),0)</f>
        <v/>
      </c>
      <c r="Y145" s="37">
        <f>IF(ISNUMBER('נתונים והנחות'!$H$31),IF(19&lt;=ROUND(1/(0.1*'נתונים והנחות'!$F$15),0),'נתונים והנחות'!$H$31*0.1*'נתונים והנחות'!$F$15,0),0)</f>
        <v/>
      </c>
      <c r="Z145" s="37">
        <f>IF(ISNUMBER('נתונים והנחות'!$H$31),IF(20&lt;=ROUND(1/(0.1*'נתונים והנחות'!$F$15),0),'נתונים והנחות'!$H$31*0.1*'נתונים והנחות'!$F$15,0),0)</f>
        <v/>
      </c>
    </row>
    <row r="146">
      <c r="B146" s="6" t="inlineStr">
        <is>
          <t>מגן מס מואץ — מדחסי VSD</t>
        </is>
      </c>
      <c r="C146" s="9" t="inlineStr">
        <is>
          <t>₪</t>
        </is>
      </c>
      <c r="D146" s="9" t="inlineStr">
        <is>
          <t>חישוב</t>
        </is>
      </c>
      <c r="E146" s="9">
        <f> פחת מואץ × שיעור מס</f>
        <v/>
      </c>
      <c r="F146" s="37" t="n">
        <v>0</v>
      </c>
      <c r="G146" s="37">
        <f>G145*'נתונים והנחות'!$F$10</f>
        <v/>
      </c>
      <c r="H146" s="37">
        <f>H145*'נתונים והנחות'!$F$10</f>
        <v/>
      </c>
      <c r="I146" s="37">
        <f>I145*'נתונים והנחות'!$F$10</f>
        <v/>
      </c>
      <c r="J146" s="37">
        <f>J145*'נתונים והנחות'!$F$10</f>
        <v/>
      </c>
      <c r="K146" s="37">
        <f>K145*'נתונים והנחות'!$F$10</f>
        <v/>
      </c>
      <c r="L146" s="37">
        <f>L145*'נתונים והנחות'!$F$10</f>
        <v/>
      </c>
      <c r="M146" s="37">
        <f>M145*'נתונים והנחות'!$F$10</f>
        <v/>
      </c>
      <c r="N146" s="37">
        <f>N145*'נתונים והנחות'!$F$10</f>
        <v/>
      </c>
      <c r="O146" s="37">
        <f>O145*'נתונים והנחות'!$F$10</f>
        <v/>
      </c>
      <c r="P146" s="37">
        <f>P145*'נתונים והנחות'!$F$10</f>
        <v/>
      </c>
      <c r="Q146" s="37">
        <f>Q145*'נתונים והנחות'!$F$10</f>
        <v/>
      </c>
      <c r="R146" s="37">
        <f>R145*'נתונים והנחות'!$F$10</f>
        <v/>
      </c>
      <c r="S146" s="37">
        <f>S145*'נתונים והנחות'!$F$10</f>
        <v/>
      </c>
      <c r="T146" s="37">
        <f>T145*'נתונים והנחות'!$F$10</f>
        <v/>
      </c>
      <c r="U146" s="37">
        <f>U145*'נתונים והנחות'!$F$10</f>
        <v/>
      </c>
      <c r="V146" s="37">
        <f>V145*'נתונים והנחות'!$F$10</f>
        <v/>
      </c>
      <c r="W146" s="37">
        <f>W145*'נתונים והנחות'!$F$10</f>
        <v/>
      </c>
      <c r="X146" s="37">
        <f>X145*'נתונים והנחות'!$F$10</f>
        <v/>
      </c>
      <c r="Y146" s="37">
        <f>Y145*'נתונים והנחות'!$F$10</f>
        <v/>
      </c>
      <c r="Z146" s="37">
        <f>Z145*'נתונים והנחות'!$F$10</f>
        <v/>
      </c>
    </row>
    <row r="148">
      <c r="B148" s="34" t="inlineStr">
        <is>
          <t>ג. ניתוח תזרים מזומנים — שלושה תרחישים</t>
        </is>
      </c>
    </row>
    <row r="149">
      <c r="B149" s="20" t="inlineStr">
        <is>
          <t>פרמטר</t>
        </is>
      </c>
      <c r="C149" s="20" t="inlineStr">
        <is>
          <t>יחידות</t>
        </is>
      </c>
      <c r="D149" s="20" t="inlineStr">
        <is>
          <t>מקור</t>
        </is>
      </c>
      <c r="E149" s="20" t="inlineStr">
        <is>
          <t>הערות</t>
        </is>
      </c>
      <c r="F149" s="20" t="inlineStr">
        <is>
          <t>שנה 0 (השקעה)</t>
        </is>
      </c>
      <c r="G149" s="20" t="inlineStr">
        <is>
          <t>שנה 1</t>
        </is>
      </c>
      <c r="H149" s="20" t="inlineStr">
        <is>
          <t>שנה 2</t>
        </is>
      </c>
      <c r="I149" s="20" t="inlineStr">
        <is>
          <t>שנה 3</t>
        </is>
      </c>
      <c r="J149" s="20" t="inlineStr">
        <is>
          <t>שנה 4</t>
        </is>
      </c>
      <c r="K149" s="20" t="inlineStr">
        <is>
          <t>שנה 5</t>
        </is>
      </c>
      <c r="L149" s="20" t="inlineStr">
        <is>
          <t>שנה 6</t>
        </is>
      </c>
      <c r="M149" s="20" t="inlineStr">
        <is>
          <t>שנה 7</t>
        </is>
      </c>
      <c r="N149" s="20" t="inlineStr">
        <is>
          <t>שנה 8</t>
        </is>
      </c>
      <c r="O149" s="20" t="inlineStr">
        <is>
          <t>שנה 9</t>
        </is>
      </c>
      <c r="P149" s="20" t="inlineStr">
        <is>
          <t>שנה 10</t>
        </is>
      </c>
      <c r="Q149" s="20" t="inlineStr">
        <is>
          <t>שנה 11</t>
        </is>
      </c>
      <c r="R149" s="20" t="inlineStr">
        <is>
          <t>שנה 12</t>
        </is>
      </c>
      <c r="S149" s="20" t="inlineStr">
        <is>
          <t>שנה 13</t>
        </is>
      </c>
      <c r="T149" s="20" t="inlineStr">
        <is>
          <t>שנה 14</t>
        </is>
      </c>
      <c r="U149" s="20" t="inlineStr">
        <is>
          <t>שנה 15</t>
        </is>
      </c>
      <c r="V149" s="20" t="inlineStr">
        <is>
          <t>שנה 16</t>
        </is>
      </c>
      <c r="W149" s="20" t="inlineStr">
        <is>
          <t>שנה 17</t>
        </is>
      </c>
      <c r="X149" s="20" t="inlineStr">
        <is>
          <t>שנה 18</t>
        </is>
      </c>
      <c r="Y149" s="20" t="inlineStr">
        <is>
          <t>שנה 19</t>
        </is>
      </c>
      <c r="Z149" s="20" t="inlineStr">
        <is>
          <t>שנה 20</t>
        </is>
      </c>
    </row>
    <row r="150">
      <c r="B150" s="38" t="inlineStr">
        <is>
          <t>תרחיש A — רכישת מדחס מהירות קבועה (ציוד קיים / לא יעיל)</t>
        </is>
      </c>
    </row>
    <row r="151">
      <c r="B151" s="4" t="inlineStr">
        <is>
          <t>השקעה ראשונית</t>
        </is>
      </c>
      <c r="C151" s="9" t="inlineStr">
        <is>
          <t>₪</t>
        </is>
      </c>
      <c r="D151" s="9" t="inlineStr">
        <is>
          <t>חישוב</t>
        </is>
      </c>
      <c r="F151" s="35">
        <f>IF(ISNUMBER('נתונים והנחות'!$H$30),-'נתונים והנחות'!$H$30,"PENDING")</f>
        <v/>
      </c>
    </row>
    <row r="152">
      <c r="B152" s="4" t="inlineStr">
        <is>
          <t>OPEX אנרגיה</t>
        </is>
      </c>
      <c r="C152" s="9" t="inlineStr">
        <is>
          <t>₪</t>
        </is>
      </c>
      <c r="D152" s="9" t="inlineStr">
        <is>
          <t>חישוב</t>
        </is>
      </c>
      <c r="F152" s="35" t="n">
        <v>0</v>
      </c>
      <c r="G152" s="35">
        <f>IF(ISNUMBER('נתונים והנחות'!$H$41),-'נתונים והנחות'!$H$41,0)</f>
        <v/>
      </c>
      <c r="H152" s="35">
        <f>IF(ISNUMBER('נתונים והנחות'!$H$41),-'נתונים והנחות'!$H$41,0)</f>
        <v/>
      </c>
      <c r="I152" s="35">
        <f>IF(ISNUMBER('נתונים והנחות'!$H$41),-'נתונים והנחות'!$H$41,0)</f>
        <v/>
      </c>
      <c r="J152" s="35">
        <f>IF(ISNUMBER('נתונים והנחות'!$H$41),-'נתונים והנחות'!$H$41,0)</f>
        <v/>
      </c>
      <c r="K152" s="35">
        <f>IF(ISNUMBER('נתונים והנחות'!$H$41),-'נתונים והנחות'!$H$41,0)</f>
        <v/>
      </c>
      <c r="L152" s="35">
        <f>IF(ISNUMBER('נתונים והנחות'!$H$41),-'נתונים והנחות'!$H$41,0)</f>
        <v/>
      </c>
      <c r="M152" s="35">
        <f>IF(ISNUMBER('נתונים והנחות'!$H$41),-'נתונים והנחות'!$H$41,0)</f>
        <v/>
      </c>
      <c r="N152" s="35">
        <f>IF(ISNUMBER('נתונים והנחות'!$H$41),-'נתונים והנחות'!$H$41,0)</f>
        <v/>
      </c>
      <c r="O152" s="35">
        <f>IF(ISNUMBER('נתונים והנחות'!$H$41),-'נתונים והנחות'!$H$41,0)</f>
        <v/>
      </c>
      <c r="P152" s="35">
        <f>IF(ISNUMBER('נתונים והנחות'!$H$41),-'נתונים והנחות'!$H$41,0)</f>
        <v/>
      </c>
      <c r="Q152" s="35">
        <f>IF(ISNUMBER('נתונים והנחות'!$H$41),-'נתונים והנחות'!$H$41,0)</f>
        <v/>
      </c>
      <c r="R152" s="35">
        <f>IF(ISNUMBER('נתונים והנחות'!$H$41),-'נתונים והנחות'!$H$41,0)</f>
        <v/>
      </c>
      <c r="S152" s="35">
        <f>0</f>
        <v/>
      </c>
      <c r="T152" s="35">
        <f>0</f>
        <v/>
      </c>
      <c r="U152" s="35">
        <f>0</f>
        <v/>
      </c>
      <c r="V152" s="35">
        <f>0</f>
        <v/>
      </c>
      <c r="W152" s="35">
        <f>0</f>
        <v/>
      </c>
      <c r="X152" s="35">
        <f>0</f>
        <v/>
      </c>
      <c r="Y152" s="35">
        <f>0</f>
        <v/>
      </c>
      <c r="Z152" s="35">
        <f>0</f>
        <v/>
      </c>
    </row>
    <row r="153">
      <c r="B153" s="4" t="inlineStr">
        <is>
          <t>OPEX אחר (תחזוקה וכו')</t>
        </is>
      </c>
      <c r="C153" s="9" t="inlineStr">
        <is>
          <t>₪</t>
        </is>
      </c>
      <c r="D153" s="9" t="inlineStr">
        <is>
          <t>חישוב</t>
        </is>
      </c>
      <c r="F153" s="35" t="n">
        <v>0</v>
      </c>
      <c r="G153" s="35">
        <f>IF(ISNUMBER('נתונים והנחות'!$H$39),-'נתונים והנחות'!$H$39,0)</f>
        <v/>
      </c>
      <c r="H153" s="35">
        <f>IF(ISNUMBER('נתונים והנחות'!$H$39),-'נתונים והנחות'!$H$39,0)</f>
        <v/>
      </c>
      <c r="I153" s="35">
        <f>IF(ISNUMBER('נתונים והנחות'!$H$39),-'נתונים והנחות'!$H$39,0)</f>
        <v/>
      </c>
      <c r="J153" s="35">
        <f>IF(ISNUMBER('נתונים והנחות'!$H$39),-'נתונים והנחות'!$H$39,0)</f>
        <v/>
      </c>
      <c r="K153" s="35">
        <f>IF(ISNUMBER('נתונים והנחות'!$H$39),-'נתונים והנחות'!$H$39,0)</f>
        <v/>
      </c>
      <c r="L153" s="35">
        <f>IF(ISNUMBER('נתונים והנחות'!$H$39),-'נתונים והנחות'!$H$39,0)</f>
        <v/>
      </c>
      <c r="M153" s="35">
        <f>IF(ISNUMBER('נתונים והנחות'!$H$39),-'נתונים והנחות'!$H$39,0)</f>
        <v/>
      </c>
      <c r="N153" s="35">
        <f>IF(ISNUMBER('נתונים והנחות'!$H$39),-'נתונים והנחות'!$H$39,0)</f>
        <v/>
      </c>
      <c r="O153" s="35">
        <f>IF(ISNUMBER('נתונים והנחות'!$H$39),-'נתונים והנחות'!$H$39,0)</f>
        <v/>
      </c>
      <c r="P153" s="35">
        <f>IF(ISNUMBER('נתונים והנחות'!$H$39),-'נתונים והנחות'!$H$39,0)</f>
        <v/>
      </c>
      <c r="Q153" s="35">
        <f>IF(ISNUMBER('נתונים והנחות'!$H$39),-'נתונים והנחות'!$H$39,0)</f>
        <v/>
      </c>
      <c r="R153" s="35">
        <f>IF(ISNUMBER('נתונים והנחות'!$H$39),-'נתונים והנחות'!$H$39,0)</f>
        <v/>
      </c>
      <c r="S153" s="35">
        <f>0</f>
        <v/>
      </c>
      <c r="T153" s="35">
        <f>0</f>
        <v/>
      </c>
      <c r="U153" s="35">
        <f>0</f>
        <v/>
      </c>
      <c r="V153" s="35">
        <f>0</f>
        <v/>
      </c>
      <c r="W153" s="35">
        <f>0</f>
        <v/>
      </c>
      <c r="X153" s="35">
        <f>0</f>
        <v/>
      </c>
      <c r="Y153" s="35">
        <f>0</f>
        <v/>
      </c>
      <c r="Z153" s="35">
        <f>0</f>
        <v/>
      </c>
    </row>
    <row r="154">
      <c r="B154" s="4" t="inlineStr">
        <is>
          <t>תזרים נקי — תרחיש A</t>
        </is>
      </c>
      <c r="C154" s="9" t="inlineStr">
        <is>
          <t>₪</t>
        </is>
      </c>
      <c r="D154" s="9" t="inlineStr">
        <is>
          <t>חישוב</t>
        </is>
      </c>
      <c r="F154" s="35">
        <f>F151</f>
        <v/>
      </c>
      <c r="G154" s="35">
        <f>G152+G153+G142</f>
        <v/>
      </c>
      <c r="H154" s="35">
        <f>H152+H153+H142</f>
        <v/>
      </c>
      <c r="I154" s="35">
        <f>I152+I153+I142</f>
        <v/>
      </c>
      <c r="J154" s="35">
        <f>J152+J153+J142</f>
        <v/>
      </c>
      <c r="K154" s="35">
        <f>K152+K153+K142</f>
        <v/>
      </c>
      <c r="L154" s="35">
        <f>L152+L153+L142</f>
        <v/>
      </c>
      <c r="M154" s="35">
        <f>M152+M153+M142</f>
        <v/>
      </c>
      <c r="N154" s="35">
        <f>N152+N153+N142</f>
        <v/>
      </c>
      <c r="O154" s="35">
        <f>O152+O153+O142</f>
        <v/>
      </c>
      <c r="P154" s="35">
        <f>P152+P153+P142</f>
        <v/>
      </c>
      <c r="Q154" s="35">
        <f>Q152+Q153+Q142</f>
        <v/>
      </c>
      <c r="R154" s="35">
        <f>R152+R153+R142</f>
        <v/>
      </c>
      <c r="S154" s="35">
        <f>S152+S153+S142</f>
        <v/>
      </c>
      <c r="T154" s="35">
        <f>T152+T153+T142</f>
        <v/>
      </c>
      <c r="U154" s="35">
        <f>U152+U153+U142</f>
        <v/>
      </c>
      <c r="V154" s="35">
        <f>V152+V153+V142</f>
        <v/>
      </c>
      <c r="W154" s="35">
        <f>W152+W153+W142</f>
        <v/>
      </c>
      <c r="X154" s="35">
        <f>X152+X153+X142</f>
        <v/>
      </c>
      <c r="Y154" s="35">
        <f>Y152+Y153+Y142</f>
        <v/>
      </c>
      <c r="Z154" s="35">
        <f>Z152+Z153+Z142</f>
        <v/>
      </c>
    </row>
    <row r="155">
      <c r="B155" s="4" t="inlineStr">
        <is>
          <t>תזרים מהוון — תרחיש A</t>
        </is>
      </c>
      <c r="C155" s="9" t="inlineStr">
        <is>
          <t>₪</t>
        </is>
      </c>
      <c r="D155" s="9" t="inlineStr">
        <is>
          <t>חישוב</t>
        </is>
      </c>
      <c r="F155" s="35">
        <f>F154</f>
        <v/>
      </c>
      <c r="G155" s="35">
        <f>G154/(1+'נתונים והנחות'!$F$11)^1</f>
        <v/>
      </c>
      <c r="H155" s="35">
        <f>H154/(1+'נתונים והנחות'!$F$11)^2</f>
        <v/>
      </c>
      <c r="I155" s="35">
        <f>I154/(1+'נתונים והנחות'!$F$11)^3</f>
        <v/>
      </c>
      <c r="J155" s="35">
        <f>J154/(1+'נתונים והנחות'!$F$11)^4</f>
        <v/>
      </c>
      <c r="K155" s="35">
        <f>K154/(1+'נתונים והנחות'!$F$11)^5</f>
        <v/>
      </c>
      <c r="L155" s="35">
        <f>L154/(1+'נתונים והנחות'!$F$11)^6</f>
        <v/>
      </c>
      <c r="M155" s="35">
        <f>M154/(1+'נתונים והנחות'!$F$11)^7</f>
        <v/>
      </c>
      <c r="N155" s="35">
        <f>N154/(1+'נתונים והנחות'!$F$11)^8</f>
        <v/>
      </c>
      <c r="O155" s="35">
        <f>O154/(1+'נתונים והנחות'!$F$11)^9</f>
        <v/>
      </c>
      <c r="P155" s="35">
        <f>P154/(1+'נתונים והנחות'!$F$11)^10</f>
        <v/>
      </c>
      <c r="Q155" s="35">
        <f>Q154/(1+'נתונים והנחות'!$F$11)^11</f>
        <v/>
      </c>
      <c r="R155" s="35">
        <f>R154/(1+'נתונים והנחות'!$F$11)^12</f>
        <v/>
      </c>
      <c r="S155" s="35">
        <f>S154/(1+'נתונים והנחות'!$F$11)^13</f>
        <v/>
      </c>
      <c r="T155" s="35">
        <f>T154/(1+'נתונים והנחות'!$F$11)^14</f>
        <v/>
      </c>
      <c r="U155" s="35">
        <f>U154/(1+'נתונים והנחות'!$F$11)^15</f>
        <v/>
      </c>
      <c r="V155" s="35">
        <f>V154/(1+'נתונים והנחות'!$F$11)^16</f>
        <v/>
      </c>
      <c r="W155" s="35">
        <f>W154/(1+'נתונים והנחות'!$F$11)^17</f>
        <v/>
      </c>
      <c r="X155" s="35">
        <f>X154/(1+'נתונים והנחות'!$F$11)^18</f>
        <v/>
      </c>
      <c r="Y155" s="35">
        <f>Y154/(1+'נתונים והנחות'!$F$11)^19</f>
        <v/>
      </c>
      <c r="Z155" s="35">
        <f>Z154/(1+'נתונים והנחות'!$F$11)^20</f>
        <v/>
      </c>
    </row>
    <row r="156">
      <c r="B156" s="4" t="inlineStr">
        <is>
          <t>NPV מצטבר — תרחיש A</t>
        </is>
      </c>
      <c r="C156" s="9" t="inlineStr">
        <is>
          <t>₪</t>
        </is>
      </c>
      <c r="D156" s="9" t="inlineStr">
        <is>
          <t>חישוב</t>
        </is>
      </c>
      <c r="F156" s="35">
        <f>F155</f>
        <v/>
      </c>
      <c r="G156" s="35">
        <f>F156+G155</f>
        <v/>
      </c>
      <c r="H156" s="35">
        <f>G156+H155</f>
        <v/>
      </c>
      <c r="I156" s="35">
        <f>H156+I155</f>
        <v/>
      </c>
      <c r="J156" s="35">
        <f>I156+J155</f>
        <v/>
      </c>
      <c r="K156" s="35">
        <f>J156+K155</f>
        <v/>
      </c>
      <c r="L156" s="35">
        <f>K156+L155</f>
        <v/>
      </c>
      <c r="M156" s="35">
        <f>L156+M155</f>
        <v/>
      </c>
      <c r="N156" s="35">
        <f>M156+N155</f>
        <v/>
      </c>
      <c r="O156" s="35">
        <f>N156+O155</f>
        <v/>
      </c>
      <c r="P156" s="35">
        <f>O156+P155</f>
        <v/>
      </c>
      <c r="Q156" s="35">
        <f>P156+Q155</f>
        <v/>
      </c>
      <c r="R156" s="35">
        <f>Q156+R155</f>
        <v/>
      </c>
      <c r="S156" s="35">
        <f>R156+S155</f>
        <v/>
      </c>
      <c r="T156" s="35">
        <f>S156+T155</f>
        <v/>
      </c>
      <c r="U156" s="35">
        <f>T156+U155</f>
        <v/>
      </c>
      <c r="V156" s="35">
        <f>U156+V155</f>
        <v/>
      </c>
      <c r="W156" s="35">
        <f>V156+W155</f>
        <v/>
      </c>
      <c r="X156" s="35">
        <f>W156+X155</f>
        <v/>
      </c>
      <c r="Y156" s="35">
        <f>X156+Y155</f>
        <v/>
      </c>
      <c r="Z156" s="35">
        <f>Y156+Z155</f>
        <v/>
      </c>
    </row>
    <row r="158">
      <c r="B158" s="39" t="inlineStr">
        <is>
          <t>תרחיש B — רכישת מדחסי VSD | פחת סטנדרטי (ללא תמריץ)</t>
        </is>
      </c>
    </row>
    <row r="159">
      <c r="B159" s="5" t="inlineStr">
        <is>
          <t>השקעה ראשונית</t>
        </is>
      </c>
      <c r="C159" s="9" t="inlineStr">
        <is>
          <t>₪</t>
        </is>
      </c>
      <c r="D159" s="9" t="inlineStr">
        <is>
          <t>חישוב</t>
        </is>
      </c>
      <c r="F159" s="36">
        <f>IF(ISNUMBER('נתונים והנחות'!$H$31),-'נתונים והנחות'!$H$31,"PENDING")</f>
        <v/>
      </c>
    </row>
    <row r="160">
      <c r="B160" s="5" t="inlineStr">
        <is>
          <t>OPEX אנרגיה (עם שחיקה שנתית)</t>
        </is>
      </c>
      <c r="C160" s="9" t="inlineStr">
        <is>
          <t>₪</t>
        </is>
      </c>
      <c r="D160" s="9" t="inlineStr">
        <is>
          <t>חישוב</t>
        </is>
      </c>
      <c r="F160" s="36" t="n">
        <v>0</v>
      </c>
      <c r="G160" s="36">
        <f>IF(ISNUMBER('נתונים והנחות'!$H$42),-'נתונים והנחות'!$H$42*(1-'נתונים והנחות'!$H$38)^0,0)</f>
        <v/>
      </c>
      <c r="H160" s="36">
        <f>IF(ISNUMBER('נתונים והנחות'!$H$42),-'נתונים והנחות'!$H$42*(1-'נתונים והנחות'!$H$38)^1,0)</f>
        <v/>
      </c>
      <c r="I160" s="36">
        <f>IF(ISNUMBER('נתונים והנחות'!$H$42),-'נתונים והנחות'!$H$42*(1-'נתונים והנחות'!$H$38)^2,0)</f>
        <v/>
      </c>
      <c r="J160" s="36">
        <f>IF(ISNUMBER('נתונים והנחות'!$H$42),-'נתונים והנחות'!$H$42*(1-'נתונים והנחות'!$H$38)^3,0)</f>
        <v/>
      </c>
      <c r="K160" s="36">
        <f>IF(ISNUMBER('נתונים והנחות'!$H$42),-'נתונים והנחות'!$H$42*(1-'נתונים והנחות'!$H$38)^4,0)</f>
        <v/>
      </c>
      <c r="L160" s="36">
        <f>IF(ISNUMBER('נתונים והנחות'!$H$42),-'נתונים והנחות'!$H$42*(1-'נתונים והנחות'!$H$38)^5,0)</f>
        <v/>
      </c>
      <c r="M160" s="36">
        <f>IF(ISNUMBER('נתונים והנחות'!$H$42),-'נתונים והנחות'!$H$42*(1-'נתונים והנחות'!$H$38)^6,0)</f>
        <v/>
      </c>
      <c r="N160" s="36">
        <f>IF(ISNUMBER('נתונים והנחות'!$H$42),-'נתונים והנחות'!$H$42*(1-'נתונים והנחות'!$H$38)^7,0)</f>
        <v/>
      </c>
      <c r="O160" s="36">
        <f>IF(ISNUMBER('נתונים והנחות'!$H$42),-'נתונים והנחות'!$H$42*(1-'נתונים והנחות'!$H$38)^8,0)</f>
        <v/>
      </c>
      <c r="P160" s="36">
        <f>IF(ISNUMBER('נתונים והנחות'!$H$42),-'נתונים והנחות'!$H$42*(1-'נתונים והנחות'!$H$38)^9,0)</f>
        <v/>
      </c>
      <c r="Q160" s="36">
        <f>IF(ISNUMBER('נתונים והנחות'!$H$42),-'נתונים והנחות'!$H$42*(1-'נתונים והנחות'!$H$38)^10,0)</f>
        <v/>
      </c>
      <c r="R160" s="36">
        <f>IF(ISNUMBER('נתונים והנחות'!$H$42),-'נתונים והנחות'!$H$42*(1-'נתונים והנחות'!$H$38)^11,0)</f>
        <v/>
      </c>
      <c r="S160" s="36">
        <f>0</f>
        <v/>
      </c>
      <c r="T160" s="36">
        <f>0</f>
        <v/>
      </c>
      <c r="U160" s="36">
        <f>0</f>
        <v/>
      </c>
      <c r="V160" s="36">
        <f>0</f>
        <v/>
      </c>
      <c r="W160" s="36">
        <f>0</f>
        <v/>
      </c>
      <c r="X160" s="36">
        <f>0</f>
        <v/>
      </c>
      <c r="Y160" s="36">
        <f>0</f>
        <v/>
      </c>
      <c r="Z160" s="36">
        <f>0</f>
        <v/>
      </c>
    </row>
    <row r="161">
      <c r="B161" s="5" t="inlineStr">
        <is>
          <t>OPEX אחר (תחזוקה וכו')</t>
        </is>
      </c>
      <c r="C161" s="9" t="inlineStr">
        <is>
          <t>₪</t>
        </is>
      </c>
      <c r="D161" s="9" t="inlineStr">
        <is>
          <t>חישוב</t>
        </is>
      </c>
      <c r="F161" s="36" t="n">
        <v>0</v>
      </c>
      <c r="G161" s="36">
        <f>IF(ISNUMBER('נתונים והנחות'!$H$40),-'נתונים והנחות'!$H$40,0)</f>
        <v/>
      </c>
      <c r="H161" s="36">
        <f>IF(ISNUMBER('נתונים והנחות'!$H$40),-'נתונים והנחות'!$H$40,0)</f>
        <v/>
      </c>
      <c r="I161" s="36">
        <f>IF(ISNUMBER('נתונים והנחות'!$H$40),-'נתונים והנחות'!$H$40,0)</f>
        <v/>
      </c>
      <c r="J161" s="36">
        <f>IF(ISNUMBER('נתונים והנחות'!$H$40),-'נתונים והנחות'!$H$40,0)</f>
        <v/>
      </c>
      <c r="K161" s="36">
        <f>IF(ISNUMBER('נתונים והנחות'!$H$40),-'נתונים והנחות'!$H$40,0)</f>
        <v/>
      </c>
      <c r="L161" s="36">
        <f>IF(ISNUMBER('נתונים והנחות'!$H$40),-'נתונים והנחות'!$H$40,0)</f>
        <v/>
      </c>
      <c r="M161" s="36">
        <f>IF(ISNUMBER('נתונים והנחות'!$H$40),-'נתונים והנחות'!$H$40,0)</f>
        <v/>
      </c>
      <c r="N161" s="36">
        <f>IF(ISNUMBER('נתונים והנחות'!$H$40),-'נתונים והנחות'!$H$40,0)</f>
        <v/>
      </c>
      <c r="O161" s="36">
        <f>IF(ISNUMBER('נתונים והנחות'!$H$40),-'נתונים והנחות'!$H$40,0)</f>
        <v/>
      </c>
      <c r="P161" s="36">
        <f>IF(ISNUMBER('נתונים והנחות'!$H$40),-'נתונים והנחות'!$H$40,0)</f>
        <v/>
      </c>
      <c r="Q161" s="36">
        <f>IF(ISNUMBER('נתונים והנחות'!$H$40),-'נתונים והנחות'!$H$40,0)</f>
        <v/>
      </c>
      <c r="R161" s="36">
        <f>IF(ISNUMBER('נתונים והנחות'!$H$40),-'נתונים והנחות'!$H$40,0)</f>
        <v/>
      </c>
      <c r="S161" s="36">
        <f>0</f>
        <v/>
      </c>
      <c r="T161" s="36">
        <f>0</f>
        <v/>
      </c>
      <c r="U161" s="36">
        <f>0</f>
        <v/>
      </c>
      <c r="V161" s="36">
        <f>0</f>
        <v/>
      </c>
      <c r="W161" s="36">
        <f>0</f>
        <v/>
      </c>
      <c r="X161" s="36">
        <f>0</f>
        <v/>
      </c>
      <c r="Y161" s="36">
        <f>0</f>
        <v/>
      </c>
      <c r="Z161" s="36">
        <f>0</f>
        <v/>
      </c>
    </row>
    <row r="162">
      <c r="B162" s="5" t="inlineStr">
        <is>
          <t>תזרים נקי — תרחיש B</t>
        </is>
      </c>
      <c r="C162" s="9" t="inlineStr">
        <is>
          <t>₪</t>
        </is>
      </c>
      <c r="D162" s="9" t="inlineStr">
        <is>
          <t>חישוב</t>
        </is>
      </c>
      <c r="F162" s="36">
        <f>F159</f>
        <v/>
      </c>
      <c r="G162" s="36">
        <f>G160+G161+G144</f>
        <v/>
      </c>
      <c r="H162" s="36">
        <f>H160+H161+H144</f>
        <v/>
      </c>
      <c r="I162" s="36">
        <f>I160+I161+I144</f>
        <v/>
      </c>
      <c r="J162" s="36">
        <f>J160+J161+J144</f>
        <v/>
      </c>
      <c r="K162" s="36">
        <f>K160+K161+K144</f>
        <v/>
      </c>
      <c r="L162" s="36">
        <f>L160+L161+L144</f>
        <v/>
      </c>
      <c r="M162" s="36">
        <f>M160+M161+M144</f>
        <v/>
      </c>
      <c r="N162" s="36">
        <f>N160+N161+N144</f>
        <v/>
      </c>
      <c r="O162" s="36">
        <f>O160+O161+O144</f>
        <v/>
      </c>
      <c r="P162" s="36">
        <f>P160+P161+P144</f>
        <v/>
      </c>
      <c r="Q162" s="36">
        <f>Q160+Q161+Q144</f>
        <v/>
      </c>
      <c r="R162" s="36">
        <f>R160+R161+R144</f>
        <v/>
      </c>
      <c r="S162" s="36">
        <f>S160+S161+S144</f>
        <v/>
      </c>
      <c r="T162" s="36">
        <f>T160+T161+T144</f>
        <v/>
      </c>
      <c r="U162" s="36">
        <f>U160+U161+U144</f>
        <v/>
      </c>
      <c r="V162" s="36">
        <f>V160+V161+V144</f>
        <v/>
      </c>
      <c r="W162" s="36">
        <f>W160+W161+W144</f>
        <v/>
      </c>
      <c r="X162" s="36">
        <f>X160+X161+X144</f>
        <v/>
      </c>
      <c r="Y162" s="36">
        <f>Y160+Y161+Y144</f>
        <v/>
      </c>
      <c r="Z162" s="36">
        <f>Z160+Z161+Z144</f>
        <v/>
      </c>
    </row>
    <row r="163">
      <c r="B163" s="5" t="inlineStr">
        <is>
          <t>תזרים מהוון — תרחיש B</t>
        </is>
      </c>
      <c r="C163" s="9" t="inlineStr">
        <is>
          <t>₪</t>
        </is>
      </c>
      <c r="D163" s="9" t="inlineStr">
        <is>
          <t>חישוב</t>
        </is>
      </c>
      <c r="F163" s="36">
        <f>F162</f>
        <v/>
      </c>
      <c r="G163" s="36">
        <f>G162/(1+'נתונים והנחות'!$F$11)^1</f>
        <v/>
      </c>
      <c r="H163" s="36">
        <f>H162/(1+'נתונים והנחות'!$F$11)^2</f>
        <v/>
      </c>
      <c r="I163" s="36">
        <f>I162/(1+'נתונים והנחות'!$F$11)^3</f>
        <v/>
      </c>
      <c r="J163" s="36">
        <f>J162/(1+'נתונים והנחות'!$F$11)^4</f>
        <v/>
      </c>
      <c r="K163" s="36">
        <f>K162/(1+'נתונים והנחות'!$F$11)^5</f>
        <v/>
      </c>
      <c r="L163" s="36">
        <f>L162/(1+'נתונים והנחות'!$F$11)^6</f>
        <v/>
      </c>
      <c r="M163" s="36">
        <f>M162/(1+'נתונים והנחות'!$F$11)^7</f>
        <v/>
      </c>
      <c r="N163" s="36">
        <f>N162/(1+'נתונים והנחות'!$F$11)^8</f>
        <v/>
      </c>
      <c r="O163" s="36">
        <f>O162/(1+'נתונים והנחות'!$F$11)^9</f>
        <v/>
      </c>
      <c r="P163" s="36">
        <f>P162/(1+'נתונים והנחות'!$F$11)^10</f>
        <v/>
      </c>
      <c r="Q163" s="36">
        <f>Q162/(1+'נתונים והנחות'!$F$11)^11</f>
        <v/>
      </c>
      <c r="R163" s="36">
        <f>R162/(1+'נתונים והנחות'!$F$11)^12</f>
        <v/>
      </c>
      <c r="S163" s="36">
        <f>S162/(1+'נתונים והנחות'!$F$11)^13</f>
        <v/>
      </c>
      <c r="T163" s="36">
        <f>T162/(1+'נתונים והנחות'!$F$11)^14</f>
        <v/>
      </c>
      <c r="U163" s="36">
        <f>U162/(1+'נתונים והנחות'!$F$11)^15</f>
        <v/>
      </c>
      <c r="V163" s="36">
        <f>V162/(1+'נתונים והנחות'!$F$11)^16</f>
        <v/>
      </c>
      <c r="W163" s="36">
        <f>W162/(1+'נתונים והנחות'!$F$11)^17</f>
        <v/>
      </c>
      <c r="X163" s="36">
        <f>X162/(1+'נתונים והנחות'!$F$11)^18</f>
        <v/>
      </c>
      <c r="Y163" s="36">
        <f>Y162/(1+'נתונים והנחות'!$F$11)^19</f>
        <v/>
      </c>
      <c r="Z163" s="36">
        <f>Z162/(1+'נתונים והנחות'!$F$11)^20</f>
        <v/>
      </c>
    </row>
    <row r="164">
      <c r="B164" s="5" t="inlineStr">
        <is>
          <t>NPV מצטבר — תרחיש B</t>
        </is>
      </c>
      <c r="C164" s="9" t="inlineStr">
        <is>
          <t>₪</t>
        </is>
      </c>
      <c r="D164" s="9" t="inlineStr">
        <is>
          <t>חישוב</t>
        </is>
      </c>
      <c r="F164" s="36">
        <f>F163</f>
        <v/>
      </c>
      <c r="G164" s="36">
        <f>F164+G163</f>
        <v/>
      </c>
      <c r="H164" s="36">
        <f>G164+H163</f>
        <v/>
      </c>
      <c r="I164" s="36">
        <f>H164+I163</f>
        <v/>
      </c>
      <c r="J164" s="36">
        <f>I164+J163</f>
        <v/>
      </c>
      <c r="K164" s="36">
        <f>J164+K163</f>
        <v/>
      </c>
      <c r="L164" s="36">
        <f>K164+L163</f>
        <v/>
      </c>
      <c r="M164" s="36">
        <f>L164+M163</f>
        <v/>
      </c>
      <c r="N164" s="36">
        <f>M164+N163</f>
        <v/>
      </c>
      <c r="O164" s="36">
        <f>N164+O163</f>
        <v/>
      </c>
      <c r="P164" s="36">
        <f>O164+P163</f>
        <v/>
      </c>
      <c r="Q164" s="36">
        <f>P164+Q163</f>
        <v/>
      </c>
      <c r="R164" s="36">
        <f>Q164+R163</f>
        <v/>
      </c>
      <c r="S164" s="36">
        <f>R164+S163</f>
        <v/>
      </c>
      <c r="T164" s="36">
        <f>S164+T163</f>
        <v/>
      </c>
      <c r="U164" s="36">
        <f>T164+U163</f>
        <v/>
      </c>
      <c r="V164" s="36">
        <f>U164+V163</f>
        <v/>
      </c>
      <c r="W164" s="36">
        <f>V164+W163</f>
        <v/>
      </c>
      <c r="X164" s="36">
        <f>W164+X163</f>
        <v/>
      </c>
      <c r="Y164" s="36">
        <f>X164+Y163</f>
        <v/>
      </c>
      <c r="Z164" s="36">
        <f>Y164+Z163</f>
        <v/>
      </c>
    </row>
    <row r="166">
      <c r="B166" s="40" t="inlineStr">
        <is>
          <t>תרחיש C — רכישת מדחסי VSD | פחת מואץ (עם תמריץ)</t>
        </is>
      </c>
    </row>
    <row r="167">
      <c r="B167" s="32" t="inlineStr">
        <is>
          <t>* OPEX זהה לתרחיש B — ההבדל הוא מגן המס המואץ בלבד</t>
        </is>
      </c>
    </row>
    <row r="168">
      <c r="B168" s="6" t="inlineStr">
        <is>
          <t>תזרים נקי — תרחיש C</t>
        </is>
      </c>
      <c r="C168" s="9" t="inlineStr">
        <is>
          <t>₪</t>
        </is>
      </c>
      <c r="D168" s="9" t="inlineStr">
        <is>
          <t>חישוב</t>
        </is>
      </c>
      <c r="F168" s="37">
        <f>F159</f>
        <v/>
      </c>
      <c r="G168" s="37">
        <f>G160+G161+G146</f>
        <v/>
      </c>
      <c r="H168" s="37">
        <f>H160+H161+H146</f>
        <v/>
      </c>
      <c r="I168" s="37">
        <f>I160+I161+I146</f>
        <v/>
      </c>
      <c r="J168" s="37">
        <f>J160+J161+J146</f>
        <v/>
      </c>
      <c r="K168" s="37">
        <f>K160+K161+K146</f>
        <v/>
      </c>
      <c r="L168" s="37">
        <f>L160+L161+L146</f>
        <v/>
      </c>
      <c r="M168" s="37">
        <f>M160+M161+M146</f>
        <v/>
      </c>
      <c r="N168" s="37">
        <f>N160+N161+N146</f>
        <v/>
      </c>
      <c r="O168" s="37">
        <f>O160+O161+O146</f>
        <v/>
      </c>
      <c r="P168" s="37">
        <f>P160+P161+P146</f>
        <v/>
      </c>
      <c r="Q168" s="37">
        <f>Q160+Q161+Q146</f>
        <v/>
      </c>
      <c r="R168" s="37">
        <f>R160+R161+R146</f>
        <v/>
      </c>
      <c r="S168" s="37">
        <f>S160+S161+S146</f>
        <v/>
      </c>
      <c r="T168" s="37">
        <f>T160+T161+T146</f>
        <v/>
      </c>
      <c r="U168" s="37">
        <f>U160+U161+U146</f>
        <v/>
      </c>
      <c r="V168" s="37">
        <f>V160+V161+V146</f>
        <v/>
      </c>
      <c r="W168" s="37">
        <f>W160+W161+W146</f>
        <v/>
      </c>
      <c r="X168" s="37">
        <f>X160+X161+X146</f>
        <v/>
      </c>
      <c r="Y168" s="37">
        <f>Y160+Y161+Y146</f>
        <v/>
      </c>
      <c r="Z168" s="37">
        <f>Z160+Z161+Z146</f>
        <v/>
      </c>
    </row>
    <row r="169">
      <c r="B169" s="6" t="inlineStr">
        <is>
          <t>תזרים מהוון — תרחיש C</t>
        </is>
      </c>
      <c r="C169" s="9" t="inlineStr">
        <is>
          <t>₪</t>
        </is>
      </c>
      <c r="D169" s="9" t="inlineStr">
        <is>
          <t>חישוב</t>
        </is>
      </c>
      <c r="F169" s="37">
        <f>F168</f>
        <v/>
      </c>
      <c r="G169" s="37">
        <f>G168/(1+'נתונים והנחות'!$F$11)^1</f>
        <v/>
      </c>
      <c r="H169" s="37">
        <f>H168/(1+'נתונים והנחות'!$F$11)^2</f>
        <v/>
      </c>
      <c r="I169" s="37">
        <f>I168/(1+'נתונים והנחות'!$F$11)^3</f>
        <v/>
      </c>
      <c r="J169" s="37">
        <f>J168/(1+'נתונים והנחות'!$F$11)^4</f>
        <v/>
      </c>
      <c r="K169" s="37">
        <f>K168/(1+'נתונים והנחות'!$F$11)^5</f>
        <v/>
      </c>
      <c r="L169" s="37">
        <f>L168/(1+'נתונים והנחות'!$F$11)^6</f>
        <v/>
      </c>
      <c r="M169" s="37">
        <f>M168/(1+'נתונים והנחות'!$F$11)^7</f>
        <v/>
      </c>
      <c r="N169" s="37">
        <f>N168/(1+'נתונים והנחות'!$F$11)^8</f>
        <v/>
      </c>
      <c r="O169" s="37">
        <f>O168/(1+'נתונים והנחות'!$F$11)^9</f>
        <v/>
      </c>
      <c r="P169" s="37">
        <f>P168/(1+'נתונים והנחות'!$F$11)^10</f>
        <v/>
      </c>
      <c r="Q169" s="37">
        <f>Q168/(1+'נתונים והנחות'!$F$11)^11</f>
        <v/>
      </c>
      <c r="R169" s="37">
        <f>R168/(1+'נתונים והנחות'!$F$11)^12</f>
        <v/>
      </c>
      <c r="S169" s="37">
        <f>S168/(1+'נתונים והנחות'!$F$11)^13</f>
        <v/>
      </c>
      <c r="T169" s="37">
        <f>T168/(1+'נתונים והנחות'!$F$11)^14</f>
        <v/>
      </c>
      <c r="U169" s="37">
        <f>U168/(1+'נתונים והנחות'!$F$11)^15</f>
        <v/>
      </c>
      <c r="V169" s="37">
        <f>V168/(1+'נתונים והנחות'!$F$11)^16</f>
        <v/>
      </c>
      <c r="W169" s="37">
        <f>W168/(1+'נתונים והנחות'!$F$11)^17</f>
        <v/>
      </c>
      <c r="X169" s="37">
        <f>X168/(1+'נתונים והנחות'!$F$11)^18</f>
        <v/>
      </c>
      <c r="Y169" s="37">
        <f>Y168/(1+'נתונים והנחות'!$F$11)^19</f>
        <v/>
      </c>
      <c r="Z169" s="37">
        <f>Z168/(1+'נתונים והנחות'!$F$11)^20</f>
        <v/>
      </c>
    </row>
    <row r="170">
      <c r="B170" s="6" t="inlineStr">
        <is>
          <t>NPV מצטבר — תרחיש C</t>
        </is>
      </c>
      <c r="C170" s="9" t="inlineStr">
        <is>
          <t>₪</t>
        </is>
      </c>
      <c r="D170" s="9" t="inlineStr">
        <is>
          <t>חישוב</t>
        </is>
      </c>
      <c r="F170" s="37">
        <f>F169</f>
        <v/>
      </c>
      <c r="G170" s="37">
        <f>F170+G169</f>
        <v/>
      </c>
      <c r="H170" s="37">
        <f>G170+H169</f>
        <v/>
      </c>
      <c r="I170" s="37">
        <f>H170+I169</f>
        <v/>
      </c>
      <c r="J170" s="37">
        <f>I170+J169</f>
        <v/>
      </c>
      <c r="K170" s="37">
        <f>J170+K169</f>
        <v/>
      </c>
      <c r="L170" s="37">
        <f>K170+L169</f>
        <v/>
      </c>
      <c r="M170" s="37">
        <f>L170+M169</f>
        <v/>
      </c>
      <c r="N170" s="37">
        <f>M170+N169</f>
        <v/>
      </c>
      <c r="O170" s="37">
        <f>N170+O169</f>
        <v/>
      </c>
      <c r="P170" s="37">
        <f>O170+P169</f>
        <v/>
      </c>
      <c r="Q170" s="37">
        <f>P170+Q169</f>
        <v/>
      </c>
      <c r="R170" s="37">
        <f>Q170+R169</f>
        <v/>
      </c>
      <c r="S170" s="37">
        <f>R170+S169</f>
        <v/>
      </c>
      <c r="T170" s="37">
        <f>S170+T169</f>
        <v/>
      </c>
      <c r="U170" s="37">
        <f>T170+U169</f>
        <v/>
      </c>
      <c r="V170" s="37">
        <f>U170+V169</f>
        <v/>
      </c>
      <c r="W170" s="37">
        <f>V170+W169</f>
        <v/>
      </c>
      <c r="X170" s="37">
        <f>W170+X169</f>
        <v/>
      </c>
      <c r="Y170" s="37">
        <f>X170+Y169</f>
        <v/>
      </c>
      <c r="Z170" s="37">
        <f>Y170+Z169</f>
        <v/>
      </c>
    </row>
    <row r="172">
      <c r="B172" s="34" t="inlineStr">
        <is>
          <t>ד. תוצאות</t>
        </is>
      </c>
    </row>
    <row r="173">
      <c r="B173" s="41" t="inlineStr">
        <is>
          <t>NPV — תרחיש A (מדחס מהירות קבועה)</t>
        </is>
      </c>
      <c r="C173" s="9" t="inlineStr">
        <is>
          <t>ש"ח</t>
        </is>
      </c>
      <c r="F173" s="35">
        <f>SUM(F155:Z155)</f>
        <v/>
      </c>
    </row>
    <row r="174">
      <c r="B174" s="42" t="inlineStr">
        <is>
          <t>NPV — תרחיש B (מדחסי VSD, ללא תמריץ)</t>
        </is>
      </c>
      <c r="C174" s="9" t="inlineStr">
        <is>
          <t>ש"ח</t>
        </is>
      </c>
      <c r="F174" s="36">
        <f>SUM(F163:Z163)</f>
        <v/>
      </c>
    </row>
    <row r="175">
      <c r="B175" s="43" t="inlineStr">
        <is>
          <t>NPV — תרחיש C (מדחסי VSD, עם תמריץ)</t>
        </is>
      </c>
      <c r="C175" s="9" t="inlineStr">
        <is>
          <t>ש"ח</t>
        </is>
      </c>
      <c r="F175" s="37">
        <f>SUM(F169:Z169)</f>
        <v/>
      </c>
    </row>
    <row r="177">
      <c r="B177" s="44" t="inlineStr">
        <is>
          <t>NPV מצטבר — הצדקת השדרוג (B−A)</t>
        </is>
      </c>
      <c r="C177" s="9" t="inlineStr">
        <is>
          <t>ש"ח</t>
        </is>
      </c>
      <c r="F177" s="45">
        <f>F174-F173</f>
        <v/>
      </c>
    </row>
    <row r="178">
      <c r="B178" s="46" t="inlineStr">
        <is>
          <t>ערך התמריץ — תועלת הפחת המואץ (C−B)</t>
        </is>
      </c>
      <c r="C178" s="9" t="inlineStr">
        <is>
          <t>ש"ח</t>
        </is>
      </c>
      <c r="F178" s="47">
        <f>F175-F174</f>
        <v/>
      </c>
    </row>
    <row r="180">
      <c r="B180" s="41" t="inlineStr">
        <is>
          <t>ROI — תרחיש A</t>
        </is>
      </c>
      <c r="C180" s="9" t="inlineStr">
        <is>
          <t>%</t>
        </is>
      </c>
      <c r="F180" s="48">
        <f>IF(ISNUMBER('נתונים והנחות'!$H$30),(SUM(F155:Z155)+'נתונים והנחות'!$H$30)/'נתונים והנחות'!$H$30,"PENDING")</f>
        <v/>
      </c>
    </row>
    <row r="181">
      <c r="B181" s="42" t="inlineStr">
        <is>
          <t>ROI — תרחיש B</t>
        </is>
      </c>
      <c r="C181" s="9" t="inlineStr">
        <is>
          <t>%</t>
        </is>
      </c>
      <c r="F181" s="49">
        <f>IF(ISNUMBER('נתונים והנחות'!$H$31),(SUM(F163:Z163)+'נתונים והנחות'!$H$31)/'נתונים והנחות'!$H$31,"PENDING")</f>
        <v/>
      </c>
    </row>
    <row r="182">
      <c r="B182" s="43" t="inlineStr">
        <is>
          <t>ROI — תרחיש C</t>
        </is>
      </c>
      <c r="C182" s="9" t="inlineStr">
        <is>
          <t>%</t>
        </is>
      </c>
      <c r="F182" s="50">
        <f>IF(ISNUMBER('נתונים והנחות'!$H$31),(SUM(F169:Z169)+'נתונים והנחות'!$H$31)/'נתונים והנחות'!$H$31,"PENDING")</f>
        <v/>
      </c>
    </row>
    <row r="184">
      <c r="B184" s="44" t="inlineStr">
        <is>
          <t>תקופת החזר ΔCapEx ללא תמריץ (B−A)</t>
        </is>
      </c>
      <c r="C184" s="9" t="inlineStr">
        <is>
          <t>שנים</t>
        </is>
      </c>
      <c r="E184" s="32" t="inlineStr">
        <is>
          <t>זמן להחזר ההשקעה הנוספת | מחושב על ΔCF = CF_B − CF_A</t>
        </is>
      </c>
      <c r="F184" s="51">
        <f>IFERROR(MATCH(1,(F190:Z190&gt;0)*1,0)-2+ABS(INDEX(F190:Z190,MATCH(1,(F190:Z190&gt;0)*1,0)-1))/(INDEX(F190:Z190,MATCH(1,(F190:Z190&gt;0)*1,0))-INDEX(F190:Z190,MATCH(1,(F190:Z190&gt;0)*1,0)-1)),"לא מגיע לפירעון")</f>
        <v/>
      </c>
    </row>
    <row r="185">
      <c r="B185" s="52" t="inlineStr">
        <is>
          <t>תקופת החזר ΔCapEx עם תמריץ (C−A)</t>
        </is>
      </c>
      <c r="C185" s="53" t="inlineStr">
        <is>
          <t>שנים</t>
        </is>
      </c>
      <c r="E185" s="32" t="inlineStr">
        <is>
          <t>כולל יתרון מגן המס המואץ | מחושב על ΔCF = CF_C − CF_A</t>
        </is>
      </c>
      <c r="F185" s="54">
        <f>IFERROR(MATCH(1,(F191:Z191&gt;0)*1,0)-2+ABS(INDEX(F191:Z191,MATCH(1,(F191:Z191&gt;0)*1,0)-1))/(INDEX(F191:Z191,MATCH(1,(F191:Z191&gt;0)*1,0))-INDEX(F191:Z191,MATCH(1,(F191:Z191&gt;0)*1,0)-1)),"לא מגיע לפירעון")</f>
        <v/>
      </c>
    </row>
    <row r="188">
      <c r="B188" s="34" t="inlineStr">
        <is>
          <t>NPV מצטבר — מנקודת מבט ΔCapEx (לחישוב תקופת החזר על השקעה נוספת)</t>
        </is>
      </c>
    </row>
    <row r="189">
      <c r="B189" s="20" t="inlineStr">
        <is>
          <t>פרמטר</t>
        </is>
      </c>
      <c r="C189" s="20" t="inlineStr">
        <is>
          <t>יחידות</t>
        </is>
      </c>
      <c r="D189" s="20" t="inlineStr">
        <is>
          <t>מקור</t>
        </is>
      </c>
      <c r="E189" s="20" t="inlineStr">
        <is>
          <t>הערות</t>
        </is>
      </c>
      <c r="F189" s="20" t="inlineStr">
        <is>
          <t>שנה 0</t>
        </is>
      </c>
      <c r="G189" s="20" t="inlineStr">
        <is>
          <t>שנה 1</t>
        </is>
      </c>
      <c r="H189" s="20" t="inlineStr">
        <is>
          <t>שנה 2</t>
        </is>
      </c>
      <c r="I189" s="20" t="inlineStr">
        <is>
          <t>שנה 3</t>
        </is>
      </c>
      <c r="J189" s="20" t="inlineStr">
        <is>
          <t>שנה 4</t>
        </is>
      </c>
      <c r="K189" s="20" t="inlineStr">
        <is>
          <t>שנה 5</t>
        </is>
      </c>
      <c r="L189" s="20" t="inlineStr">
        <is>
          <t>שנה 6</t>
        </is>
      </c>
      <c r="M189" s="20" t="inlineStr">
        <is>
          <t>שנה 7</t>
        </is>
      </c>
      <c r="N189" s="20" t="inlineStr">
        <is>
          <t>שנה 8</t>
        </is>
      </c>
      <c r="O189" s="20" t="inlineStr">
        <is>
          <t>שנה 9</t>
        </is>
      </c>
      <c r="P189" s="20" t="inlineStr">
        <is>
          <t>שנה 10</t>
        </is>
      </c>
      <c r="Q189" s="20" t="inlineStr">
        <is>
          <t>שנה 11</t>
        </is>
      </c>
      <c r="R189" s="20" t="inlineStr">
        <is>
          <t>שנה 12</t>
        </is>
      </c>
      <c r="S189" s="20" t="inlineStr">
        <is>
          <t>שנה 13</t>
        </is>
      </c>
      <c r="T189" s="20" t="inlineStr">
        <is>
          <t>שנה 14</t>
        </is>
      </c>
      <c r="U189" s="20" t="inlineStr">
        <is>
          <t>שנה 15</t>
        </is>
      </c>
      <c r="V189" s="20" t="inlineStr">
        <is>
          <t>שנה 16</t>
        </is>
      </c>
      <c r="W189" s="20" t="inlineStr">
        <is>
          <t>שנה 17</t>
        </is>
      </c>
      <c r="X189" s="20" t="inlineStr">
        <is>
          <t>שנה 18</t>
        </is>
      </c>
      <c r="Y189" s="20" t="inlineStr">
        <is>
          <t>שנה 19</t>
        </is>
      </c>
      <c r="Z189" s="20" t="inlineStr">
        <is>
          <t>שנה 20</t>
        </is>
      </c>
    </row>
    <row r="190">
      <c r="B190" s="2" t="inlineStr">
        <is>
          <t>NPV מצטבר ΔCF — שדרוג ללא תמריץ (B−A)</t>
        </is>
      </c>
      <c r="C190" s="9" t="inlineStr">
        <is>
          <t>₪</t>
        </is>
      </c>
      <c r="D190" s="9" t="inlineStr">
        <is>
          <t>חישוב</t>
        </is>
      </c>
      <c r="F190" s="45">
        <f>IF(ISNUMBER('נתונים והנחות'!$H$32),-'נתונים והנחות'!$H$32,"PENDING")</f>
        <v/>
      </c>
      <c r="G190" s="45">
        <f>F190+(G163-G155)</f>
        <v/>
      </c>
      <c r="H190" s="45">
        <f>G190+(H163-H155)</f>
        <v/>
      </c>
      <c r="I190" s="45">
        <f>H190+(I163-I155)</f>
        <v/>
      </c>
      <c r="J190" s="45">
        <f>I190+(J163-J155)</f>
        <v/>
      </c>
      <c r="K190" s="45">
        <f>J190+(K163-K155)</f>
        <v/>
      </c>
      <c r="L190" s="45">
        <f>K190+(L163-L155)</f>
        <v/>
      </c>
      <c r="M190" s="45">
        <f>L190+(M163-M155)</f>
        <v/>
      </c>
      <c r="N190" s="45">
        <f>M190+(N163-N155)</f>
        <v/>
      </c>
      <c r="O190" s="45">
        <f>N190+(O163-O155)</f>
        <v/>
      </c>
      <c r="P190" s="45">
        <f>O190+(P163-P155)</f>
        <v/>
      </c>
      <c r="Q190" s="45">
        <f>P190+(Q163-Q155)</f>
        <v/>
      </c>
      <c r="R190" s="45">
        <f>Q190+(R163-R155)</f>
        <v/>
      </c>
      <c r="S190" s="45">
        <f>R190+(S163-S155)</f>
        <v/>
      </c>
      <c r="T190" s="45">
        <f>S190+(T163-T155)</f>
        <v/>
      </c>
      <c r="U190" s="45">
        <f>T190+(U163-U155)</f>
        <v/>
      </c>
      <c r="V190" s="45">
        <f>U190+(V163-V155)</f>
        <v/>
      </c>
      <c r="W190" s="45">
        <f>V190+(W163-W155)</f>
        <v/>
      </c>
      <c r="X190" s="45">
        <f>W190+(X163-X155)</f>
        <v/>
      </c>
      <c r="Y190" s="45">
        <f>X190+(Y163-Y155)</f>
        <v/>
      </c>
      <c r="Z190" s="45">
        <f>Y190+(Z163-Z155)</f>
        <v/>
      </c>
    </row>
    <row r="191">
      <c r="B191" s="7" t="inlineStr">
        <is>
          <t>NPV מצטבר ΔCF — שדרוג עם תמריץ (C−A)</t>
        </is>
      </c>
      <c r="C191" s="9" t="inlineStr">
        <is>
          <t>₪</t>
        </is>
      </c>
      <c r="D191" s="9" t="inlineStr">
        <is>
          <t>חישוב</t>
        </is>
      </c>
      <c r="F191" s="47">
        <f>IF(ISNUMBER('נתונים והנחות'!$H$32),-'נתונים והנחות'!$H$32,"PENDING")</f>
        <v/>
      </c>
      <c r="G191" s="47">
        <f>F191+(G169-G155)</f>
        <v/>
      </c>
      <c r="H191" s="47">
        <f>G191+(H169-H155)</f>
        <v/>
      </c>
      <c r="I191" s="47">
        <f>H191+(I169-I155)</f>
        <v/>
      </c>
      <c r="J191" s="47">
        <f>I191+(J169-J155)</f>
        <v/>
      </c>
      <c r="K191" s="47">
        <f>J191+(K169-K155)</f>
        <v/>
      </c>
      <c r="L191" s="47">
        <f>K191+(L169-L155)</f>
        <v/>
      </c>
      <c r="M191" s="47">
        <f>L191+(M169-M155)</f>
        <v/>
      </c>
      <c r="N191" s="47">
        <f>M191+(N169-N155)</f>
        <v/>
      </c>
      <c r="O191" s="47">
        <f>N191+(O169-O155)</f>
        <v/>
      </c>
      <c r="P191" s="47">
        <f>O191+(P169-P155)</f>
        <v/>
      </c>
      <c r="Q191" s="47">
        <f>P191+(Q169-Q155)</f>
        <v/>
      </c>
      <c r="R191" s="47">
        <f>Q191+(R169-R155)</f>
        <v/>
      </c>
      <c r="S191" s="47">
        <f>R191+(S169-S155)</f>
        <v/>
      </c>
      <c r="T191" s="47">
        <f>S191+(T169-T155)</f>
        <v/>
      </c>
      <c r="U191" s="47">
        <f>T191+(U169-U155)</f>
        <v/>
      </c>
      <c r="V191" s="47">
        <f>U191+(V169-V155)</f>
        <v/>
      </c>
      <c r="W191" s="47">
        <f>V191+(W169-W155)</f>
        <v/>
      </c>
      <c r="X191" s="47">
        <f>W191+(X169-X155)</f>
        <v/>
      </c>
      <c r="Y191" s="47">
        <f>X191+(Y169-Y155)</f>
        <v/>
      </c>
      <c r="Z191" s="47">
        <f>Y191+(Z169-Z155)</f>
        <v/>
      </c>
    </row>
    <row r="195">
      <c r="B195" s="33" t="inlineStr">
        <is>
          <t>3.4  מערכות קיטור חשמליות</t>
        </is>
      </c>
    </row>
    <row r="196">
      <c r="B196" s="32" t="inlineStr">
        <is>
          <t>* החלפת קיטור מבוסס דלק בקיטור חשמלי | חיסכון ~50% | אורך חיים: 10 vs 15 שנה | כל הנתונים: גיליון 'נתונים והנחות' — סעיף 4</t>
        </is>
      </c>
    </row>
    <row r="197">
      <c r="B197" s="34" t="inlineStr">
        <is>
          <t>ב. לוחות פחת (ציוד בסיסי vs. יעיל)</t>
        </is>
      </c>
    </row>
    <row r="198">
      <c r="B198" s="20" t="inlineStr">
        <is>
          <t>פרמטר</t>
        </is>
      </c>
      <c r="C198" s="20" t="inlineStr">
        <is>
          <t>יחידות</t>
        </is>
      </c>
      <c r="D198" s="20" t="inlineStr">
        <is>
          <t>מקור</t>
        </is>
      </c>
      <c r="E198" s="20" t="inlineStr">
        <is>
          <t>הערות</t>
        </is>
      </c>
      <c r="F198" s="20" t="inlineStr">
        <is>
          <t>שנה 0 (השקעה)</t>
        </is>
      </c>
      <c r="G198" s="20" t="inlineStr">
        <is>
          <t>שנה 1</t>
        </is>
      </c>
      <c r="H198" s="20" t="inlineStr">
        <is>
          <t>שנה 2</t>
        </is>
      </c>
      <c r="I198" s="20" t="inlineStr">
        <is>
          <t>שנה 3</t>
        </is>
      </c>
      <c r="J198" s="20" t="inlineStr">
        <is>
          <t>שנה 4</t>
        </is>
      </c>
      <c r="K198" s="20" t="inlineStr">
        <is>
          <t>שנה 5</t>
        </is>
      </c>
      <c r="L198" s="20" t="inlineStr">
        <is>
          <t>שנה 6</t>
        </is>
      </c>
      <c r="M198" s="20" t="inlineStr">
        <is>
          <t>שנה 7</t>
        </is>
      </c>
      <c r="N198" s="20" t="inlineStr">
        <is>
          <t>שנה 8</t>
        </is>
      </c>
      <c r="O198" s="20" t="inlineStr">
        <is>
          <t>שנה 9</t>
        </is>
      </c>
      <c r="P198" s="20" t="inlineStr">
        <is>
          <t>שנה 10</t>
        </is>
      </c>
      <c r="Q198" s="20" t="inlineStr">
        <is>
          <t>שנה 11</t>
        </is>
      </c>
      <c r="R198" s="20" t="inlineStr">
        <is>
          <t>שנה 12</t>
        </is>
      </c>
      <c r="S198" s="20" t="inlineStr">
        <is>
          <t>שנה 13</t>
        </is>
      </c>
      <c r="T198" s="20" t="inlineStr">
        <is>
          <t>שנה 14</t>
        </is>
      </c>
      <c r="U198" s="20" t="inlineStr">
        <is>
          <t>שנה 15</t>
        </is>
      </c>
      <c r="V198" s="20" t="inlineStr">
        <is>
          <t>שנה 16</t>
        </is>
      </c>
      <c r="W198" s="20" t="inlineStr">
        <is>
          <t>שנה 17</t>
        </is>
      </c>
      <c r="X198" s="20" t="inlineStr">
        <is>
          <t>שנה 18</t>
        </is>
      </c>
      <c r="Y198" s="20" t="inlineStr">
        <is>
          <t>שנה 19</t>
        </is>
      </c>
      <c r="Z198" s="20" t="inlineStr">
        <is>
          <t>שנה 20</t>
        </is>
      </c>
    </row>
    <row r="199">
      <c r="B199" s="4" t="inlineStr">
        <is>
          <t>פחת סטנדרטי — קיטור מבוסס דלק / גז</t>
        </is>
      </c>
      <c r="C199" s="9" t="inlineStr">
        <is>
          <t>₪</t>
        </is>
      </c>
      <c r="D199" s="9" t="inlineStr">
        <is>
          <t>חישוב</t>
        </is>
      </c>
      <c r="E199" s="9" t="inlineStr">
        <is>
          <t>קו ישר | 10%/שנה | עד 10 שנים | CapEx בסיסי</t>
        </is>
      </c>
      <c r="F199" s="35" t="n">
        <v>0</v>
      </c>
      <c r="G199" s="35">
        <f>IF(ISNUMBER('נתונים והנחות'!$I$30),'נתונים והנחות'!$I$30*0.1,0)</f>
        <v/>
      </c>
      <c r="H199" s="35">
        <f>IF(ISNUMBER('נתונים והנחות'!$I$30),'נתונים והנחות'!$I$30*0.1,0)</f>
        <v/>
      </c>
      <c r="I199" s="35">
        <f>IF(ISNUMBER('נתונים והנחות'!$I$30),'נתונים והנחות'!$I$30*0.1,0)</f>
        <v/>
      </c>
      <c r="J199" s="35">
        <f>IF(ISNUMBER('נתונים והנחות'!$I$30),'נתונים והנחות'!$I$30*0.1,0)</f>
        <v/>
      </c>
      <c r="K199" s="35">
        <f>IF(ISNUMBER('נתונים והנחות'!$I$30),'נתונים והנחות'!$I$30*0.1,0)</f>
        <v/>
      </c>
      <c r="L199" s="35">
        <f>IF(ISNUMBER('נתונים והנחות'!$I$30),'נתונים והנחות'!$I$30*0.1,0)</f>
        <v/>
      </c>
      <c r="M199" s="35">
        <f>IF(ISNUMBER('נתונים והנחות'!$I$30),'נתונים והנחות'!$I$30*0.1,0)</f>
        <v/>
      </c>
      <c r="N199" s="35">
        <f>IF(ISNUMBER('נתונים והנחות'!$I$30),'נתונים והנחות'!$I$30*0.1,0)</f>
        <v/>
      </c>
      <c r="O199" s="35">
        <f>IF(ISNUMBER('נתונים והנחות'!$I$30),'נתונים והנחות'!$I$30*0.1,0)</f>
        <v/>
      </c>
      <c r="P199" s="35">
        <f>IF(ISNUMBER('נתונים והנחות'!$I$30),'נתונים והנחות'!$I$30*0.1,0)</f>
        <v/>
      </c>
      <c r="Q199" s="35">
        <f>0</f>
        <v/>
      </c>
      <c r="R199" s="35">
        <f>0</f>
        <v/>
      </c>
      <c r="S199" s="35">
        <f>0</f>
        <v/>
      </c>
      <c r="T199" s="35">
        <f>0</f>
        <v/>
      </c>
      <c r="U199" s="35">
        <f>0</f>
        <v/>
      </c>
      <c r="V199" s="35">
        <f>0</f>
        <v/>
      </c>
      <c r="W199" s="35">
        <f>0</f>
        <v/>
      </c>
      <c r="X199" s="35">
        <f>0</f>
        <v/>
      </c>
      <c r="Y199" s="35">
        <f>0</f>
        <v/>
      </c>
      <c r="Z199" s="35">
        <f>0</f>
        <v/>
      </c>
    </row>
    <row r="200">
      <c r="B200" s="4" t="inlineStr">
        <is>
          <t>מגן מס — קיטור מבוסס דלק / גז</t>
        </is>
      </c>
      <c r="C200" s="9" t="inlineStr">
        <is>
          <t>₪</t>
        </is>
      </c>
      <c r="D200" s="9" t="inlineStr">
        <is>
          <t>חישוב</t>
        </is>
      </c>
      <c r="E200" s="9">
        <f> פחת × שיעור מס</f>
        <v/>
      </c>
      <c r="F200" s="35" t="n">
        <v>0</v>
      </c>
      <c r="G200" s="35">
        <f>G199*'נתונים והנחות'!$F$10</f>
        <v/>
      </c>
      <c r="H200" s="35">
        <f>H199*'נתונים והנחות'!$F$10</f>
        <v/>
      </c>
      <c r="I200" s="35">
        <f>I199*'נתונים והנחות'!$F$10</f>
        <v/>
      </c>
      <c r="J200" s="35">
        <f>J199*'נתונים והנחות'!$F$10</f>
        <v/>
      </c>
      <c r="K200" s="35">
        <f>K199*'נתונים והנחות'!$F$10</f>
        <v/>
      </c>
      <c r="L200" s="35">
        <f>L199*'נתונים והנחות'!$F$10</f>
        <v/>
      </c>
      <c r="M200" s="35">
        <f>M199*'נתונים והנחות'!$F$10</f>
        <v/>
      </c>
      <c r="N200" s="35">
        <f>N199*'נתונים והנחות'!$F$10</f>
        <v/>
      </c>
      <c r="O200" s="35">
        <f>O199*'נתונים והנחות'!$F$10</f>
        <v/>
      </c>
      <c r="P200" s="35">
        <f>P199*'נתונים והנחות'!$F$10</f>
        <v/>
      </c>
      <c r="Q200" s="35">
        <f>Q199*'נתונים והנחות'!$F$10</f>
        <v/>
      </c>
      <c r="R200" s="35">
        <f>R199*'נתונים והנחות'!$F$10</f>
        <v/>
      </c>
      <c r="S200" s="35">
        <f>S199*'נתונים והנחות'!$F$10</f>
        <v/>
      </c>
      <c r="T200" s="35">
        <f>T199*'נתונים והנחות'!$F$10</f>
        <v/>
      </c>
      <c r="U200" s="35">
        <f>U199*'נתונים והנחות'!$F$10</f>
        <v/>
      </c>
      <c r="V200" s="35">
        <f>V199*'נתונים והנחות'!$F$10</f>
        <v/>
      </c>
      <c r="W200" s="35">
        <f>W199*'נתונים והנחות'!$F$10</f>
        <v/>
      </c>
      <c r="X200" s="35">
        <f>X199*'נתונים והנחות'!$F$10</f>
        <v/>
      </c>
      <c r="Y200" s="35">
        <f>Y199*'נתונים והנחות'!$F$10</f>
        <v/>
      </c>
      <c r="Z200" s="35">
        <f>Z199*'נתונים והנחות'!$F$10</f>
        <v/>
      </c>
    </row>
    <row r="201">
      <c r="B201" s="5" t="inlineStr">
        <is>
          <t>פחת סטנדרטי — מערכות קיטור חשמליות</t>
        </is>
      </c>
      <c r="C201" s="9" t="inlineStr">
        <is>
          <t>₪</t>
        </is>
      </c>
      <c r="D201" s="9" t="inlineStr">
        <is>
          <t>חישוב</t>
        </is>
      </c>
      <c r="E201" s="9" t="inlineStr">
        <is>
          <t>קו ישר | 10%/שנה | עד 10 שנים | CapEx יעיל</t>
        </is>
      </c>
      <c r="F201" s="36" t="n">
        <v>0</v>
      </c>
      <c r="G201" s="36">
        <f>IF(ISNUMBER('נתונים והנחות'!$I$31),'נתונים והנחות'!$I$31*0.1,0)</f>
        <v/>
      </c>
      <c r="H201" s="36">
        <f>IF(ISNUMBER('נתונים והנחות'!$I$31),'נתונים והנחות'!$I$31*0.1,0)</f>
        <v/>
      </c>
      <c r="I201" s="36">
        <f>IF(ISNUMBER('נתונים והנחות'!$I$31),'נתונים והנחות'!$I$31*0.1,0)</f>
        <v/>
      </c>
      <c r="J201" s="36">
        <f>IF(ISNUMBER('נתונים והנחות'!$I$31),'נתונים והנחות'!$I$31*0.1,0)</f>
        <v/>
      </c>
      <c r="K201" s="36">
        <f>IF(ISNUMBER('נתונים והנחות'!$I$31),'נתונים והנחות'!$I$31*0.1,0)</f>
        <v/>
      </c>
      <c r="L201" s="36">
        <f>IF(ISNUMBER('נתונים והנחות'!$I$31),'נתונים והנחות'!$I$31*0.1,0)</f>
        <v/>
      </c>
      <c r="M201" s="36">
        <f>IF(ISNUMBER('נתונים והנחות'!$I$31),'נתונים והנחות'!$I$31*0.1,0)</f>
        <v/>
      </c>
      <c r="N201" s="36">
        <f>IF(ISNUMBER('נתונים והנחות'!$I$31),'נתונים והנחות'!$I$31*0.1,0)</f>
        <v/>
      </c>
      <c r="O201" s="36">
        <f>IF(ISNUMBER('נתונים והנחות'!$I$31),'נתונים והנחות'!$I$31*0.1,0)</f>
        <v/>
      </c>
      <c r="P201" s="36">
        <f>IF(ISNUMBER('נתונים והנחות'!$I$31),'נתונים והנחות'!$I$31*0.1,0)</f>
        <v/>
      </c>
      <c r="Q201" s="36">
        <f>0</f>
        <v/>
      </c>
      <c r="R201" s="36">
        <f>0</f>
        <v/>
      </c>
      <c r="S201" s="36">
        <f>0</f>
        <v/>
      </c>
      <c r="T201" s="36">
        <f>0</f>
        <v/>
      </c>
      <c r="U201" s="36">
        <f>0</f>
        <v/>
      </c>
      <c r="V201" s="36">
        <f>0</f>
        <v/>
      </c>
      <c r="W201" s="36">
        <f>0</f>
        <v/>
      </c>
      <c r="X201" s="36">
        <f>0</f>
        <v/>
      </c>
      <c r="Y201" s="36">
        <f>0</f>
        <v/>
      </c>
      <c r="Z201" s="36">
        <f>0</f>
        <v/>
      </c>
    </row>
    <row r="202">
      <c r="B202" s="5" t="inlineStr">
        <is>
          <t>מגן מס סטנדרטי — מערכות קיטור חשמליות</t>
        </is>
      </c>
      <c r="C202" s="9" t="inlineStr">
        <is>
          <t>₪</t>
        </is>
      </c>
      <c r="D202" s="9" t="inlineStr">
        <is>
          <t>חישוב</t>
        </is>
      </c>
      <c r="E202" s="9">
        <f> פחת × שיעור מס</f>
        <v/>
      </c>
      <c r="F202" s="36" t="n">
        <v>0</v>
      </c>
      <c r="G202" s="36">
        <f>G201*'נתונים והנחות'!$F$10</f>
        <v/>
      </c>
      <c r="H202" s="36">
        <f>H201*'נתונים והנחות'!$F$10</f>
        <v/>
      </c>
      <c r="I202" s="36">
        <f>I201*'נתונים והנחות'!$F$10</f>
        <v/>
      </c>
      <c r="J202" s="36">
        <f>J201*'נתונים והנחות'!$F$10</f>
        <v/>
      </c>
      <c r="K202" s="36">
        <f>K201*'נתונים והנחות'!$F$10</f>
        <v/>
      </c>
      <c r="L202" s="36">
        <f>L201*'נתונים והנחות'!$F$10</f>
        <v/>
      </c>
      <c r="M202" s="36">
        <f>M201*'נתונים והנחות'!$F$10</f>
        <v/>
      </c>
      <c r="N202" s="36">
        <f>N201*'נתונים והנחות'!$F$10</f>
        <v/>
      </c>
      <c r="O202" s="36">
        <f>O201*'נתונים והנחות'!$F$10</f>
        <v/>
      </c>
      <c r="P202" s="36">
        <f>P201*'נתונים והנחות'!$F$10</f>
        <v/>
      </c>
      <c r="Q202" s="36">
        <f>Q201*'נתונים והנחות'!$F$10</f>
        <v/>
      </c>
      <c r="R202" s="36">
        <f>R201*'נתונים והנחות'!$F$10</f>
        <v/>
      </c>
      <c r="S202" s="36">
        <f>S201*'נתונים והנחות'!$F$10</f>
        <v/>
      </c>
      <c r="T202" s="36">
        <f>T201*'נתונים והנחות'!$F$10</f>
        <v/>
      </c>
      <c r="U202" s="36">
        <f>U201*'נתונים והנחות'!$F$10</f>
        <v/>
      </c>
      <c r="V202" s="36">
        <f>V201*'נתונים והנחות'!$F$10</f>
        <v/>
      </c>
      <c r="W202" s="36">
        <f>W201*'נתונים והנחות'!$F$10</f>
        <v/>
      </c>
      <c r="X202" s="36">
        <f>X201*'נתונים והנחות'!$F$10</f>
        <v/>
      </c>
      <c r="Y202" s="36">
        <f>Y201*'נתונים והנחות'!$F$10</f>
        <v/>
      </c>
      <c r="Z202" s="36">
        <f>Z201*'נתונים והנחות'!$F$10</f>
        <v/>
      </c>
    </row>
    <row r="203">
      <c r="B203" s="6" t="inlineStr">
        <is>
          <t>פחת מואץ — מערכות קיטור חשמליות</t>
        </is>
      </c>
      <c r="C203" s="9" t="inlineStr">
        <is>
          <t>₪</t>
        </is>
      </c>
      <c r="D203" s="9" t="inlineStr">
        <is>
          <t>חישוב</t>
        </is>
      </c>
      <c r="E203" s="9">
        <f> CapEx יעיל × (פחת סטנדרטי × מכפיל) | תקופה = 1 ÷ שיעור מואץ</f>
        <v/>
      </c>
      <c r="F203" s="37" t="n">
        <v>0</v>
      </c>
      <c r="G203" s="37">
        <f>IF(ISNUMBER('נתונים והנחות'!$I$31),IF(1&lt;=ROUND(1/(0.1*'נתונים והנחות'!$F$15),0),'נתונים והנחות'!$I$31*0.1*'נתונים והנחות'!$F$15,0),0)</f>
        <v/>
      </c>
      <c r="H203" s="37">
        <f>IF(ISNUMBER('נתונים והנחות'!$I$31),IF(2&lt;=ROUND(1/(0.1*'נתונים והנחות'!$F$15),0),'נתונים והנחות'!$I$31*0.1*'נתונים והנחות'!$F$15,0),0)</f>
        <v/>
      </c>
      <c r="I203" s="37">
        <f>IF(ISNUMBER('נתונים והנחות'!$I$31),IF(3&lt;=ROUND(1/(0.1*'נתונים והנחות'!$F$15),0),'נתונים והנחות'!$I$31*0.1*'נתונים והנחות'!$F$15,0),0)</f>
        <v/>
      </c>
      <c r="J203" s="37">
        <f>IF(ISNUMBER('נתונים והנחות'!$I$31),IF(4&lt;=ROUND(1/(0.1*'נתונים והנחות'!$F$15),0),'נתונים והנחות'!$I$31*0.1*'נתונים והנחות'!$F$15,0),0)</f>
        <v/>
      </c>
      <c r="K203" s="37">
        <f>IF(ISNUMBER('נתונים והנחות'!$I$31),IF(5&lt;=ROUND(1/(0.1*'נתונים והנחות'!$F$15),0),'נתונים והנחות'!$I$31*0.1*'נתונים והנחות'!$F$15,0),0)</f>
        <v/>
      </c>
      <c r="L203" s="37">
        <f>IF(ISNUMBER('נתונים והנחות'!$I$31),IF(6&lt;=ROUND(1/(0.1*'נתונים והנחות'!$F$15),0),'נתונים והנחות'!$I$31*0.1*'נתונים והנחות'!$F$15,0),0)</f>
        <v/>
      </c>
      <c r="M203" s="37">
        <f>IF(ISNUMBER('נתונים והנחות'!$I$31),IF(7&lt;=ROUND(1/(0.1*'נתונים והנחות'!$F$15),0),'נתונים והנחות'!$I$31*0.1*'נתונים והנחות'!$F$15,0),0)</f>
        <v/>
      </c>
      <c r="N203" s="37">
        <f>IF(ISNUMBER('נתונים והנחות'!$I$31),IF(8&lt;=ROUND(1/(0.1*'נתונים והנחות'!$F$15),0),'נתונים והנחות'!$I$31*0.1*'נתונים והנחות'!$F$15,0),0)</f>
        <v/>
      </c>
      <c r="O203" s="37">
        <f>IF(ISNUMBER('נתונים והנחות'!$I$31),IF(9&lt;=ROUND(1/(0.1*'נתונים והנחות'!$F$15),0),'נתונים והנחות'!$I$31*0.1*'נתונים והנחות'!$F$15,0),0)</f>
        <v/>
      </c>
      <c r="P203" s="37">
        <f>IF(ISNUMBER('נתונים והנחות'!$I$31),IF(10&lt;=ROUND(1/(0.1*'נתונים והנחות'!$F$15),0),'נתונים והנחות'!$I$31*0.1*'נתונים והנחות'!$F$15,0),0)</f>
        <v/>
      </c>
      <c r="Q203" s="37">
        <f>IF(ISNUMBER('נתונים והנחות'!$I$31),IF(11&lt;=ROUND(1/(0.1*'נתונים והנחות'!$F$15),0),'נתונים והנחות'!$I$31*0.1*'נתונים והנחות'!$F$15,0),0)</f>
        <v/>
      </c>
      <c r="R203" s="37">
        <f>IF(ISNUMBER('נתונים והנחות'!$I$31),IF(12&lt;=ROUND(1/(0.1*'נתונים והנחות'!$F$15),0),'נתונים והנחות'!$I$31*0.1*'נתונים והנחות'!$F$15,0),0)</f>
        <v/>
      </c>
      <c r="S203" s="37">
        <f>IF(ISNUMBER('נתונים והנחות'!$I$31),IF(13&lt;=ROUND(1/(0.1*'נתונים והנחות'!$F$15),0),'נתונים והנחות'!$I$31*0.1*'נתונים והנחות'!$F$15,0),0)</f>
        <v/>
      </c>
      <c r="T203" s="37">
        <f>IF(ISNUMBER('נתונים והנחות'!$I$31),IF(14&lt;=ROUND(1/(0.1*'נתונים והנחות'!$F$15),0),'נתונים והנחות'!$I$31*0.1*'נתונים והנחות'!$F$15,0),0)</f>
        <v/>
      </c>
      <c r="U203" s="37">
        <f>IF(ISNUMBER('נתונים והנחות'!$I$31),IF(15&lt;=ROUND(1/(0.1*'נתונים והנחות'!$F$15),0),'נתונים והנחות'!$I$31*0.1*'נתונים והנחות'!$F$15,0),0)</f>
        <v/>
      </c>
      <c r="V203" s="37">
        <f>IF(ISNUMBER('נתונים והנחות'!$I$31),IF(16&lt;=ROUND(1/(0.1*'נתונים והנחות'!$F$15),0),'נתונים והנחות'!$I$31*0.1*'נתונים והנחות'!$F$15,0),0)</f>
        <v/>
      </c>
      <c r="W203" s="37">
        <f>IF(ISNUMBER('נתונים והנחות'!$I$31),IF(17&lt;=ROUND(1/(0.1*'נתונים והנחות'!$F$15),0),'נתונים והנחות'!$I$31*0.1*'נתונים והנחות'!$F$15,0),0)</f>
        <v/>
      </c>
      <c r="X203" s="37">
        <f>IF(ISNUMBER('נתונים והנחות'!$I$31),IF(18&lt;=ROUND(1/(0.1*'נתונים והנחות'!$F$15),0),'נתונים והנחות'!$I$31*0.1*'נתונים והנחות'!$F$15,0),0)</f>
        <v/>
      </c>
      <c r="Y203" s="37">
        <f>IF(ISNUMBER('נתונים והנחות'!$I$31),IF(19&lt;=ROUND(1/(0.1*'נתונים והנחות'!$F$15),0),'נתונים והנחות'!$I$31*0.1*'נתונים והנחות'!$F$15,0),0)</f>
        <v/>
      </c>
      <c r="Z203" s="37">
        <f>IF(ISNUMBER('נתונים והנחות'!$I$31),IF(20&lt;=ROUND(1/(0.1*'נתונים והנחות'!$F$15),0),'נתונים והנחות'!$I$31*0.1*'נתונים והנחות'!$F$15,0),0)</f>
        <v/>
      </c>
    </row>
    <row r="204">
      <c r="B204" s="6" t="inlineStr">
        <is>
          <t>מגן מס מואץ — מערכות קיטור חשמליות</t>
        </is>
      </c>
      <c r="C204" s="9" t="inlineStr">
        <is>
          <t>₪</t>
        </is>
      </c>
      <c r="D204" s="9" t="inlineStr">
        <is>
          <t>חישוב</t>
        </is>
      </c>
      <c r="E204" s="9">
        <f> פחת מואץ × שיעור מס</f>
        <v/>
      </c>
      <c r="F204" s="37" t="n">
        <v>0</v>
      </c>
      <c r="G204" s="37">
        <f>G203*'נתונים והנחות'!$F$10</f>
        <v/>
      </c>
      <c r="H204" s="37">
        <f>H203*'נתונים והנחות'!$F$10</f>
        <v/>
      </c>
      <c r="I204" s="37">
        <f>I203*'נתונים והנחות'!$F$10</f>
        <v/>
      </c>
      <c r="J204" s="37">
        <f>J203*'נתונים והנחות'!$F$10</f>
        <v/>
      </c>
      <c r="K204" s="37">
        <f>K203*'נתונים והנחות'!$F$10</f>
        <v/>
      </c>
      <c r="L204" s="37">
        <f>L203*'נתונים והנחות'!$F$10</f>
        <v/>
      </c>
      <c r="M204" s="37">
        <f>M203*'נתונים והנחות'!$F$10</f>
        <v/>
      </c>
      <c r="N204" s="37">
        <f>N203*'נתונים והנחות'!$F$10</f>
        <v/>
      </c>
      <c r="O204" s="37">
        <f>O203*'נתונים והנחות'!$F$10</f>
        <v/>
      </c>
      <c r="P204" s="37">
        <f>P203*'נתונים והנחות'!$F$10</f>
        <v/>
      </c>
      <c r="Q204" s="37">
        <f>Q203*'נתונים והנחות'!$F$10</f>
        <v/>
      </c>
      <c r="R204" s="37">
        <f>R203*'נתונים והנחות'!$F$10</f>
        <v/>
      </c>
      <c r="S204" s="37">
        <f>S203*'נתונים והנחות'!$F$10</f>
        <v/>
      </c>
      <c r="T204" s="37">
        <f>T203*'נתונים והנחות'!$F$10</f>
        <v/>
      </c>
      <c r="U204" s="37">
        <f>U203*'נתונים והנחות'!$F$10</f>
        <v/>
      </c>
      <c r="V204" s="37">
        <f>V203*'נתונים והנחות'!$F$10</f>
        <v/>
      </c>
      <c r="W204" s="37">
        <f>W203*'נתונים והנחות'!$F$10</f>
        <v/>
      </c>
      <c r="X204" s="37">
        <f>X203*'נתונים והנחות'!$F$10</f>
        <v/>
      </c>
      <c r="Y204" s="37">
        <f>Y203*'נתונים והנחות'!$F$10</f>
        <v/>
      </c>
      <c r="Z204" s="37">
        <f>Z203*'נתונים והנחות'!$F$10</f>
        <v/>
      </c>
    </row>
    <row r="206">
      <c r="B206" s="34" t="inlineStr">
        <is>
          <t>ג. ניתוח תזרים מזומנים — שלושה תרחישים</t>
        </is>
      </c>
    </row>
    <row r="207">
      <c r="B207" s="20" t="inlineStr">
        <is>
          <t>פרמטר</t>
        </is>
      </c>
      <c r="C207" s="20" t="inlineStr">
        <is>
          <t>יחידות</t>
        </is>
      </c>
      <c r="D207" s="20" t="inlineStr">
        <is>
          <t>מקור</t>
        </is>
      </c>
      <c r="E207" s="20" t="inlineStr">
        <is>
          <t>הערות</t>
        </is>
      </c>
      <c r="F207" s="20" t="inlineStr">
        <is>
          <t>שנה 0 (השקעה)</t>
        </is>
      </c>
      <c r="G207" s="20" t="inlineStr">
        <is>
          <t>שנה 1</t>
        </is>
      </c>
      <c r="H207" s="20" t="inlineStr">
        <is>
          <t>שנה 2</t>
        </is>
      </c>
      <c r="I207" s="20" t="inlineStr">
        <is>
          <t>שנה 3</t>
        </is>
      </c>
      <c r="J207" s="20" t="inlineStr">
        <is>
          <t>שנה 4</t>
        </is>
      </c>
      <c r="K207" s="20" t="inlineStr">
        <is>
          <t>שנה 5</t>
        </is>
      </c>
      <c r="L207" s="20" t="inlineStr">
        <is>
          <t>שנה 6</t>
        </is>
      </c>
      <c r="M207" s="20" t="inlineStr">
        <is>
          <t>שנה 7</t>
        </is>
      </c>
      <c r="N207" s="20" t="inlineStr">
        <is>
          <t>שנה 8</t>
        </is>
      </c>
      <c r="O207" s="20" t="inlineStr">
        <is>
          <t>שנה 9</t>
        </is>
      </c>
      <c r="P207" s="20" t="inlineStr">
        <is>
          <t>שנה 10</t>
        </is>
      </c>
      <c r="Q207" s="20" t="inlineStr">
        <is>
          <t>שנה 11</t>
        </is>
      </c>
      <c r="R207" s="20" t="inlineStr">
        <is>
          <t>שנה 12</t>
        </is>
      </c>
      <c r="S207" s="20" t="inlineStr">
        <is>
          <t>שנה 13</t>
        </is>
      </c>
      <c r="T207" s="20" t="inlineStr">
        <is>
          <t>שנה 14</t>
        </is>
      </c>
      <c r="U207" s="20" t="inlineStr">
        <is>
          <t>שנה 15</t>
        </is>
      </c>
      <c r="V207" s="20" t="inlineStr">
        <is>
          <t>שנה 16</t>
        </is>
      </c>
      <c r="W207" s="20" t="inlineStr">
        <is>
          <t>שנה 17</t>
        </is>
      </c>
      <c r="X207" s="20" t="inlineStr">
        <is>
          <t>שנה 18</t>
        </is>
      </c>
      <c r="Y207" s="20" t="inlineStr">
        <is>
          <t>שנה 19</t>
        </is>
      </c>
      <c r="Z207" s="20" t="inlineStr">
        <is>
          <t>שנה 20</t>
        </is>
      </c>
    </row>
    <row r="208">
      <c r="B208" s="38" t="inlineStr">
        <is>
          <t>תרחיש A — רכישת קיטור מבוסס דלק / גז (ציוד קיים / לא יעיל)</t>
        </is>
      </c>
    </row>
    <row r="209">
      <c r="B209" s="4" t="inlineStr">
        <is>
          <t>השקעה ראשונית</t>
        </is>
      </c>
      <c r="C209" s="9" t="inlineStr">
        <is>
          <t>₪</t>
        </is>
      </c>
      <c r="D209" s="9" t="inlineStr">
        <is>
          <t>חישוב</t>
        </is>
      </c>
      <c r="F209" s="35">
        <f>IF(ISNUMBER('נתונים והנחות'!$I$30),-'נתונים והנחות'!$I$30,"PENDING")</f>
        <v/>
      </c>
    </row>
    <row r="210">
      <c r="B210" s="4" t="inlineStr">
        <is>
          <t>OPEX אנרגיה</t>
        </is>
      </c>
      <c r="C210" s="9" t="inlineStr">
        <is>
          <t>₪</t>
        </is>
      </c>
      <c r="D210" s="9" t="inlineStr">
        <is>
          <t>חישוב</t>
        </is>
      </c>
      <c r="F210" s="35" t="n">
        <v>0</v>
      </c>
      <c r="G210" s="35">
        <f>IF(ISNUMBER('נתונים והנחות'!$I$41),-'נתונים והנחות'!$I$41,0)</f>
        <v/>
      </c>
      <c r="H210" s="35">
        <f>IF(ISNUMBER('נתונים והנחות'!$I$41),-'נתונים והנחות'!$I$41,0)</f>
        <v/>
      </c>
      <c r="I210" s="35">
        <f>IF(ISNUMBER('נתונים והנחות'!$I$41),-'נתונים והנחות'!$I$41,0)</f>
        <v/>
      </c>
      <c r="J210" s="35">
        <f>IF(ISNUMBER('נתונים והנחות'!$I$41),-'נתונים והנחות'!$I$41,0)</f>
        <v/>
      </c>
      <c r="K210" s="35">
        <f>IF(ISNUMBER('נתונים והנחות'!$I$41),-'נתונים והנחות'!$I$41,0)</f>
        <v/>
      </c>
      <c r="L210" s="35">
        <f>IF(ISNUMBER('נתונים והנחות'!$I$41),-'נתונים והנחות'!$I$41,0)</f>
        <v/>
      </c>
      <c r="M210" s="35">
        <f>IF(ISNUMBER('נתונים והנחות'!$I$41),-'נתונים והנחות'!$I$41,0)</f>
        <v/>
      </c>
      <c r="N210" s="35">
        <f>IF(ISNUMBER('נתונים והנחות'!$I$41),-'נתונים והנחות'!$I$41,0)</f>
        <v/>
      </c>
      <c r="O210" s="35">
        <f>IF(ISNUMBER('נתונים והנחות'!$I$41),-'נתונים והנחות'!$I$41,0)</f>
        <v/>
      </c>
      <c r="P210" s="35">
        <f>IF(ISNUMBER('נתונים והנחות'!$I$41),-'נתונים והנחות'!$I$41,0)</f>
        <v/>
      </c>
      <c r="Q210" s="35">
        <f>IF(ISNUMBER('נתונים והנחות'!$I$41),-'נתונים והנחות'!$I$41,0)</f>
        <v/>
      </c>
      <c r="R210" s="35">
        <f>IF(ISNUMBER('נתונים והנחות'!$I$41),-'נתונים והנחות'!$I$41,0)</f>
        <v/>
      </c>
      <c r="S210" s="35">
        <f>IF(ISNUMBER('נתונים והנחות'!$I$41),-'נתונים והנחות'!$I$41,0)</f>
        <v/>
      </c>
      <c r="T210" s="35">
        <f>IF(ISNUMBER('נתונים והנחות'!$I$41),-'נתונים והנחות'!$I$41,0)</f>
        <v/>
      </c>
      <c r="U210" s="35">
        <f>IF(ISNUMBER('נתונים והנחות'!$I$41),-'נתונים והנחות'!$I$41,0)</f>
        <v/>
      </c>
      <c r="V210" s="35">
        <f>0</f>
        <v/>
      </c>
      <c r="W210" s="35">
        <f>0</f>
        <v/>
      </c>
      <c r="X210" s="35">
        <f>0</f>
        <v/>
      </c>
      <c r="Y210" s="35">
        <f>0</f>
        <v/>
      </c>
      <c r="Z210" s="35">
        <f>0</f>
        <v/>
      </c>
    </row>
    <row r="211">
      <c r="B211" s="4" t="inlineStr">
        <is>
          <t>OPEX אחר (תחזוקה וכו')</t>
        </is>
      </c>
      <c r="C211" s="9" t="inlineStr">
        <is>
          <t>₪</t>
        </is>
      </c>
      <c r="D211" s="9" t="inlineStr">
        <is>
          <t>חישוב</t>
        </is>
      </c>
      <c r="F211" s="35" t="n">
        <v>0</v>
      </c>
      <c r="G211" s="35">
        <f>IF(ISNUMBER('נתונים והנחות'!$I$39),-'נתונים והנחות'!$I$39,0)</f>
        <v/>
      </c>
      <c r="H211" s="35">
        <f>IF(ISNUMBER('נתונים והנחות'!$I$39),-'נתונים והנחות'!$I$39,0)</f>
        <v/>
      </c>
      <c r="I211" s="35">
        <f>IF(ISNUMBER('נתונים והנחות'!$I$39),-'נתונים והנחות'!$I$39,0)</f>
        <v/>
      </c>
      <c r="J211" s="35">
        <f>IF(ISNUMBER('נתונים והנחות'!$I$39),-'נתונים והנחות'!$I$39,0)</f>
        <v/>
      </c>
      <c r="K211" s="35">
        <f>IF(ISNUMBER('נתונים והנחות'!$I$39),-'נתונים והנחות'!$I$39,0)</f>
        <v/>
      </c>
      <c r="L211" s="35">
        <f>IF(ISNUMBER('נתונים והנחות'!$I$39),-'נתונים והנחות'!$I$39,0)</f>
        <v/>
      </c>
      <c r="M211" s="35">
        <f>IF(ISNUMBER('נתונים והנחות'!$I$39),-'נתונים והנחות'!$I$39,0)</f>
        <v/>
      </c>
      <c r="N211" s="35">
        <f>IF(ISNUMBER('נתונים והנחות'!$I$39),-'נתונים והנחות'!$I$39,0)</f>
        <v/>
      </c>
      <c r="O211" s="35">
        <f>IF(ISNUMBER('נתונים והנחות'!$I$39),-'נתונים והנחות'!$I$39,0)</f>
        <v/>
      </c>
      <c r="P211" s="35">
        <f>IF(ISNUMBER('נתונים והנחות'!$I$39),-'נתונים והנחות'!$I$39,0)</f>
        <v/>
      </c>
      <c r="Q211" s="35">
        <f>IF(ISNUMBER('נתונים והנחות'!$I$39),-'נתונים והנחות'!$I$39,0)</f>
        <v/>
      </c>
      <c r="R211" s="35">
        <f>IF(ISNUMBER('נתונים והנחות'!$I$39),-'נתונים והנחות'!$I$39,0)</f>
        <v/>
      </c>
      <c r="S211" s="35">
        <f>IF(ISNUMBER('נתונים והנחות'!$I$39),-'נתונים והנחות'!$I$39,0)</f>
        <v/>
      </c>
      <c r="T211" s="35">
        <f>IF(ISNUMBER('נתונים והנחות'!$I$39),-'נתונים והנחות'!$I$39,0)</f>
        <v/>
      </c>
      <c r="U211" s="35">
        <f>IF(ISNUMBER('נתונים והנחות'!$I$39),-'נתונים והנחות'!$I$39,0)</f>
        <v/>
      </c>
      <c r="V211" s="35">
        <f>0</f>
        <v/>
      </c>
      <c r="W211" s="35">
        <f>0</f>
        <v/>
      </c>
      <c r="X211" s="35">
        <f>0</f>
        <v/>
      </c>
      <c r="Y211" s="35">
        <f>0</f>
        <v/>
      </c>
      <c r="Z211" s="35">
        <f>0</f>
        <v/>
      </c>
    </row>
    <row r="212">
      <c r="B212" s="4" t="inlineStr">
        <is>
          <t>תזרים נקי — תרחיש A</t>
        </is>
      </c>
      <c r="C212" s="9" t="inlineStr">
        <is>
          <t>₪</t>
        </is>
      </c>
      <c r="D212" s="9" t="inlineStr">
        <is>
          <t>חישוב</t>
        </is>
      </c>
      <c r="F212" s="35">
        <f>F209</f>
        <v/>
      </c>
      <c r="G212" s="35">
        <f>G210+G211+G200</f>
        <v/>
      </c>
      <c r="H212" s="35">
        <f>H210+H211+H200</f>
        <v/>
      </c>
      <c r="I212" s="35">
        <f>I210+I211+I200</f>
        <v/>
      </c>
      <c r="J212" s="35">
        <f>J210+J211+J200</f>
        <v/>
      </c>
      <c r="K212" s="35">
        <f>K210+K211+K200</f>
        <v/>
      </c>
      <c r="L212" s="35">
        <f>L210+L211+L200</f>
        <v/>
      </c>
      <c r="M212" s="35">
        <f>M210+M211+M200</f>
        <v/>
      </c>
      <c r="N212" s="35">
        <f>N210+N211+N200</f>
        <v/>
      </c>
      <c r="O212" s="35">
        <f>O210+O211+O200</f>
        <v/>
      </c>
      <c r="P212" s="35">
        <f>P210+P211+P200</f>
        <v/>
      </c>
      <c r="Q212" s="35">
        <f>Q210+Q211+Q200</f>
        <v/>
      </c>
      <c r="R212" s="35">
        <f>R210+R211+R200</f>
        <v/>
      </c>
      <c r="S212" s="35">
        <f>S210+S211+S200</f>
        <v/>
      </c>
      <c r="T212" s="35">
        <f>T210+T211+T200</f>
        <v/>
      </c>
      <c r="U212" s="35">
        <f>U210+U211+U200</f>
        <v/>
      </c>
      <c r="V212" s="35">
        <f>V210+V211+V200</f>
        <v/>
      </c>
      <c r="W212" s="35">
        <f>W210+W211+W200</f>
        <v/>
      </c>
      <c r="X212" s="35">
        <f>X210+X211+X200</f>
        <v/>
      </c>
      <c r="Y212" s="35">
        <f>Y210+Y211+Y200</f>
        <v/>
      </c>
      <c r="Z212" s="35">
        <f>Z210+Z211+Z200</f>
        <v/>
      </c>
    </row>
    <row r="213">
      <c r="B213" s="4" t="inlineStr">
        <is>
          <t>תזרים מהוון — תרחיש A</t>
        </is>
      </c>
      <c r="C213" s="9" t="inlineStr">
        <is>
          <t>₪</t>
        </is>
      </c>
      <c r="D213" s="9" t="inlineStr">
        <is>
          <t>חישוב</t>
        </is>
      </c>
      <c r="F213" s="35">
        <f>F212</f>
        <v/>
      </c>
      <c r="G213" s="35">
        <f>G212/(1+'נתונים והנחות'!$F$11)^1</f>
        <v/>
      </c>
      <c r="H213" s="35">
        <f>H212/(1+'נתונים והנחות'!$F$11)^2</f>
        <v/>
      </c>
      <c r="I213" s="35">
        <f>I212/(1+'נתונים והנחות'!$F$11)^3</f>
        <v/>
      </c>
      <c r="J213" s="35">
        <f>J212/(1+'נתונים והנחות'!$F$11)^4</f>
        <v/>
      </c>
      <c r="K213" s="35">
        <f>K212/(1+'נתונים והנחות'!$F$11)^5</f>
        <v/>
      </c>
      <c r="L213" s="35">
        <f>L212/(1+'נתונים והנחות'!$F$11)^6</f>
        <v/>
      </c>
      <c r="M213" s="35">
        <f>M212/(1+'נתונים והנחות'!$F$11)^7</f>
        <v/>
      </c>
      <c r="N213" s="35">
        <f>N212/(1+'נתונים והנחות'!$F$11)^8</f>
        <v/>
      </c>
      <c r="O213" s="35">
        <f>O212/(1+'נתונים והנחות'!$F$11)^9</f>
        <v/>
      </c>
      <c r="P213" s="35">
        <f>P212/(1+'נתונים והנחות'!$F$11)^10</f>
        <v/>
      </c>
      <c r="Q213" s="35">
        <f>Q212/(1+'נתונים והנחות'!$F$11)^11</f>
        <v/>
      </c>
      <c r="R213" s="35">
        <f>R212/(1+'נתונים והנחות'!$F$11)^12</f>
        <v/>
      </c>
      <c r="S213" s="35">
        <f>S212/(1+'נתונים והנחות'!$F$11)^13</f>
        <v/>
      </c>
      <c r="T213" s="35">
        <f>T212/(1+'נתונים והנחות'!$F$11)^14</f>
        <v/>
      </c>
      <c r="U213" s="35">
        <f>U212/(1+'נתונים והנחות'!$F$11)^15</f>
        <v/>
      </c>
      <c r="V213" s="35">
        <f>V212/(1+'נתונים והנחות'!$F$11)^16</f>
        <v/>
      </c>
      <c r="W213" s="35">
        <f>W212/(1+'נתונים והנחות'!$F$11)^17</f>
        <v/>
      </c>
      <c r="X213" s="35">
        <f>X212/(1+'נתונים והנחות'!$F$11)^18</f>
        <v/>
      </c>
      <c r="Y213" s="35">
        <f>Y212/(1+'נתונים והנחות'!$F$11)^19</f>
        <v/>
      </c>
      <c r="Z213" s="35">
        <f>Z212/(1+'נתונים והנחות'!$F$11)^20</f>
        <v/>
      </c>
    </row>
    <row r="214">
      <c r="B214" s="4" t="inlineStr">
        <is>
          <t>NPV מצטבר — תרחיש A</t>
        </is>
      </c>
      <c r="C214" s="9" t="inlineStr">
        <is>
          <t>₪</t>
        </is>
      </c>
      <c r="D214" s="9" t="inlineStr">
        <is>
          <t>חישוב</t>
        </is>
      </c>
      <c r="F214" s="35">
        <f>F213</f>
        <v/>
      </c>
      <c r="G214" s="35">
        <f>F214+G213</f>
        <v/>
      </c>
      <c r="H214" s="35">
        <f>G214+H213</f>
        <v/>
      </c>
      <c r="I214" s="35">
        <f>H214+I213</f>
        <v/>
      </c>
      <c r="J214" s="35">
        <f>I214+J213</f>
        <v/>
      </c>
      <c r="K214" s="35">
        <f>J214+K213</f>
        <v/>
      </c>
      <c r="L214" s="35">
        <f>K214+L213</f>
        <v/>
      </c>
      <c r="M214" s="35">
        <f>L214+M213</f>
        <v/>
      </c>
      <c r="N214" s="35">
        <f>M214+N213</f>
        <v/>
      </c>
      <c r="O214" s="35">
        <f>N214+O213</f>
        <v/>
      </c>
      <c r="P214" s="35">
        <f>O214+P213</f>
        <v/>
      </c>
      <c r="Q214" s="35">
        <f>P214+Q213</f>
        <v/>
      </c>
      <c r="R214" s="35">
        <f>Q214+R213</f>
        <v/>
      </c>
      <c r="S214" s="35">
        <f>R214+S213</f>
        <v/>
      </c>
      <c r="T214" s="35">
        <f>S214+T213</f>
        <v/>
      </c>
      <c r="U214" s="35">
        <f>T214+U213</f>
        <v/>
      </c>
      <c r="V214" s="35">
        <f>U214+V213</f>
        <v/>
      </c>
      <c r="W214" s="35">
        <f>V214+W213</f>
        <v/>
      </c>
      <c r="X214" s="35">
        <f>W214+X213</f>
        <v/>
      </c>
      <c r="Y214" s="35">
        <f>X214+Y213</f>
        <v/>
      </c>
      <c r="Z214" s="35">
        <f>Y214+Z213</f>
        <v/>
      </c>
    </row>
    <row r="216">
      <c r="B216" s="39" t="inlineStr">
        <is>
          <t>תרחיש B — רכישת מערכות קיטור חשמליות | פחת סטנדרטי (ללא תמריץ)</t>
        </is>
      </c>
    </row>
    <row r="217">
      <c r="B217" s="5" t="inlineStr">
        <is>
          <t>השקעה ראשונית</t>
        </is>
      </c>
      <c r="C217" s="9" t="inlineStr">
        <is>
          <t>₪</t>
        </is>
      </c>
      <c r="D217" s="9" t="inlineStr">
        <is>
          <t>חישוב</t>
        </is>
      </c>
      <c r="F217" s="36">
        <f>IF(ISNUMBER('נתונים והנחות'!$I$31),-'נתונים והנחות'!$I$31,"PENDING")</f>
        <v/>
      </c>
    </row>
    <row r="218">
      <c r="B218" s="5" t="inlineStr">
        <is>
          <t>OPEX אנרגיה (עם שחיקה שנתית)</t>
        </is>
      </c>
      <c r="C218" s="9" t="inlineStr">
        <is>
          <t>₪</t>
        </is>
      </c>
      <c r="D218" s="9" t="inlineStr">
        <is>
          <t>חישוב</t>
        </is>
      </c>
      <c r="F218" s="36" t="n">
        <v>0</v>
      </c>
      <c r="G218" s="36">
        <f>IF(ISNUMBER('נתונים והנחות'!$I$42),-'נתונים והנחות'!$I$42*(1-'נתונים והנחות'!$I$38)^0,0)</f>
        <v/>
      </c>
      <c r="H218" s="36">
        <f>IF(ISNUMBER('נתונים והנחות'!$I$42),-'נתונים והנחות'!$I$42*(1-'נתונים והנחות'!$I$38)^1,0)</f>
        <v/>
      </c>
      <c r="I218" s="36">
        <f>IF(ISNUMBER('נתונים והנחות'!$I$42),-'נתונים והנחות'!$I$42*(1-'נתונים והנחות'!$I$38)^2,0)</f>
        <v/>
      </c>
      <c r="J218" s="36">
        <f>IF(ISNUMBER('נתונים והנחות'!$I$42),-'נתונים והנחות'!$I$42*(1-'נתונים והנחות'!$I$38)^3,0)</f>
        <v/>
      </c>
      <c r="K218" s="36">
        <f>IF(ISNUMBER('נתונים והנחות'!$I$42),-'נתונים והנחות'!$I$42*(1-'נתונים והנחות'!$I$38)^4,0)</f>
        <v/>
      </c>
      <c r="L218" s="36">
        <f>IF(ISNUMBER('נתונים והנחות'!$I$42),-'נתונים והנחות'!$I$42*(1-'נתונים והנחות'!$I$38)^5,0)</f>
        <v/>
      </c>
      <c r="M218" s="36">
        <f>IF(ISNUMBER('נתונים והנחות'!$I$42),-'נתונים והנחות'!$I$42*(1-'נתונים והנחות'!$I$38)^6,0)</f>
        <v/>
      </c>
      <c r="N218" s="36">
        <f>IF(ISNUMBER('נתונים והנחות'!$I$42),-'נתונים והנחות'!$I$42*(1-'נתונים והנחות'!$I$38)^7,0)</f>
        <v/>
      </c>
      <c r="O218" s="36">
        <f>IF(ISNUMBER('נתונים והנחות'!$I$42),-'נתונים והנחות'!$I$42*(1-'נתונים והנחות'!$I$38)^8,0)</f>
        <v/>
      </c>
      <c r="P218" s="36">
        <f>IF(ISNUMBER('נתונים והנחות'!$I$42),-'נתונים והנחות'!$I$42*(1-'נתונים והנחות'!$I$38)^9,0)</f>
        <v/>
      </c>
      <c r="Q218" s="36">
        <f>0</f>
        <v/>
      </c>
      <c r="R218" s="36">
        <f>0</f>
        <v/>
      </c>
      <c r="S218" s="36">
        <f>0</f>
        <v/>
      </c>
      <c r="T218" s="36">
        <f>0</f>
        <v/>
      </c>
      <c r="U218" s="36">
        <f>0</f>
        <v/>
      </c>
      <c r="V218" s="36">
        <f>0</f>
        <v/>
      </c>
      <c r="W218" s="36">
        <f>0</f>
        <v/>
      </c>
      <c r="X218" s="36">
        <f>0</f>
        <v/>
      </c>
      <c r="Y218" s="36">
        <f>0</f>
        <v/>
      </c>
      <c r="Z218" s="36">
        <f>0</f>
        <v/>
      </c>
    </row>
    <row r="219">
      <c r="B219" s="5" t="inlineStr">
        <is>
          <t>OPEX אחר (תחזוקה וכו')</t>
        </is>
      </c>
      <c r="C219" s="9" t="inlineStr">
        <is>
          <t>₪</t>
        </is>
      </c>
      <c r="D219" s="9" t="inlineStr">
        <is>
          <t>חישוב</t>
        </is>
      </c>
      <c r="F219" s="36" t="n">
        <v>0</v>
      </c>
      <c r="G219" s="36">
        <f>IF(ISNUMBER('נתונים והנחות'!$I$40),-'נתונים והנחות'!$I$40,0)</f>
        <v/>
      </c>
      <c r="H219" s="36">
        <f>IF(ISNUMBER('נתונים והנחות'!$I$40),-'נתונים והנחות'!$I$40,0)</f>
        <v/>
      </c>
      <c r="I219" s="36">
        <f>IF(ISNUMBER('נתונים והנחות'!$I$40),-'נתונים והנחות'!$I$40,0)</f>
        <v/>
      </c>
      <c r="J219" s="36">
        <f>IF(ISNUMBER('נתונים והנחות'!$I$40),-'נתונים והנחות'!$I$40,0)</f>
        <v/>
      </c>
      <c r="K219" s="36">
        <f>IF(ISNUMBER('נתונים והנחות'!$I$40),-'נתונים והנחות'!$I$40,0)</f>
        <v/>
      </c>
      <c r="L219" s="36">
        <f>IF(ISNUMBER('נתונים והנחות'!$I$40),-'נתונים והנחות'!$I$40,0)</f>
        <v/>
      </c>
      <c r="M219" s="36">
        <f>IF(ISNUMBER('נתונים והנחות'!$I$40),-'נתונים והנחות'!$I$40,0)</f>
        <v/>
      </c>
      <c r="N219" s="36">
        <f>IF(ISNUMBER('נתונים והנחות'!$I$40),-'נתונים והנחות'!$I$40,0)</f>
        <v/>
      </c>
      <c r="O219" s="36">
        <f>IF(ISNUMBER('נתונים והנחות'!$I$40),-'נתונים והנחות'!$I$40,0)</f>
        <v/>
      </c>
      <c r="P219" s="36">
        <f>IF(ISNUMBER('נתונים והנחות'!$I$40),-'נתונים והנחות'!$I$40,0)</f>
        <v/>
      </c>
      <c r="Q219" s="36">
        <f>0</f>
        <v/>
      </c>
      <c r="R219" s="36">
        <f>0</f>
        <v/>
      </c>
      <c r="S219" s="36">
        <f>0</f>
        <v/>
      </c>
      <c r="T219" s="36">
        <f>0</f>
        <v/>
      </c>
      <c r="U219" s="36">
        <f>0</f>
        <v/>
      </c>
      <c r="V219" s="36">
        <f>0</f>
        <v/>
      </c>
      <c r="W219" s="36">
        <f>0</f>
        <v/>
      </c>
      <c r="X219" s="36">
        <f>0</f>
        <v/>
      </c>
      <c r="Y219" s="36">
        <f>0</f>
        <v/>
      </c>
      <c r="Z219" s="36">
        <f>0</f>
        <v/>
      </c>
    </row>
    <row r="220">
      <c r="B220" s="5" t="inlineStr">
        <is>
          <t>תזרים נקי — תרחיש B</t>
        </is>
      </c>
      <c r="C220" s="9" t="inlineStr">
        <is>
          <t>₪</t>
        </is>
      </c>
      <c r="D220" s="9" t="inlineStr">
        <is>
          <t>חישוב</t>
        </is>
      </c>
      <c r="F220" s="36">
        <f>F217</f>
        <v/>
      </c>
      <c r="G220" s="36">
        <f>G218+G219+G202</f>
        <v/>
      </c>
      <c r="H220" s="36">
        <f>H218+H219+H202</f>
        <v/>
      </c>
      <c r="I220" s="36">
        <f>I218+I219+I202</f>
        <v/>
      </c>
      <c r="J220" s="36">
        <f>J218+J219+J202</f>
        <v/>
      </c>
      <c r="K220" s="36">
        <f>K218+K219+K202</f>
        <v/>
      </c>
      <c r="L220" s="36">
        <f>L218+L219+L202</f>
        <v/>
      </c>
      <c r="M220" s="36">
        <f>M218+M219+M202</f>
        <v/>
      </c>
      <c r="N220" s="36">
        <f>N218+N219+N202</f>
        <v/>
      </c>
      <c r="O220" s="36">
        <f>O218+O219+O202</f>
        <v/>
      </c>
      <c r="P220" s="36">
        <f>P218+P219+P202</f>
        <v/>
      </c>
      <c r="Q220" s="36">
        <f>Q218+Q219+Q202</f>
        <v/>
      </c>
      <c r="R220" s="36">
        <f>R218+R219+R202</f>
        <v/>
      </c>
      <c r="S220" s="36">
        <f>S218+S219+S202</f>
        <v/>
      </c>
      <c r="T220" s="36">
        <f>T218+T219+T202</f>
        <v/>
      </c>
      <c r="U220" s="36">
        <f>U218+U219+U202</f>
        <v/>
      </c>
      <c r="V220" s="36">
        <f>V218+V219+V202</f>
        <v/>
      </c>
      <c r="W220" s="36">
        <f>W218+W219+W202</f>
        <v/>
      </c>
      <c r="X220" s="36">
        <f>X218+X219+X202</f>
        <v/>
      </c>
      <c r="Y220" s="36">
        <f>Y218+Y219+Y202</f>
        <v/>
      </c>
      <c r="Z220" s="36">
        <f>Z218+Z219+Z202</f>
        <v/>
      </c>
    </row>
    <row r="221">
      <c r="B221" s="5" t="inlineStr">
        <is>
          <t>תזרים מהוון — תרחיש B</t>
        </is>
      </c>
      <c r="C221" s="9" t="inlineStr">
        <is>
          <t>₪</t>
        </is>
      </c>
      <c r="D221" s="9" t="inlineStr">
        <is>
          <t>חישוב</t>
        </is>
      </c>
      <c r="F221" s="36">
        <f>F220</f>
        <v/>
      </c>
      <c r="G221" s="36">
        <f>G220/(1+'נתונים והנחות'!$F$11)^1</f>
        <v/>
      </c>
      <c r="H221" s="36">
        <f>H220/(1+'נתונים והנחות'!$F$11)^2</f>
        <v/>
      </c>
      <c r="I221" s="36">
        <f>I220/(1+'נתונים והנחות'!$F$11)^3</f>
        <v/>
      </c>
      <c r="J221" s="36">
        <f>J220/(1+'נתונים והנחות'!$F$11)^4</f>
        <v/>
      </c>
      <c r="K221" s="36">
        <f>K220/(1+'נתונים והנחות'!$F$11)^5</f>
        <v/>
      </c>
      <c r="L221" s="36">
        <f>L220/(1+'נתונים והנחות'!$F$11)^6</f>
        <v/>
      </c>
      <c r="M221" s="36">
        <f>M220/(1+'נתונים והנחות'!$F$11)^7</f>
        <v/>
      </c>
      <c r="N221" s="36">
        <f>N220/(1+'נתונים והנחות'!$F$11)^8</f>
        <v/>
      </c>
      <c r="O221" s="36">
        <f>O220/(1+'נתונים והנחות'!$F$11)^9</f>
        <v/>
      </c>
      <c r="P221" s="36">
        <f>P220/(1+'נתונים והנחות'!$F$11)^10</f>
        <v/>
      </c>
      <c r="Q221" s="36">
        <f>Q220/(1+'נתונים והנחות'!$F$11)^11</f>
        <v/>
      </c>
      <c r="R221" s="36">
        <f>R220/(1+'נתונים והנחות'!$F$11)^12</f>
        <v/>
      </c>
      <c r="S221" s="36">
        <f>S220/(1+'נתונים והנחות'!$F$11)^13</f>
        <v/>
      </c>
      <c r="T221" s="36">
        <f>T220/(1+'נתונים והנחות'!$F$11)^14</f>
        <v/>
      </c>
      <c r="U221" s="36">
        <f>U220/(1+'נתונים והנחות'!$F$11)^15</f>
        <v/>
      </c>
      <c r="V221" s="36">
        <f>V220/(1+'נתונים והנחות'!$F$11)^16</f>
        <v/>
      </c>
      <c r="W221" s="36">
        <f>W220/(1+'נתונים והנחות'!$F$11)^17</f>
        <v/>
      </c>
      <c r="X221" s="36">
        <f>X220/(1+'נתונים והנחות'!$F$11)^18</f>
        <v/>
      </c>
      <c r="Y221" s="36">
        <f>Y220/(1+'נתונים והנחות'!$F$11)^19</f>
        <v/>
      </c>
      <c r="Z221" s="36">
        <f>Z220/(1+'נתונים והנחות'!$F$11)^20</f>
        <v/>
      </c>
    </row>
    <row r="222">
      <c r="B222" s="5" t="inlineStr">
        <is>
          <t>NPV מצטבר — תרחיש B</t>
        </is>
      </c>
      <c r="C222" s="9" t="inlineStr">
        <is>
          <t>₪</t>
        </is>
      </c>
      <c r="D222" s="9" t="inlineStr">
        <is>
          <t>חישוב</t>
        </is>
      </c>
      <c r="F222" s="36">
        <f>F221</f>
        <v/>
      </c>
      <c r="G222" s="36">
        <f>F222+G221</f>
        <v/>
      </c>
      <c r="H222" s="36">
        <f>G222+H221</f>
        <v/>
      </c>
      <c r="I222" s="36">
        <f>H222+I221</f>
        <v/>
      </c>
      <c r="J222" s="36">
        <f>I222+J221</f>
        <v/>
      </c>
      <c r="K222" s="36">
        <f>J222+K221</f>
        <v/>
      </c>
      <c r="L222" s="36">
        <f>K222+L221</f>
        <v/>
      </c>
      <c r="M222" s="36">
        <f>L222+M221</f>
        <v/>
      </c>
      <c r="N222" s="36">
        <f>M222+N221</f>
        <v/>
      </c>
      <c r="O222" s="36">
        <f>N222+O221</f>
        <v/>
      </c>
      <c r="P222" s="36">
        <f>O222+P221</f>
        <v/>
      </c>
      <c r="Q222" s="36">
        <f>P222+Q221</f>
        <v/>
      </c>
      <c r="R222" s="36">
        <f>Q222+R221</f>
        <v/>
      </c>
      <c r="S222" s="36">
        <f>R222+S221</f>
        <v/>
      </c>
      <c r="T222" s="36">
        <f>S222+T221</f>
        <v/>
      </c>
      <c r="U222" s="36">
        <f>T222+U221</f>
        <v/>
      </c>
      <c r="V222" s="36">
        <f>U222+V221</f>
        <v/>
      </c>
      <c r="W222" s="36">
        <f>V222+W221</f>
        <v/>
      </c>
      <c r="X222" s="36">
        <f>W222+X221</f>
        <v/>
      </c>
      <c r="Y222" s="36">
        <f>X222+Y221</f>
        <v/>
      </c>
      <c r="Z222" s="36">
        <f>Y222+Z221</f>
        <v/>
      </c>
    </row>
    <row r="224">
      <c r="B224" s="40" t="inlineStr">
        <is>
          <t>תרחיש C — רכישת מערכות קיטור חשמליות | פחת מואץ (עם תמריץ)</t>
        </is>
      </c>
    </row>
    <row r="225">
      <c r="B225" s="32" t="inlineStr">
        <is>
          <t>* OPEX זהה לתרחיש B — ההבדל הוא מגן המס המואץ בלבד</t>
        </is>
      </c>
    </row>
    <row r="226">
      <c r="B226" s="6" t="inlineStr">
        <is>
          <t>תזרים נקי — תרחיש C</t>
        </is>
      </c>
      <c r="C226" s="9" t="inlineStr">
        <is>
          <t>₪</t>
        </is>
      </c>
      <c r="D226" s="9" t="inlineStr">
        <is>
          <t>חישוב</t>
        </is>
      </c>
      <c r="F226" s="37">
        <f>F217</f>
        <v/>
      </c>
      <c r="G226" s="37">
        <f>G218+G219+G204</f>
        <v/>
      </c>
      <c r="H226" s="37">
        <f>H218+H219+H204</f>
        <v/>
      </c>
      <c r="I226" s="37">
        <f>I218+I219+I204</f>
        <v/>
      </c>
      <c r="J226" s="37">
        <f>J218+J219+J204</f>
        <v/>
      </c>
      <c r="K226" s="37">
        <f>K218+K219+K204</f>
        <v/>
      </c>
      <c r="L226" s="37">
        <f>L218+L219+L204</f>
        <v/>
      </c>
      <c r="M226" s="37">
        <f>M218+M219+M204</f>
        <v/>
      </c>
      <c r="N226" s="37">
        <f>N218+N219+N204</f>
        <v/>
      </c>
      <c r="O226" s="37">
        <f>O218+O219+O204</f>
        <v/>
      </c>
      <c r="P226" s="37">
        <f>P218+P219+P204</f>
        <v/>
      </c>
      <c r="Q226" s="37">
        <f>Q218+Q219+Q204</f>
        <v/>
      </c>
      <c r="R226" s="37">
        <f>R218+R219+R204</f>
        <v/>
      </c>
      <c r="S226" s="37">
        <f>S218+S219+S204</f>
        <v/>
      </c>
      <c r="T226" s="37">
        <f>T218+T219+T204</f>
        <v/>
      </c>
      <c r="U226" s="37">
        <f>U218+U219+U204</f>
        <v/>
      </c>
      <c r="V226" s="37">
        <f>V218+V219+V204</f>
        <v/>
      </c>
      <c r="W226" s="37">
        <f>W218+W219+W204</f>
        <v/>
      </c>
      <c r="X226" s="37">
        <f>X218+X219+X204</f>
        <v/>
      </c>
      <c r="Y226" s="37">
        <f>Y218+Y219+Y204</f>
        <v/>
      </c>
      <c r="Z226" s="37">
        <f>Z218+Z219+Z204</f>
        <v/>
      </c>
    </row>
    <row r="227">
      <c r="B227" s="6" t="inlineStr">
        <is>
          <t>תזרים מהוון — תרחיש C</t>
        </is>
      </c>
      <c r="C227" s="9" t="inlineStr">
        <is>
          <t>₪</t>
        </is>
      </c>
      <c r="D227" s="9" t="inlineStr">
        <is>
          <t>חישוב</t>
        </is>
      </c>
      <c r="F227" s="37">
        <f>F226</f>
        <v/>
      </c>
      <c r="G227" s="37">
        <f>G226/(1+'נתונים והנחות'!$F$11)^1</f>
        <v/>
      </c>
      <c r="H227" s="37">
        <f>H226/(1+'נתונים והנחות'!$F$11)^2</f>
        <v/>
      </c>
      <c r="I227" s="37">
        <f>I226/(1+'נתונים והנחות'!$F$11)^3</f>
        <v/>
      </c>
      <c r="J227" s="37">
        <f>J226/(1+'נתונים והנחות'!$F$11)^4</f>
        <v/>
      </c>
      <c r="K227" s="37">
        <f>K226/(1+'נתונים והנחות'!$F$11)^5</f>
        <v/>
      </c>
      <c r="L227" s="37">
        <f>L226/(1+'נתונים והנחות'!$F$11)^6</f>
        <v/>
      </c>
      <c r="M227" s="37">
        <f>M226/(1+'נתונים והנחות'!$F$11)^7</f>
        <v/>
      </c>
      <c r="N227" s="37">
        <f>N226/(1+'נתונים והנחות'!$F$11)^8</f>
        <v/>
      </c>
      <c r="O227" s="37">
        <f>O226/(1+'נתונים והנחות'!$F$11)^9</f>
        <v/>
      </c>
      <c r="P227" s="37">
        <f>P226/(1+'נתונים והנחות'!$F$11)^10</f>
        <v/>
      </c>
      <c r="Q227" s="37">
        <f>Q226/(1+'נתונים והנחות'!$F$11)^11</f>
        <v/>
      </c>
      <c r="R227" s="37">
        <f>R226/(1+'נתונים והנחות'!$F$11)^12</f>
        <v/>
      </c>
      <c r="S227" s="37">
        <f>S226/(1+'נתונים והנחות'!$F$11)^13</f>
        <v/>
      </c>
      <c r="T227" s="37">
        <f>T226/(1+'נתונים והנחות'!$F$11)^14</f>
        <v/>
      </c>
      <c r="U227" s="37">
        <f>U226/(1+'נתונים והנחות'!$F$11)^15</f>
        <v/>
      </c>
      <c r="V227" s="37">
        <f>V226/(1+'נתונים והנחות'!$F$11)^16</f>
        <v/>
      </c>
      <c r="W227" s="37">
        <f>W226/(1+'נתונים והנחות'!$F$11)^17</f>
        <v/>
      </c>
      <c r="X227" s="37">
        <f>X226/(1+'נתונים והנחות'!$F$11)^18</f>
        <v/>
      </c>
      <c r="Y227" s="37">
        <f>Y226/(1+'נתונים והנחות'!$F$11)^19</f>
        <v/>
      </c>
      <c r="Z227" s="37">
        <f>Z226/(1+'נתונים והנחות'!$F$11)^20</f>
        <v/>
      </c>
    </row>
    <row r="228">
      <c r="B228" s="6" t="inlineStr">
        <is>
          <t>NPV מצטבר — תרחיש C</t>
        </is>
      </c>
      <c r="C228" s="9" t="inlineStr">
        <is>
          <t>₪</t>
        </is>
      </c>
      <c r="D228" s="9" t="inlineStr">
        <is>
          <t>חישוב</t>
        </is>
      </c>
      <c r="F228" s="37">
        <f>F227</f>
        <v/>
      </c>
      <c r="G228" s="37">
        <f>F228+G227</f>
        <v/>
      </c>
      <c r="H228" s="37">
        <f>G228+H227</f>
        <v/>
      </c>
      <c r="I228" s="37">
        <f>H228+I227</f>
        <v/>
      </c>
      <c r="J228" s="37">
        <f>I228+J227</f>
        <v/>
      </c>
      <c r="K228" s="37">
        <f>J228+K227</f>
        <v/>
      </c>
      <c r="L228" s="37">
        <f>K228+L227</f>
        <v/>
      </c>
      <c r="M228" s="37">
        <f>L228+M227</f>
        <v/>
      </c>
      <c r="N228" s="37">
        <f>M228+N227</f>
        <v/>
      </c>
      <c r="O228" s="37">
        <f>N228+O227</f>
        <v/>
      </c>
      <c r="P228" s="37">
        <f>O228+P227</f>
        <v/>
      </c>
      <c r="Q228" s="37">
        <f>P228+Q227</f>
        <v/>
      </c>
      <c r="R228" s="37">
        <f>Q228+R227</f>
        <v/>
      </c>
      <c r="S228" s="37">
        <f>R228+S227</f>
        <v/>
      </c>
      <c r="T228" s="37">
        <f>S228+T227</f>
        <v/>
      </c>
      <c r="U228" s="37">
        <f>T228+U227</f>
        <v/>
      </c>
      <c r="V228" s="37">
        <f>U228+V227</f>
        <v/>
      </c>
      <c r="W228" s="37">
        <f>V228+W227</f>
        <v/>
      </c>
      <c r="X228" s="37">
        <f>W228+X227</f>
        <v/>
      </c>
      <c r="Y228" s="37">
        <f>X228+Y227</f>
        <v/>
      </c>
      <c r="Z228" s="37">
        <f>Y228+Z227</f>
        <v/>
      </c>
    </row>
    <row r="230">
      <c r="B230" s="34" t="inlineStr">
        <is>
          <t>ד. תוצאות</t>
        </is>
      </c>
    </row>
    <row r="231">
      <c r="B231" s="41" t="inlineStr">
        <is>
          <t>NPV — תרחיש A (קיטור מבוסס דלק / גז)</t>
        </is>
      </c>
      <c r="C231" s="9" t="inlineStr">
        <is>
          <t>ש"ח</t>
        </is>
      </c>
      <c r="F231" s="35">
        <f>SUM(F213:Z213)</f>
        <v/>
      </c>
    </row>
    <row r="232">
      <c r="B232" s="42" t="inlineStr">
        <is>
          <t>NPV — תרחיש B (מערכות קיטור חשמליות, ללא תמריץ)</t>
        </is>
      </c>
      <c r="C232" s="9" t="inlineStr">
        <is>
          <t>ש"ח</t>
        </is>
      </c>
      <c r="F232" s="36">
        <f>SUM(F221:Z221)</f>
        <v/>
      </c>
    </row>
    <row r="233">
      <c r="B233" s="43" t="inlineStr">
        <is>
          <t>NPV — תרחיש C (מערכות קיטור חשמליות, עם תמריץ)</t>
        </is>
      </c>
      <c r="C233" s="9" t="inlineStr">
        <is>
          <t>ש"ח</t>
        </is>
      </c>
      <c r="F233" s="37">
        <f>SUM(F227:Z227)</f>
        <v/>
      </c>
    </row>
    <row r="235">
      <c r="B235" s="44" t="inlineStr">
        <is>
          <t>NPV מצטבר — הצדקת השדרוג (B−A)</t>
        </is>
      </c>
      <c r="C235" s="9" t="inlineStr">
        <is>
          <t>ש"ח</t>
        </is>
      </c>
      <c r="F235" s="45">
        <f>F232-F231</f>
        <v/>
      </c>
    </row>
    <row r="236">
      <c r="B236" s="46" t="inlineStr">
        <is>
          <t>ערך התמריץ — תועלת הפחת המואץ (C−B)</t>
        </is>
      </c>
      <c r="C236" s="9" t="inlineStr">
        <is>
          <t>ש"ח</t>
        </is>
      </c>
      <c r="F236" s="47">
        <f>F233-F232</f>
        <v/>
      </c>
    </row>
    <row r="238">
      <c r="B238" s="41" t="inlineStr">
        <is>
          <t>ROI — תרחיש A</t>
        </is>
      </c>
      <c r="C238" s="9" t="inlineStr">
        <is>
          <t>%</t>
        </is>
      </c>
      <c r="F238" s="48">
        <f>IF(ISNUMBER('נתונים והנחות'!$I$30),(SUM(F213:Z213)+'נתונים והנחות'!$I$30)/'נתונים והנחות'!$I$30,"PENDING")</f>
        <v/>
      </c>
    </row>
    <row r="239">
      <c r="B239" s="42" t="inlineStr">
        <is>
          <t>ROI — תרחיש B</t>
        </is>
      </c>
      <c r="C239" s="9" t="inlineStr">
        <is>
          <t>%</t>
        </is>
      </c>
      <c r="F239" s="49">
        <f>IF(ISNUMBER('נתונים והנחות'!$I$31),(SUM(F221:Z221)+'נתונים והנחות'!$I$31)/'נתונים והנחות'!$I$31,"PENDING")</f>
        <v/>
      </c>
    </row>
    <row r="240">
      <c r="B240" s="43" t="inlineStr">
        <is>
          <t>ROI — תרחיש C</t>
        </is>
      </c>
      <c r="C240" s="9" t="inlineStr">
        <is>
          <t>%</t>
        </is>
      </c>
      <c r="F240" s="50">
        <f>IF(ISNUMBER('נתונים והנחות'!$I$31),(SUM(F227:Z227)+'נתונים והנחות'!$I$31)/'נתונים והנחות'!$I$31,"PENDING")</f>
        <v/>
      </c>
    </row>
    <row r="242">
      <c r="B242" s="44" t="inlineStr">
        <is>
          <t>תקופת החזר ΔCapEx ללא תמריץ (B−A)</t>
        </is>
      </c>
      <c r="C242" s="9" t="inlineStr">
        <is>
          <t>שנים</t>
        </is>
      </c>
      <c r="E242" s="32" t="inlineStr">
        <is>
          <t>זמן להחזר ההשקעה הנוספת | מחושב על ΔCF = CF_B − CF_A</t>
        </is>
      </c>
      <c r="F242" s="51">
        <f>IFERROR(MATCH(1,(F248:Z248&gt;0)*1,0)-2+ABS(INDEX(F248:Z248,MATCH(1,(F248:Z248&gt;0)*1,0)-1))/(INDEX(F248:Z248,MATCH(1,(F248:Z248&gt;0)*1,0))-INDEX(F248:Z248,MATCH(1,(F248:Z248&gt;0)*1,0)-1)),"לא מגיע לפירעון")</f>
        <v/>
      </c>
    </row>
    <row r="243">
      <c r="B243" s="52" t="inlineStr">
        <is>
          <t>תקופת החזר ΔCapEx עם תמריץ (C−A)</t>
        </is>
      </c>
      <c r="C243" s="53" t="inlineStr">
        <is>
          <t>שנים</t>
        </is>
      </c>
      <c r="E243" s="32" t="inlineStr">
        <is>
          <t>כולל יתרון מגן המס המואץ | מחושב על ΔCF = CF_C − CF_A</t>
        </is>
      </c>
      <c r="F243" s="54">
        <f>IFERROR(MATCH(1,(F249:Z249&gt;0)*1,0)-2+ABS(INDEX(F249:Z249,MATCH(1,(F249:Z249&gt;0)*1,0)-1))/(INDEX(F249:Z249,MATCH(1,(F249:Z249&gt;0)*1,0))-INDEX(F249:Z249,MATCH(1,(F249:Z249&gt;0)*1,0)-1)),"לא מגיע לפירעון")</f>
        <v/>
      </c>
    </row>
    <row r="246">
      <c r="B246" s="34" t="inlineStr">
        <is>
          <t>NPV מצטבר — מנקודת מבט ΔCapEx (לחישוב תקופת החזר על השקעה נוספת)</t>
        </is>
      </c>
    </row>
    <row r="247">
      <c r="B247" s="20" t="inlineStr">
        <is>
          <t>פרמטר</t>
        </is>
      </c>
      <c r="C247" s="20" t="inlineStr">
        <is>
          <t>יחידות</t>
        </is>
      </c>
      <c r="D247" s="20" t="inlineStr">
        <is>
          <t>מקור</t>
        </is>
      </c>
      <c r="E247" s="20" t="inlineStr">
        <is>
          <t>הערות</t>
        </is>
      </c>
      <c r="F247" s="20" t="inlineStr">
        <is>
          <t>שנה 0</t>
        </is>
      </c>
      <c r="G247" s="20" t="inlineStr">
        <is>
          <t>שנה 1</t>
        </is>
      </c>
      <c r="H247" s="20" t="inlineStr">
        <is>
          <t>שנה 2</t>
        </is>
      </c>
      <c r="I247" s="20" t="inlineStr">
        <is>
          <t>שנה 3</t>
        </is>
      </c>
      <c r="J247" s="20" t="inlineStr">
        <is>
          <t>שנה 4</t>
        </is>
      </c>
      <c r="K247" s="20" t="inlineStr">
        <is>
          <t>שנה 5</t>
        </is>
      </c>
      <c r="L247" s="20" t="inlineStr">
        <is>
          <t>שנה 6</t>
        </is>
      </c>
      <c r="M247" s="20" t="inlineStr">
        <is>
          <t>שנה 7</t>
        </is>
      </c>
      <c r="N247" s="20" t="inlineStr">
        <is>
          <t>שנה 8</t>
        </is>
      </c>
      <c r="O247" s="20" t="inlineStr">
        <is>
          <t>שנה 9</t>
        </is>
      </c>
      <c r="P247" s="20" t="inlineStr">
        <is>
          <t>שנה 10</t>
        </is>
      </c>
      <c r="Q247" s="20" t="inlineStr">
        <is>
          <t>שנה 11</t>
        </is>
      </c>
      <c r="R247" s="20" t="inlineStr">
        <is>
          <t>שנה 12</t>
        </is>
      </c>
      <c r="S247" s="20" t="inlineStr">
        <is>
          <t>שנה 13</t>
        </is>
      </c>
      <c r="T247" s="20" t="inlineStr">
        <is>
          <t>שנה 14</t>
        </is>
      </c>
      <c r="U247" s="20" t="inlineStr">
        <is>
          <t>שנה 15</t>
        </is>
      </c>
      <c r="V247" s="20" t="inlineStr">
        <is>
          <t>שנה 16</t>
        </is>
      </c>
      <c r="W247" s="20" t="inlineStr">
        <is>
          <t>שנה 17</t>
        </is>
      </c>
      <c r="X247" s="20" t="inlineStr">
        <is>
          <t>שנה 18</t>
        </is>
      </c>
      <c r="Y247" s="20" t="inlineStr">
        <is>
          <t>שנה 19</t>
        </is>
      </c>
      <c r="Z247" s="20" t="inlineStr">
        <is>
          <t>שנה 20</t>
        </is>
      </c>
    </row>
    <row r="248">
      <c r="B248" s="2" t="inlineStr">
        <is>
          <t>NPV מצטבר ΔCF — שדרוג ללא תמריץ (B−A)</t>
        </is>
      </c>
      <c r="C248" s="9" t="inlineStr">
        <is>
          <t>₪</t>
        </is>
      </c>
      <c r="D248" s="9" t="inlineStr">
        <is>
          <t>חישוב</t>
        </is>
      </c>
      <c r="F248" s="45">
        <f>IF(ISNUMBER('נתונים והנחות'!$I$32),-'נתונים והנחות'!$I$32,"PENDING")</f>
        <v/>
      </c>
      <c r="G248" s="45">
        <f>F248+(G221-G213)</f>
        <v/>
      </c>
      <c r="H248" s="45">
        <f>G248+(H221-H213)</f>
        <v/>
      </c>
      <c r="I248" s="45">
        <f>H248+(I221-I213)</f>
        <v/>
      </c>
      <c r="J248" s="45">
        <f>I248+(J221-J213)</f>
        <v/>
      </c>
      <c r="K248" s="45">
        <f>J248+(K221-K213)</f>
        <v/>
      </c>
      <c r="L248" s="45">
        <f>K248+(L221-L213)</f>
        <v/>
      </c>
      <c r="M248" s="45">
        <f>L248+(M221-M213)</f>
        <v/>
      </c>
      <c r="N248" s="45">
        <f>M248+(N221-N213)</f>
        <v/>
      </c>
      <c r="O248" s="45">
        <f>N248+(O221-O213)</f>
        <v/>
      </c>
      <c r="P248" s="45">
        <f>O248+(P221-P213)</f>
        <v/>
      </c>
      <c r="Q248" s="45">
        <f>P248+(Q221-Q213)</f>
        <v/>
      </c>
      <c r="R248" s="45">
        <f>Q248+(R221-R213)</f>
        <v/>
      </c>
      <c r="S248" s="45">
        <f>R248+(S221-S213)</f>
        <v/>
      </c>
      <c r="T248" s="45">
        <f>S248+(T221-T213)</f>
        <v/>
      </c>
      <c r="U248" s="45">
        <f>T248+(U221-U213)</f>
        <v/>
      </c>
      <c r="V248" s="45">
        <f>U248+(V221-V213)</f>
        <v/>
      </c>
      <c r="W248" s="45">
        <f>V248+(W221-W213)</f>
        <v/>
      </c>
      <c r="X248" s="45">
        <f>W248+(X221-X213)</f>
        <v/>
      </c>
      <c r="Y248" s="45">
        <f>X248+(Y221-Y213)</f>
        <v/>
      </c>
      <c r="Z248" s="45">
        <f>Y248+(Z221-Z213)</f>
        <v/>
      </c>
    </row>
    <row r="249">
      <c r="B249" s="7" t="inlineStr">
        <is>
          <t>NPV מצטבר ΔCF — שדרוג עם תמריץ (C−A)</t>
        </is>
      </c>
      <c r="C249" s="9" t="inlineStr">
        <is>
          <t>₪</t>
        </is>
      </c>
      <c r="D249" s="9" t="inlineStr">
        <is>
          <t>חישוב</t>
        </is>
      </c>
      <c r="F249" s="47">
        <f>IF(ISNUMBER('נתונים והנחות'!$I$32),-'נתונים והנחות'!$I$32,"PENDING")</f>
        <v/>
      </c>
      <c r="G249" s="47">
        <f>F249+(G227-G213)</f>
        <v/>
      </c>
      <c r="H249" s="47">
        <f>G249+(H227-H213)</f>
        <v/>
      </c>
      <c r="I249" s="47">
        <f>H249+(I227-I213)</f>
        <v/>
      </c>
      <c r="J249" s="47">
        <f>I249+(J227-J213)</f>
        <v/>
      </c>
      <c r="K249" s="47">
        <f>J249+(K227-K213)</f>
        <v/>
      </c>
      <c r="L249" s="47">
        <f>K249+(L227-L213)</f>
        <v/>
      </c>
      <c r="M249" s="47">
        <f>L249+(M227-M213)</f>
        <v/>
      </c>
      <c r="N249" s="47">
        <f>M249+(N227-N213)</f>
        <v/>
      </c>
      <c r="O249" s="47">
        <f>N249+(O227-O213)</f>
        <v/>
      </c>
      <c r="P249" s="47">
        <f>O249+(P227-P213)</f>
        <v/>
      </c>
      <c r="Q249" s="47">
        <f>P249+(Q227-Q213)</f>
        <v/>
      </c>
      <c r="R249" s="47">
        <f>Q249+(R227-R213)</f>
        <v/>
      </c>
      <c r="S249" s="47">
        <f>R249+(S227-S213)</f>
        <v/>
      </c>
      <c r="T249" s="47">
        <f>S249+(T227-T213)</f>
        <v/>
      </c>
      <c r="U249" s="47">
        <f>T249+(U227-U213)</f>
        <v/>
      </c>
      <c r="V249" s="47">
        <f>U249+(V227-V213)</f>
        <v/>
      </c>
      <c r="W249" s="47">
        <f>V249+(W227-W213)</f>
        <v/>
      </c>
      <c r="X249" s="47">
        <f>W249+(X227-X213)</f>
        <v/>
      </c>
      <c r="Y249" s="47">
        <f>X249+(Y227-Y213)</f>
        <v/>
      </c>
      <c r="Z249" s="47">
        <f>Y249+(Z227-Z213)</f>
        <v/>
      </c>
    </row>
    <row r="253">
      <c r="B253" s="8" t="inlineStr">
        <is>
          <t>4. סיכום השוואתי לפי טכנולוגיה</t>
        </is>
      </c>
    </row>
    <row r="254">
      <c r="B254" s="32" t="inlineStr">
        <is>
          <t>* מכפיל פחת = 'נתונים והנחות'!F15 — שנה שם ותוצאות מתעדכנות אוטומטית | OPEX וCapEx ממתינים לנתוני רפי</t>
        </is>
      </c>
    </row>
    <row r="255">
      <c r="B255" s="20" t="inlineStr">
        <is>
          <t>טכנולוגיה</t>
        </is>
      </c>
      <c r="C255" s="20" t="inlineStr">
        <is>
          <t>NPV A (בסיסי)</t>
        </is>
      </c>
      <c r="D255" s="20" t="inlineStr">
        <is>
          <t>NPV B (יעיל, ללא)</t>
        </is>
      </c>
      <c r="E255" s="20" t="inlineStr">
        <is>
          <t>NPV C (יעיל, עם)</t>
        </is>
      </c>
      <c r="F255" s="20" t="inlineStr">
        <is>
          <t>ΔNPV B−A</t>
        </is>
      </c>
      <c r="G255" s="20" t="inlineStr">
        <is>
          <t>ערך תמריץ C−B</t>
        </is>
      </c>
      <c r="H255" s="20" t="inlineStr">
        <is>
          <t>ROI A</t>
        </is>
      </c>
      <c r="I255" s="20" t="inlineStr">
        <is>
          <t>ROI B</t>
        </is>
      </c>
      <c r="J255" s="20" t="inlineStr">
        <is>
          <t>ROI C</t>
        </is>
      </c>
      <c r="K255" s="20" t="inlineStr">
        <is>
          <t>החזר ΔCapEx B−A (שנים)</t>
        </is>
      </c>
      <c r="L255" s="20" t="inlineStr">
        <is>
          <t>החזר ΔCapEx C−A (שנים)</t>
        </is>
      </c>
    </row>
    <row r="256">
      <c r="B256" s="18" t="inlineStr">
        <is>
          <t>משאבות חום (חימום מים)</t>
        </is>
      </c>
      <c r="C256" s="35">
        <f>$F$57</f>
        <v/>
      </c>
      <c r="D256" s="36">
        <f>$F$58</f>
        <v/>
      </c>
      <c r="E256" s="37">
        <f>$F$59</f>
        <v/>
      </c>
      <c r="F256" s="45">
        <f>$F$61</f>
        <v/>
      </c>
      <c r="G256" s="47">
        <f>$F$62</f>
        <v/>
      </c>
      <c r="H256" s="48">
        <f>$F$64</f>
        <v/>
      </c>
      <c r="I256" s="49">
        <f>$F$65</f>
        <v/>
      </c>
      <c r="J256" s="50">
        <f>$F$66</f>
        <v/>
      </c>
      <c r="K256" s="55">
        <f>$F$68</f>
        <v/>
      </c>
      <c r="L256" s="56">
        <f>$F$69</f>
        <v/>
      </c>
    </row>
    <row r="257">
      <c r="B257" s="18" t="inlineStr">
        <is>
          <t>צ'ילרים</t>
        </is>
      </c>
      <c r="C257" s="35">
        <f>$F$115</f>
        <v/>
      </c>
      <c r="D257" s="36">
        <f>$F$116</f>
        <v/>
      </c>
      <c r="E257" s="37">
        <f>$F$117</f>
        <v/>
      </c>
      <c r="F257" s="45">
        <f>$F$119</f>
        <v/>
      </c>
      <c r="G257" s="47">
        <f>$F$120</f>
        <v/>
      </c>
      <c r="H257" s="48">
        <f>$F$122</f>
        <v/>
      </c>
      <c r="I257" s="49">
        <f>$F$123</f>
        <v/>
      </c>
      <c r="J257" s="50">
        <f>$F$124</f>
        <v/>
      </c>
      <c r="K257" s="55">
        <f>$F$126</f>
        <v/>
      </c>
      <c r="L257" s="56">
        <f>$F$127</f>
        <v/>
      </c>
    </row>
    <row r="258">
      <c r="B258" s="18" t="inlineStr">
        <is>
          <t>מדחסי VSD</t>
        </is>
      </c>
      <c r="C258" s="35">
        <f>$F$173</f>
        <v/>
      </c>
      <c r="D258" s="36">
        <f>$F$174</f>
        <v/>
      </c>
      <c r="E258" s="37">
        <f>$F$175</f>
        <v/>
      </c>
      <c r="F258" s="45">
        <f>$F$177</f>
        <v/>
      </c>
      <c r="G258" s="47">
        <f>$F$178</f>
        <v/>
      </c>
      <c r="H258" s="48">
        <f>$F$180</f>
        <v/>
      </c>
      <c r="I258" s="49">
        <f>$F$181</f>
        <v/>
      </c>
      <c r="J258" s="50">
        <f>$F$182</f>
        <v/>
      </c>
      <c r="K258" s="55">
        <f>$F$184</f>
        <v/>
      </c>
      <c r="L258" s="56">
        <f>$F$185</f>
        <v/>
      </c>
    </row>
    <row r="259">
      <c r="B259" s="18" t="inlineStr">
        <is>
          <t>מערכות קיטור חשמליות</t>
        </is>
      </c>
      <c r="C259" s="35">
        <f>$F$231</f>
        <v/>
      </c>
      <c r="D259" s="36">
        <f>$F$232</f>
        <v/>
      </c>
      <c r="E259" s="37">
        <f>$F$233</f>
        <v/>
      </c>
      <c r="F259" s="45">
        <f>$F$235</f>
        <v/>
      </c>
      <c r="G259" s="47">
        <f>$F$236</f>
        <v/>
      </c>
      <c r="H259" s="48">
        <f>$F$238</f>
        <v/>
      </c>
      <c r="I259" s="49">
        <f>$F$239</f>
        <v/>
      </c>
      <c r="J259" s="50">
        <f>$F$240</f>
        <v/>
      </c>
      <c r="K259" s="55">
        <f>$F$242</f>
        <v/>
      </c>
      <c r="L259" s="56">
        <f>$F$243</f>
        <v/>
      </c>
    </row>
    <row r="261">
      <c r="B261" s="57" t="inlineStr">
        <is>
          <t>** כל ערכי PENDING מתעדכנים אוטומטית עם קבלת נתוני רפי (CapEx, kWh, OPEX אחר)</t>
        </is>
      </c>
    </row>
  </sheetData>
  <mergeCells count="41">
    <mergeCell ref="B19:Z19"/>
    <mergeCell ref="B34:Z34"/>
    <mergeCell ref="B196:Z196"/>
    <mergeCell ref="B137:Z137"/>
    <mergeCell ref="B246:Z246"/>
    <mergeCell ref="B108:Z108"/>
    <mergeCell ref="B15:H15"/>
    <mergeCell ref="B158:Z158"/>
    <mergeCell ref="B92:Z92"/>
    <mergeCell ref="B114:H114"/>
    <mergeCell ref="B139:Z139"/>
    <mergeCell ref="B80:Z80"/>
    <mergeCell ref="B216:Z216"/>
    <mergeCell ref="B197:Z197"/>
    <mergeCell ref="B79:Z79"/>
    <mergeCell ref="B188:Z188"/>
    <mergeCell ref="B32:Z32"/>
    <mergeCell ref="B50:Z50"/>
    <mergeCell ref="B206:Z206"/>
    <mergeCell ref="B224:Z224"/>
    <mergeCell ref="B100:Z100"/>
    <mergeCell ref="B138:Z138"/>
    <mergeCell ref="B72:Z72"/>
    <mergeCell ref="B81:Z81"/>
    <mergeCell ref="B56:H56"/>
    <mergeCell ref="B208:Z208"/>
    <mergeCell ref="B90:Z90"/>
    <mergeCell ref="B22:Z22"/>
    <mergeCell ref="B150:Z150"/>
    <mergeCell ref="B253:N253"/>
    <mergeCell ref="B21:Z21"/>
    <mergeCell ref="B130:Z130"/>
    <mergeCell ref="B195:Z195"/>
    <mergeCell ref="B42:Z42"/>
    <mergeCell ref="B23:Z23"/>
    <mergeCell ref="B8:Z8"/>
    <mergeCell ref="B148:Z148"/>
    <mergeCell ref="B166:Z166"/>
    <mergeCell ref="B10:H10"/>
    <mergeCell ref="B172:H172"/>
    <mergeCell ref="B230:H23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2026-05-31T11:20:03Z</dcterms:created>
  <dcterms:modified xsi:type="dcterms:W3CDTF">2026-05-31T11:20:03Z</dcterms:modified>
</cp:coreProperties>
</file>