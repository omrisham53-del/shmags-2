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נתונים והנחות - כללי" sheetId="1" state="visible" r:id="rId1"/>
    <sheet name="פרמטרי תמריץ" sheetId="2" state="visible" r:id="rId2"/>
    <sheet name="ניתוח - משאבות חום" sheetId="3" state="visible" r:id="rId3"/>
    <sheet name="ניתוח - צ'ילרים" sheetId="4" state="visible" r:id="rId4"/>
    <sheet name="ניתוח - מדחסי VSD" sheetId="5" state="visible" r:id="rId5"/>
    <sheet name="ניתוח - קיטור חשמלי" sheetId="6" state="visible" r:id="rId6"/>
    <sheet name="סיכו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0.0"/>
    <numFmt numFmtId="167" formatCode="#,##0.000"/>
    <numFmt numFmtId="168" formatCode="#,##0 ₪"/>
  </numFmts>
  <fonts count="12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95959"/>
      <sz val="9"/>
    </font>
    <font>
      <name val="Arial"/>
      <b val="1"/>
      <color rgb="00C00000"/>
      <sz val="13"/>
    </font>
    <font>
      <name val="Arial"/>
      <b val="1"/>
      <color rgb="00FFFFFF"/>
      <sz val="13"/>
    </font>
    <font>
      <name val="Arial"/>
      <i val="1"/>
      <color rgb="00FF0000"/>
      <sz val="10"/>
    </font>
    <font>
      <name val="Arial"/>
      <b val="1"/>
      <sz val="11"/>
    </font>
    <font>
      <name val="Arial"/>
      <b val="1"/>
      <color rgb="00C00000"/>
      <sz val="12"/>
    </font>
    <font>
      <name val="Arial"/>
      <b val="1"/>
      <sz val="10"/>
    </font>
    <font>
      <name val="Arial"/>
      <i val="1"/>
      <color rgb="00FF0000"/>
      <sz val="9"/>
    </font>
  </fonts>
  <fills count="11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C000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FF0000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right" vertical="center" readingOrder="2"/>
    </xf>
    <xf numFmtId="0" fontId="2" fillId="3" borderId="0" applyAlignment="1" pivotButton="0" quotePrefix="0" xfId="0">
      <alignment horizontal="right" vertical="center" readingOrder="2"/>
    </xf>
    <xf numFmtId="0" fontId="2" fillId="4" borderId="0" applyAlignment="1" pivotButton="0" quotePrefix="0" xfId="0">
      <alignment horizontal="right" vertical="center" readingOrder="2"/>
    </xf>
    <xf numFmtId="0" fontId="2" fillId="5" borderId="0" applyAlignment="1" pivotButton="0" quotePrefix="0" xfId="0">
      <alignment horizontal="right" vertical="center" readingOrder="2"/>
    </xf>
    <xf numFmtId="0" fontId="2" fillId="6" borderId="0" applyAlignment="1" pivotButton="0" quotePrefix="0" xfId="0">
      <alignment horizontal="right" vertical="center" readingOrder="2"/>
    </xf>
    <xf numFmtId="0" fontId="2" fillId="7" borderId="0" applyAlignment="1" pivotButton="0" quotePrefix="0" xfId="0">
      <alignment horizontal="right" vertical="center" readingOrder="2"/>
    </xf>
    <xf numFmtId="0" fontId="3" fillId="8" borderId="0" applyAlignment="1" pivotButton="0" quotePrefix="0" xfId="0">
      <alignment horizontal="right" vertical="center" readingOrder="2"/>
    </xf>
    <xf numFmtId="0" fontId="0" fillId="0" borderId="0" applyAlignment="1" pivotButton="0" quotePrefix="0" xfId="0">
      <alignment horizontal="right" vertical="center" readingOrder="2"/>
    </xf>
    <xf numFmtId="164" fontId="0" fillId="3" borderId="0" applyAlignment="1" pivotButton="0" quotePrefix="0" xfId="0">
      <alignment horizontal="center" vertical="center" readingOrder="2"/>
    </xf>
    <xf numFmtId="164" fontId="0" fillId="2" borderId="0" applyAlignment="1" pivotButton="0" quotePrefix="0" xfId="0">
      <alignment horizontal="center" vertical="center" readingOrder="2"/>
    </xf>
    <xf numFmtId="165" fontId="0" fillId="2" borderId="0" applyAlignment="1" pivotButton="0" quotePrefix="0" xfId="0">
      <alignment horizontal="center" vertical="center" readingOrder="2"/>
    </xf>
    <xf numFmtId="0" fontId="2" fillId="0" borderId="0" applyAlignment="1" pivotButton="0" quotePrefix="0" xfId="0">
      <alignment horizontal="right" vertical="center" readingOrder="2"/>
    </xf>
    <xf numFmtId="164" fontId="0" fillId="0" borderId="0" applyAlignment="1" pivotButton="0" quotePrefix="0" xfId="0">
      <alignment horizontal="center" vertical="center" readingOrder="2"/>
    </xf>
    <xf numFmtId="0" fontId="4" fillId="0" borderId="0" pivotButton="0" quotePrefix="0" xfId="0"/>
    <xf numFmtId="0" fontId="4" fillId="0" borderId="0" applyAlignment="1" pivotButton="0" quotePrefix="0" xfId="0">
      <alignment horizontal="right" vertical="center" readingOrder="2"/>
    </xf>
    <xf numFmtId="0" fontId="3" fillId="9" borderId="0" applyAlignment="1" pivotButton="0" quotePrefix="0" xfId="0">
      <alignment horizontal="right" vertical="center" readingOrder="2"/>
    </xf>
    <xf numFmtId="164" fontId="5" fillId="2" borderId="0" applyAlignment="1" pivotButton="0" quotePrefix="0" xfId="0">
      <alignment horizontal="center" vertical="center" readingOrder="2"/>
    </xf>
    <xf numFmtId="0" fontId="0" fillId="0" borderId="0" applyAlignment="1" pivotButton="0" quotePrefix="0" xfId="0">
      <alignment horizontal="center" vertical="center" readingOrder="2"/>
    </xf>
    <xf numFmtId="0" fontId="6" fillId="8" borderId="0" applyAlignment="1" pivotButton="0" quotePrefix="0" xfId="0">
      <alignment horizontal="right" vertical="center" readingOrder="2"/>
    </xf>
    <xf numFmtId="0" fontId="7" fillId="0" borderId="0" applyAlignment="1" pivotButton="0" quotePrefix="0" xfId="0">
      <alignment horizontal="right" vertical="center" readingOrder="2"/>
    </xf>
    <xf numFmtId="0" fontId="7" fillId="2" borderId="0" applyAlignment="1" pivotButton="0" quotePrefix="0" xfId="0">
      <alignment horizontal="center" vertical="center" readingOrder="2"/>
    </xf>
    <xf numFmtId="3" fontId="0" fillId="0" borderId="0" applyAlignment="1" pivotButton="0" quotePrefix="0" xfId="0">
      <alignment horizontal="center" vertical="center" readingOrder="2"/>
    </xf>
    <xf numFmtId="166" fontId="0" fillId="3" borderId="0" applyAlignment="1" pivotButton="0" quotePrefix="0" xfId="0">
      <alignment horizontal="center" vertical="center" readingOrder="2"/>
    </xf>
    <xf numFmtId="167" fontId="0" fillId="0" borderId="0" applyAlignment="1" pivotButton="0" quotePrefix="0" xfId="0">
      <alignment horizontal="center" vertical="center" readingOrder="2"/>
    </xf>
    <xf numFmtId="168" fontId="0" fillId="0" borderId="0" applyAlignment="1" pivotButton="0" quotePrefix="0" xfId="0">
      <alignment horizontal="center" vertical="center" readingOrder="2"/>
    </xf>
    <xf numFmtId="0" fontId="8" fillId="10" borderId="0" applyAlignment="1" pivotButton="0" quotePrefix="0" xfId="0">
      <alignment horizontal="right" vertical="center" readingOrder="2"/>
    </xf>
    <xf numFmtId="164" fontId="9" fillId="2" borderId="0" applyAlignment="1" pivotButton="0" quotePrefix="0" xfId="0">
      <alignment horizontal="center" vertical="center" readingOrder="2"/>
    </xf>
    <xf numFmtId="0" fontId="1" fillId="4" borderId="0" applyAlignment="1" pivotButton="0" quotePrefix="0" xfId="0">
      <alignment horizontal="center" vertical="center" readingOrder="2"/>
    </xf>
    <xf numFmtId="168" fontId="0" fillId="5" borderId="0" applyAlignment="1" pivotButton="0" quotePrefix="0" xfId="0">
      <alignment horizontal="center" vertical="center" readingOrder="2"/>
    </xf>
    <xf numFmtId="168" fontId="0" fillId="6" borderId="0" applyAlignment="1" pivotButton="0" quotePrefix="0" xfId="0">
      <alignment horizontal="center" vertical="center" readingOrder="2"/>
    </xf>
    <xf numFmtId="168" fontId="0" fillId="7" borderId="0" applyAlignment="1" pivotButton="0" quotePrefix="0" xfId="0">
      <alignment horizontal="center" vertical="center" readingOrder="2"/>
    </xf>
    <xf numFmtId="0" fontId="10" fillId="6" borderId="0" applyAlignment="1" pivotButton="0" quotePrefix="0" xfId="0">
      <alignment horizontal="right" vertical="center" readingOrder="2"/>
    </xf>
    <xf numFmtId="0" fontId="10" fillId="7" borderId="0" applyAlignment="1" pivotButton="0" quotePrefix="0" xfId="0">
      <alignment horizontal="right" vertical="center" readingOrder="2"/>
    </xf>
    <xf numFmtId="0" fontId="10" fillId="2" borderId="0" applyAlignment="1" pivotButton="0" quotePrefix="0" xfId="0">
      <alignment horizontal="right" vertical="center" readingOrder="2"/>
    </xf>
    <xf numFmtId="168" fontId="0" fillId="2" borderId="0" applyAlignment="1" pivotButton="0" quotePrefix="0" xfId="0">
      <alignment horizontal="center" vertical="center" readingOrder="2"/>
    </xf>
    <xf numFmtId="164" fontId="0" fillId="6" borderId="0" applyAlignment="1" pivotButton="0" quotePrefix="0" xfId="0">
      <alignment horizontal="center" vertical="center" readingOrder="2"/>
    </xf>
    <xf numFmtId="164" fontId="0" fillId="7" borderId="0" applyAlignment="1" pivotButton="0" quotePrefix="0" xfId="0">
      <alignment horizontal="center" vertical="center" readingOrder="2"/>
    </xf>
    <xf numFmtId="166" fontId="0" fillId="6" borderId="0" applyAlignment="1" pivotButton="0" quotePrefix="0" xfId="0">
      <alignment horizontal="center" vertical="center" readingOrder="2"/>
    </xf>
    <xf numFmtId="166" fontId="0" fillId="7" borderId="0" applyAlignment="1" pivotButton="0" quotePrefix="0" xfId="0">
      <alignment horizontal="center" vertical="center" readingOrder="2"/>
    </xf>
    <xf numFmtId="0" fontId="11" fillId="0" borderId="0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0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5" customWidth="1" min="3" max="3"/>
    <col width="18" customWidth="1" min="4" max="4"/>
    <col width="28" customWidth="1" min="5" max="5"/>
    <col width="18" customWidth="1" min="6" max="6"/>
  </cols>
  <sheetData>
    <row r="1">
      <c r="B1" s="1" t="inlineStr">
        <is>
          <t>מקרא צבעים</t>
        </is>
      </c>
    </row>
    <row r="2">
      <c r="B2" s="2" t="inlineStr">
        <is>
          <t>ערך להזנה</t>
        </is>
      </c>
    </row>
    <row r="3">
      <c r="B3" s="3" t="inlineStr">
        <is>
          <t>נתונים לעדכון / בקרה</t>
        </is>
      </c>
    </row>
    <row r="4">
      <c r="B4" s="4" t="inlineStr">
        <is>
          <t>כותרות משנה</t>
        </is>
      </c>
    </row>
    <row r="5">
      <c r="B5" s="5" t="inlineStr">
        <is>
          <t>תוצאת חישוב / טקסט</t>
        </is>
      </c>
    </row>
    <row r="6">
      <c r="B6" s="6" t="inlineStr">
        <is>
          <t>תוצאות</t>
        </is>
      </c>
    </row>
    <row r="7">
      <c r="B7" s="7" t="inlineStr">
        <is>
          <t>שורת תמריץ</t>
        </is>
      </c>
    </row>
    <row r="9">
      <c r="B9" s="8" t="inlineStr">
        <is>
          <t>1. פרמטרים פיננסיים</t>
        </is>
      </c>
    </row>
    <row r="10">
      <c r="B10" s="3" t="inlineStr">
        <is>
          <t>שיעור מס חברות</t>
        </is>
      </c>
      <c r="C10" s="9" t="inlineStr">
        <is>
          <t>%</t>
        </is>
      </c>
      <c r="D10" s="9" t="inlineStr">
        <is>
          <t>רשות המסים</t>
        </is>
      </c>
      <c r="E10" s="9" t="inlineStr"/>
      <c r="F10" s="10" t="n">
        <v>0.23</v>
      </c>
    </row>
    <row r="11">
      <c r="B11" s="2" t="inlineStr">
        <is>
          <t>שיעור היוון - יזמי / פרטי</t>
        </is>
      </c>
      <c r="C11" s="9" t="inlineStr">
        <is>
          <t>%</t>
        </is>
      </c>
      <c r="D11" s="9" t="inlineStr">
        <is>
          <t>הנחת עבודה</t>
        </is>
      </c>
      <c r="E11" s="9" t="inlineStr">
        <is>
          <t>6% לאומי / 10% תעשייתי — ממתין להחלטת דניאל</t>
        </is>
      </c>
      <c r="F11" s="11" t="n">
        <v>0.1</v>
      </c>
    </row>
    <row r="12">
      <c r="B12" s="2" t="inlineStr">
        <is>
          <t>מחיר חשמל ממוצע לתעשייה</t>
        </is>
      </c>
      <c r="C12" s="9" t="inlineStr">
        <is>
          <t>אג׳/קוט"ש</t>
        </is>
      </c>
      <c r="D12" s="9" t="inlineStr">
        <is>
          <t>חברת החשמל</t>
        </is>
      </c>
      <c r="E12" s="9" t="inlineStr">
        <is>
          <t>ממוצע SMP 2024</t>
        </is>
      </c>
      <c r="F12" s="12" t="n">
        <v>14</v>
      </c>
    </row>
    <row r="14">
      <c r="B14" s="8" t="inlineStr">
        <is>
          <t>2. שיעורי פחת סטנדרטיים לפי תקנות מס הכנסה</t>
        </is>
      </c>
    </row>
    <row r="15">
      <c r="B15" s="13" t="inlineStr">
        <is>
          <t>משאבות חום</t>
        </is>
      </c>
      <c r="C15" s="9" t="inlineStr">
        <is>
          <t>% לשנה</t>
        </is>
      </c>
      <c r="D15" s="9" t="inlineStr">
        <is>
          <t>תקנות פחת</t>
        </is>
      </c>
      <c r="E15" s="9" t="inlineStr">
        <is>
          <t>ציוד מכני</t>
        </is>
      </c>
      <c r="F15" s="14" t="n">
        <v>0.1</v>
      </c>
    </row>
    <row r="16">
      <c r="B16" s="13" t="inlineStr">
        <is>
          <t>צ'ילרים ומערכות קירור</t>
        </is>
      </c>
      <c r="C16" s="9" t="inlineStr">
        <is>
          <t>% לשנה</t>
        </is>
      </c>
      <c r="D16" s="9" t="inlineStr">
        <is>
          <t>תקנות פחת</t>
        </is>
      </c>
      <c r="E16" s="9" t="inlineStr">
        <is>
          <t>ציוד מכני</t>
        </is>
      </c>
      <c r="F16" s="14" t="n">
        <v>0.1</v>
      </c>
    </row>
    <row r="17">
      <c r="B17" s="13" t="inlineStr">
        <is>
          <t>מדחסי VSD</t>
        </is>
      </c>
      <c r="C17" s="9" t="inlineStr">
        <is>
          <t>% לשנה</t>
        </is>
      </c>
      <c r="D17" s="9" t="inlineStr">
        <is>
          <t>תקנות פחת</t>
        </is>
      </c>
      <c r="E17" s="9" t="inlineStr">
        <is>
          <t>ציוד מכני</t>
        </is>
      </c>
      <c r="F17" s="14" t="n">
        <v>0.1</v>
      </c>
    </row>
    <row r="18">
      <c r="B18" s="13" t="inlineStr">
        <is>
          <t>מערכות קיטור</t>
        </is>
      </c>
      <c r="C18" s="9" t="inlineStr">
        <is>
          <t>% לשנה</t>
        </is>
      </c>
      <c r="D18" s="9" t="inlineStr">
        <is>
          <t>תקנות פחת</t>
        </is>
      </c>
      <c r="E18" s="9" t="inlineStr">
        <is>
          <t>ציוד מכני</t>
        </is>
      </c>
      <c r="F18" s="14" t="n">
        <v>0.1</v>
      </c>
    </row>
    <row r="20">
      <c r="B20" s="15" t="inlineStr">
        <is>
          <t>* שיעורי הפחת לעיל הם הנחות עבודה — יש לוודא מול יועץ מס לפני הגשה</t>
        </is>
      </c>
    </row>
  </sheetData>
  <mergeCells count="2">
    <mergeCell ref="B14:H14"/>
    <mergeCell ref="B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0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5" customWidth="1" min="3" max="3"/>
    <col width="18" customWidth="1" min="4" max="4"/>
    <col width="28" customWidth="1" min="5" max="5"/>
    <col width="18" customWidth="1" min="6" max="6"/>
  </cols>
  <sheetData>
    <row r="1">
      <c r="B1" s="1" t="inlineStr">
        <is>
          <t>מקרא צבעים</t>
        </is>
      </c>
    </row>
    <row r="2">
      <c r="B2" s="2" t="inlineStr">
        <is>
          <t>ערך להזנה</t>
        </is>
      </c>
    </row>
    <row r="3">
      <c r="B3" s="3" t="inlineStr">
        <is>
          <t>נתונים לעדכון / בקרה</t>
        </is>
      </c>
    </row>
    <row r="4">
      <c r="B4" s="4" t="inlineStr">
        <is>
          <t>כותרות משנה</t>
        </is>
      </c>
    </row>
    <row r="5">
      <c r="B5" s="5" t="inlineStr">
        <is>
          <t>תוצאת חישוב / טקסט</t>
        </is>
      </c>
    </row>
    <row r="6">
      <c r="B6" s="6" t="inlineStr">
        <is>
          <t>תוצאות</t>
        </is>
      </c>
    </row>
    <row r="7">
      <c r="B7" s="7" t="inlineStr">
        <is>
          <t>שורת תמריץ</t>
        </is>
      </c>
    </row>
    <row r="8">
      <c r="B8" s="8" t="inlineStr">
        <is>
          <t>פרמטרי פחת מואץ — מדיניות</t>
        </is>
      </c>
    </row>
    <row r="9">
      <c r="B9" s="16" t="inlineStr">
        <is>
          <t>שנה את הערך בתא F10 כדי לשנות את שיעור הפחת המואץ בשנה הראשונה. הערך מוזן פעם אחת כאן ומשפיע על כל ארבעת הניתוחים.</t>
        </is>
      </c>
    </row>
    <row r="10">
      <c r="B10" s="17" t="inlineStr">
        <is>
          <t>שיעור פחת מואץ בשנה 1  ← פרמטר המדיניות המרכזי</t>
        </is>
      </c>
      <c r="C10" s="9" t="inlineStr">
        <is>
          <t>%</t>
        </is>
      </c>
      <c r="D10" s="9" t="inlineStr">
        <is>
          <t>פרמטר ניתן לשינוי</t>
        </is>
      </c>
      <c r="E10" s="9" t="inlineStr">
        <is>
          <t>0% = ללא תמריץ | 100% = מחיקה מלאה בשנה 1 (מודל אירלנד / קנדה / סינגפור)</t>
        </is>
      </c>
      <c r="F10" s="18" t="n">
        <v>1</v>
      </c>
    </row>
    <row r="12">
      <c r="B12" s="8" t="inlineStr">
        <is>
          <t>2. תרחישים לדוגמא — דגמים בינלאומיים</t>
        </is>
      </c>
    </row>
    <row r="13">
      <c r="B13" s="13" t="inlineStr">
        <is>
          <t>אירלנד ACA / קנדה AII / סינגפור s.19A</t>
        </is>
      </c>
      <c r="C13" s="19" t="inlineStr">
        <is>
          <t>100%</t>
        </is>
      </c>
      <c r="D13" s="9" t="inlineStr">
        <is>
          <t>מחיקה מלאה בשנה 1</t>
        </is>
      </c>
    </row>
    <row r="14">
      <c r="B14" s="13" t="inlineStr">
        <is>
          <t>ספרד — פחת חופשי</t>
        </is>
      </c>
      <c r="C14" s="19" t="inlineStr">
        <is>
          <t>100%</t>
        </is>
      </c>
      <c r="D14" s="9" t="inlineStr">
        <is>
          <t>עד 500K EUR, 2023–2024 בלבד</t>
        </is>
      </c>
    </row>
    <row r="15">
      <c r="B15" s="13" t="inlineStr">
        <is>
          <t>קפריסין — מכפיל 2× (אנרגיה סולארית)</t>
        </is>
      </c>
      <c r="C15" s="19" t="inlineStr">
        <is>
          <t>מכפיל</t>
        </is>
      </c>
      <c r="D15" s="9" t="inlineStr">
        <is>
          <t>200% מהפחת הרגיל</t>
        </is>
      </c>
    </row>
    <row r="16">
      <c r="B16" s="13" t="inlineStr">
        <is>
          <t>תרחיש 3 שנים</t>
        </is>
      </c>
      <c r="C16" s="19" t="inlineStr">
        <is>
          <t>33%</t>
        </is>
      </c>
      <c r="D16" s="9" t="inlineStr">
        <is>
          <t>פריסה שווה — שנה 1–3</t>
        </is>
      </c>
    </row>
    <row r="17">
      <c r="B17" s="13" t="inlineStr">
        <is>
          <t>תרחיש 5 שנים</t>
        </is>
      </c>
      <c r="C17" s="19" t="inlineStr">
        <is>
          <t>20%</t>
        </is>
      </c>
      <c r="D17" s="9" t="inlineStr">
        <is>
          <t>פריסה שווה — שנה 1–5</t>
        </is>
      </c>
    </row>
    <row r="18">
      <c r="B18" s="13" t="inlineStr">
        <is>
          <t>ללא תמריץ (סטנדרטי)</t>
        </is>
      </c>
      <c r="C18" s="19" t="inlineStr">
        <is>
          <t>0%</t>
        </is>
      </c>
      <c r="D18" s="9" t="inlineStr">
        <is>
          <t>פחת לפי אורך חיי הציוד (10% לשנה)</t>
        </is>
      </c>
    </row>
    <row r="20">
      <c r="B20" s="15" t="inlineStr">
        <is>
          <t>* שנה 2 ואילך: יתרת עלות הרכישה (CapEx × (1 − שיעור מואץ)) מופחתת בקו ישר על יתרת שנות אורך החיים הרגיל</t>
        </is>
      </c>
    </row>
  </sheetData>
  <mergeCells count="3">
    <mergeCell ref="B9:E9"/>
    <mergeCell ref="B12:H12"/>
    <mergeCell ref="B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Z58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5" customWidth="1" min="3" max="3"/>
    <col width="18" customWidth="1" min="4" max="4"/>
    <col width="2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B1" s="1" t="inlineStr">
        <is>
          <t>מקרא צבעים</t>
        </is>
      </c>
    </row>
    <row r="2">
      <c r="B2" s="2" t="inlineStr">
        <is>
          <t>ערך להזנה</t>
        </is>
      </c>
    </row>
    <row r="3">
      <c r="B3" s="3" t="inlineStr">
        <is>
          <t>נתונים לעדכון / בקרה</t>
        </is>
      </c>
    </row>
    <row r="4">
      <c r="B4" s="4" t="inlineStr">
        <is>
          <t>כותרות משנה</t>
        </is>
      </c>
    </row>
    <row r="5">
      <c r="B5" s="5" t="inlineStr">
        <is>
          <t>תוצאת חישוב / טקסט</t>
        </is>
      </c>
    </row>
    <row r="6">
      <c r="B6" s="6" t="inlineStr">
        <is>
          <t>תוצאות</t>
        </is>
      </c>
    </row>
    <row r="7">
      <c r="B7" s="7" t="inlineStr">
        <is>
          <t>שורת תמריץ</t>
        </is>
      </c>
    </row>
    <row r="8">
      <c r="B8" s="20" t="inlineStr">
        <is>
          <t>ניתוח כלכלי — משאבות חום (חימום מים)</t>
        </is>
      </c>
    </row>
    <row r="9">
      <c r="B9" s="16" t="inlineStr">
        <is>
          <t>* החלפת דוד חשמל במשאבת חום | חיסכון ~50% מצריכה</t>
        </is>
      </c>
    </row>
    <row r="11">
      <c r="B11" s="8" t="inlineStr">
        <is>
          <t>1. הנחות בסיסיות להשקעה</t>
        </is>
      </c>
    </row>
    <row r="12">
      <c r="B12" s="13" t="inlineStr">
        <is>
          <t>עלות השקעה (CapEx)</t>
        </is>
      </c>
      <c r="C12" s="9" t="inlineStr">
        <is>
          <t>₪</t>
        </is>
      </c>
      <c r="D12" s="9" t="inlineStr">
        <is>
          <t>נתוני רפי</t>
        </is>
      </c>
      <c r="E12" s="21" t="inlineStr">
        <is>
          <t>⚠ ממתין לנתוני ראש המהנדסים</t>
        </is>
      </c>
      <c r="F12" s="22" t="inlineStr">
        <is>
          <t>PENDING</t>
        </is>
      </c>
    </row>
    <row r="13">
      <c r="B13" s="13" t="inlineStr">
        <is>
          <t>צריכת אנרגיה שנתית (לפני החלפה)</t>
        </is>
      </c>
      <c r="C13" s="9" t="inlineStr">
        <is>
          <t>קוט"ש/שנה</t>
        </is>
      </c>
      <c r="D13" s="9" t="inlineStr">
        <is>
          <t>נתוני רפי</t>
        </is>
      </c>
      <c r="E13" s="21" t="inlineStr">
        <is>
          <t>⚠ ממתין לנתוני ראש המהנדסים</t>
        </is>
      </c>
      <c r="F13" s="22" t="inlineStr">
        <is>
          <t>PENDING</t>
        </is>
      </c>
    </row>
    <row r="14">
      <c r="B14" s="13" t="inlineStr">
        <is>
          <t>חיסכון אנרגטי</t>
        </is>
      </c>
      <c r="C14" s="9" t="inlineStr">
        <is>
          <t>% מצריכה</t>
        </is>
      </c>
      <c r="D14" s="9" t="inlineStr">
        <is>
          <t>ממצאי הנדסה</t>
        </is>
      </c>
      <c r="F14" s="10" t="n">
        <v>0.5</v>
      </c>
    </row>
    <row r="15">
      <c r="B15" s="13" t="inlineStr">
        <is>
          <t>חיסכון שנתי בצריכת חשמל</t>
        </is>
      </c>
      <c r="C15" s="9" t="inlineStr">
        <is>
          <t>קוט"ש/שנה</t>
        </is>
      </c>
      <c r="D15" s="9" t="inlineStr">
        <is>
          <t>חישוב</t>
        </is>
      </c>
      <c r="E15" s="9">
        <f> צריכה × שיעור חיסכון</f>
        <v/>
      </c>
      <c r="F15" s="23">
        <f>IF(ISNUMBER($F$13),$F$13*$F$14,"PENDING")</f>
        <v/>
      </c>
    </row>
    <row r="16">
      <c r="B16" s="13" t="inlineStr">
        <is>
          <t>אורך חיי הציוד (כלכלי)</t>
        </is>
      </c>
      <c r="C16" s="9" t="inlineStr">
        <is>
          <t>שנים</t>
        </is>
      </c>
      <c r="D16" s="9" t="inlineStr">
        <is>
          <t>ממצאי הנדסה</t>
        </is>
      </c>
      <c r="F16" s="24" t="n">
        <v>10</v>
      </c>
    </row>
    <row r="17">
      <c r="B17" s="13" t="inlineStr">
        <is>
          <t>מחיר חשמל</t>
        </is>
      </c>
      <c r="C17" s="9" t="inlineStr">
        <is>
          <t>₪/קוט"ש</t>
        </is>
      </c>
      <c r="D17" s="9" t="inlineStr">
        <is>
          <t>גיליון הנחות</t>
        </is>
      </c>
      <c r="F17" s="25">
        <f>'נתונים והנחות - כללי'!$F$12/100</f>
        <v/>
      </c>
    </row>
    <row r="18">
      <c r="B18" s="13" t="inlineStr">
        <is>
          <t>חיסכון שנתי (₪)</t>
        </is>
      </c>
      <c r="C18" s="9" t="inlineStr">
        <is>
          <t>₪/שנה</t>
        </is>
      </c>
      <c r="D18" s="9" t="inlineStr">
        <is>
          <t>חישוב</t>
        </is>
      </c>
      <c r="E18" s="9">
        <f> חיסכון קוט"ש × מחיר חשמל</f>
        <v/>
      </c>
      <c r="F18" s="26">
        <f>IF(ISNUMBER($F$15),$F$15*$F$17,"PENDING")</f>
        <v/>
      </c>
    </row>
    <row r="20">
      <c r="B20" s="8" t="inlineStr">
        <is>
          <t>2. הנחות פיננסיות</t>
        </is>
      </c>
    </row>
    <row r="21">
      <c r="B21" s="13" t="inlineStr">
        <is>
          <t>שיעור מס חברות</t>
        </is>
      </c>
      <c r="C21" s="9" t="inlineStr">
        <is>
          <t>%</t>
        </is>
      </c>
      <c r="D21" s="9" t="inlineStr">
        <is>
          <t>גיליון הנחות</t>
        </is>
      </c>
      <c r="F21" s="14">
        <f>'נתונים והנחות - כללי'!$F$10</f>
        <v/>
      </c>
    </row>
    <row r="22">
      <c r="B22" s="13" t="inlineStr">
        <is>
          <t>שיעור היוון</t>
        </is>
      </c>
      <c r="C22" s="9" t="inlineStr">
        <is>
          <t>%</t>
        </is>
      </c>
      <c r="D22" s="9" t="inlineStr">
        <is>
          <t>גיליון הנחות</t>
        </is>
      </c>
      <c r="F22" s="14">
        <f>'נתונים והנחות - כללי'!$F$11</f>
        <v/>
      </c>
    </row>
    <row r="23">
      <c r="B23" s="13" t="inlineStr">
        <is>
          <t>שיעור פחת סטנדרטי</t>
        </is>
      </c>
      <c r="C23" s="9" t="inlineStr">
        <is>
          <t>%/שנה</t>
        </is>
      </c>
      <c r="D23" s="9" t="inlineStr">
        <is>
          <t>תקנות מס הכנסה</t>
        </is>
      </c>
      <c r="E23" s="9" t="inlineStr">
        <is>
          <t>קו ישר — 10 שנים</t>
        </is>
      </c>
      <c r="F23" s="10" t="n">
        <v>0.1</v>
      </c>
    </row>
    <row r="25">
      <c r="B25" s="8" t="inlineStr">
        <is>
          <t>3. פרמטר המדיניות — פחת מואץ</t>
        </is>
      </c>
    </row>
    <row r="26">
      <c r="B26" s="27" t="inlineStr">
        <is>
          <t>שיעור פחת מואץ בשנה 1  ←  שנה ב'פרמטרי תמריץ'!F10</t>
        </is>
      </c>
      <c r="C26" s="9" t="inlineStr">
        <is>
          <t>% מה-CapEx</t>
        </is>
      </c>
      <c r="D26" s="9" t="inlineStr">
        <is>
          <t>פרמטרי תמריץ</t>
        </is>
      </c>
      <c r="E26" s="16" t="inlineStr">
        <is>
          <t>0% = ללא תמריץ (פחת סטנדרטי) | 100% = מחיקה מלאה בשנה 1</t>
        </is>
      </c>
      <c r="F26" s="28">
        <f>'פרמטרי תמריץ'!$F$10</f>
        <v/>
      </c>
    </row>
    <row r="28">
      <c r="B28" s="8" t="inlineStr">
        <is>
          <t>4. לוחות פחת — השוואה</t>
        </is>
      </c>
    </row>
    <row r="29">
      <c r="B29" s="29" t="inlineStr">
        <is>
          <t>פרמטר</t>
        </is>
      </c>
      <c r="C29" s="29" t="inlineStr">
        <is>
          <t>יחידות</t>
        </is>
      </c>
      <c r="D29" s="29" t="inlineStr">
        <is>
          <t>מקור</t>
        </is>
      </c>
      <c r="E29" s="29" t="inlineStr">
        <is>
          <t>הערות</t>
        </is>
      </c>
      <c r="F29" s="29" t="inlineStr">
        <is>
          <t>שנה 0 (השקעה)</t>
        </is>
      </c>
      <c r="G29" s="29" t="inlineStr">
        <is>
          <t>שנה 1</t>
        </is>
      </c>
      <c r="H29" s="29" t="inlineStr">
        <is>
          <t>שנה 2</t>
        </is>
      </c>
      <c r="I29" s="29" t="inlineStr">
        <is>
          <t>שנה 3</t>
        </is>
      </c>
      <c r="J29" s="29" t="inlineStr">
        <is>
          <t>שנה 4</t>
        </is>
      </c>
      <c r="K29" s="29" t="inlineStr">
        <is>
          <t>שנה 5</t>
        </is>
      </c>
      <c r="L29" s="29" t="inlineStr">
        <is>
          <t>שנה 6</t>
        </is>
      </c>
      <c r="M29" s="29" t="inlineStr">
        <is>
          <t>שנה 7</t>
        </is>
      </c>
      <c r="N29" s="29" t="inlineStr">
        <is>
          <t>שנה 8</t>
        </is>
      </c>
      <c r="O29" s="29" t="inlineStr">
        <is>
          <t>שנה 9</t>
        </is>
      </c>
      <c r="P29" s="29" t="inlineStr">
        <is>
          <t>שנה 10</t>
        </is>
      </c>
      <c r="Q29" s="29" t="inlineStr">
        <is>
          <t>שנה 11</t>
        </is>
      </c>
      <c r="R29" s="29" t="inlineStr">
        <is>
          <t>שנה 12</t>
        </is>
      </c>
      <c r="S29" s="29" t="inlineStr">
        <is>
          <t>שנה 13</t>
        </is>
      </c>
      <c r="T29" s="29" t="inlineStr">
        <is>
          <t>שנה 14</t>
        </is>
      </c>
      <c r="U29" s="29" t="inlineStr">
        <is>
          <t>שנה 15</t>
        </is>
      </c>
      <c r="V29" s="29" t="inlineStr">
        <is>
          <t>שנה 16</t>
        </is>
      </c>
      <c r="W29" s="29" t="inlineStr">
        <is>
          <t>שנה 17</t>
        </is>
      </c>
      <c r="X29" s="29" t="inlineStr">
        <is>
          <t>שנה 18</t>
        </is>
      </c>
      <c r="Y29" s="29" t="inlineStr">
        <is>
          <t>שנה 19</t>
        </is>
      </c>
      <c r="Z29" s="29" t="inlineStr">
        <is>
          <t>שנה 20</t>
        </is>
      </c>
    </row>
    <row r="30">
      <c r="B30" s="5" t="inlineStr">
        <is>
          <t>פחת שנתי — סטנדרטי</t>
        </is>
      </c>
      <c r="C30" s="9" t="inlineStr">
        <is>
          <t>₪</t>
        </is>
      </c>
      <c r="D30" s="9" t="inlineStr">
        <is>
          <t>חישוב</t>
        </is>
      </c>
      <c r="E30" s="9">
        <f> CapEx × 10% | קו ישר | עד שנה 10</f>
        <v/>
      </c>
      <c r="F30" s="30" t="n">
        <v>0</v>
      </c>
      <c r="G30" s="30">
        <f>IF(ISNUMBER($F$12),$F$12*$F$23,0)</f>
        <v/>
      </c>
      <c r="H30" s="30">
        <f>IF(ISNUMBER($F$12),$F$12*$F$23,0)</f>
        <v/>
      </c>
      <c r="I30" s="30">
        <f>IF(ISNUMBER($F$12),$F$12*$F$23,0)</f>
        <v/>
      </c>
      <c r="J30" s="30">
        <f>IF(ISNUMBER($F$12),$F$12*$F$23,0)</f>
        <v/>
      </c>
      <c r="K30" s="30">
        <f>IF(ISNUMBER($F$12),$F$12*$F$23,0)</f>
        <v/>
      </c>
      <c r="L30" s="30">
        <f>IF(ISNUMBER($F$12),$F$12*$F$23,0)</f>
        <v/>
      </c>
      <c r="M30" s="30">
        <f>IF(ISNUMBER($F$12),$F$12*$F$23,0)</f>
        <v/>
      </c>
      <c r="N30" s="30">
        <f>IF(ISNUMBER($F$12),$F$12*$F$23,0)</f>
        <v/>
      </c>
      <c r="O30" s="30">
        <f>IF(ISNUMBER($F$12),$F$12*$F$23,0)</f>
        <v/>
      </c>
      <c r="P30" s="30">
        <f>IF(ISNUMBER($F$12),$F$12*$F$23,0)</f>
        <v/>
      </c>
      <c r="Q30" s="30">
        <f>0</f>
        <v/>
      </c>
      <c r="R30" s="30">
        <f>0</f>
        <v/>
      </c>
      <c r="S30" s="30">
        <f>0</f>
        <v/>
      </c>
      <c r="T30" s="30">
        <f>0</f>
        <v/>
      </c>
      <c r="U30" s="30">
        <f>0</f>
        <v/>
      </c>
      <c r="V30" s="30">
        <f>0</f>
        <v/>
      </c>
      <c r="W30" s="30">
        <f>0</f>
        <v/>
      </c>
      <c r="X30" s="30">
        <f>0</f>
        <v/>
      </c>
      <c r="Y30" s="30">
        <f>0</f>
        <v/>
      </c>
      <c r="Z30" s="30">
        <f>0</f>
        <v/>
      </c>
    </row>
    <row r="31">
      <c r="B31" s="6" t="inlineStr">
        <is>
          <t>מגן מס — סטנדרטי</t>
        </is>
      </c>
      <c r="C31" s="9" t="inlineStr">
        <is>
          <t>₪</t>
        </is>
      </c>
      <c r="D31" s="9" t="inlineStr">
        <is>
          <t>חישוב</t>
        </is>
      </c>
      <c r="E31" s="9">
        <f> פחת × שיעור מס</f>
        <v/>
      </c>
      <c r="F31" s="31" t="n">
        <v>0</v>
      </c>
      <c r="G31" s="31">
        <f>G30*$F$21</f>
        <v/>
      </c>
      <c r="H31" s="31">
        <f>H30*$F$21</f>
        <v/>
      </c>
      <c r="I31" s="31">
        <f>I30*$F$21</f>
        <v/>
      </c>
      <c r="J31" s="31">
        <f>J30*$F$21</f>
        <v/>
      </c>
      <c r="K31" s="31">
        <f>K30*$F$21</f>
        <v/>
      </c>
      <c r="L31" s="31">
        <f>L30*$F$21</f>
        <v/>
      </c>
      <c r="M31" s="31">
        <f>M30*$F$21</f>
        <v/>
      </c>
      <c r="N31" s="31">
        <f>N30*$F$21</f>
        <v/>
      </c>
      <c r="O31" s="31">
        <f>O30*$F$21</f>
        <v/>
      </c>
      <c r="P31" s="31">
        <f>P30*$F$21</f>
        <v/>
      </c>
      <c r="Q31" s="31">
        <f>Q30*$F$21</f>
        <v/>
      </c>
      <c r="R31" s="31">
        <f>R30*$F$21</f>
        <v/>
      </c>
      <c r="S31" s="31">
        <f>S30*$F$21</f>
        <v/>
      </c>
      <c r="T31" s="31">
        <f>T30*$F$21</f>
        <v/>
      </c>
      <c r="U31" s="31">
        <f>U30*$F$21</f>
        <v/>
      </c>
      <c r="V31" s="31">
        <f>V30*$F$21</f>
        <v/>
      </c>
      <c r="W31" s="31">
        <f>W30*$F$21</f>
        <v/>
      </c>
      <c r="X31" s="31">
        <f>X30*$F$21</f>
        <v/>
      </c>
      <c r="Y31" s="31">
        <f>Y30*$F$21</f>
        <v/>
      </c>
      <c r="Z31" s="31">
        <f>Z30*$F$21</f>
        <v/>
      </c>
    </row>
    <row r="32">
      <c r="B32" s="7" t="inlineStr">
        <is>
          <t>פחת שנתי — מואץ</t>
        </is>
      </c>
      <c r="C32" s="9" t="inlineStr">
        <is>
          <t>₪</t>
        </is>
      </c>
      <c r="D32" s="9" t="inlineStr">
        <is>
          <t>חישוב</t>
        </is>
      </c>
      <c r="E32" s="9" t="inlineStr">
        <is>
          <t>שנה 1 = CapEx × שיעור מואץ | יתרה מפוחתת בקו ישר</t>
        </is>
      </c>
      <c r="F32" s="32" t="n">
        <v>0</v>
      </c>
      <c r="G32" s="32">
        <f>IF(ISNUMBER($F$12),$F$12*$F$26,0)</f>
        <v/>
      </c>
      <c r="H32" s="32">
        <f>IF(ISNUMBER($F$12),$F$12*(1-$F$26)/9,0)</f>
        <v/>
      </c>
      <c r="I32" s="32">
        <f>IF(ISNUMBER($F$12),$F$12*(1-$F$26)/9,0)</f>
        <v/>
      </c>
      <c r="J32" s="32">
        <f>IF(ISNUMBER($F$12),$F$12*(1-$F$26)/9,0)</f>
        <v/>
      </c>
      <c r="K32" s="32">
        <f>IF(ISNUMBER($F$12),$F$12*(1-$F$26)/9,0)</f>
        <v/>
      </c>
      <c r="L32" s="32">
        <f>IF(ISNUMBER($F$12),$F$12*(1-$F$26)/9,0)</f>
        <v/>
      </c>
      <c r="M32" s="32">
        <f>IF(ISNUMBER($F$12),$F$12*(1-$F$26)/9,0)</f>
        <v/>
      </c>
      <c r="N32" s="32">
        <f>IF(ISNUMBER($F$12),$F$12*(1-$F$26)/9,0)</f>
        <v/>
      </c>
      <c r="O32" s="32">
        <f>IF(ISNUMBER($F$12),$F$12*(1-$F$26)/9,0)</f>
        <v/>
      </c>
      <c r="P32" s="32">
        <f>IF(ISNUMBER($F$12),$F$12*(1-$F$26)/9,0)</f>
        <v/>
      </c>
      <c r="Q32" s="32">
        <f>0</f>
        <v/>
      </c>
      <c r="R32" s="32">
        <f>0</f>
        <v/>
      </c>
      <c r="S32" s="32">
        <f>0</f>
        <v/>
      </c>
      <c r="T32" s="32">
        <f>0</f>
        <v/>
      </c>
      <c r="U32" s="32">
        <f>0</f>
        <v/>
      </c>
      <c r="V32" s="32">
        <f>0</f>
        <v/>
      </c>
      <c r="W32" s="32">
        <f>0</f>
        <v/>
      </c>
      <c r="X32" s="32">
        <f>0</f>
        <v/>
      </c>
      <c r="Y32" s="32">
        <f>0</f>
        <v/>
      </c>
      <c r="Z32" s="32">
        <f>0</f>
        <v/>
      </c>
    </row>
    <row r="33">
      <c r="B33" s="7" t="inlineStr">
        <is>
          <t>מגן מס — מואץ</t>
        </is>
      </c>
      <c r="C33" s="9" t="inlineStr">
        <is>
          <t>₪</t>
        </is>
      </c>
      <c r="D33" s="9" t="inlineStr">
        <is>
          <t>חישוב</t>
        </is>
      </c>
      <c r="E33" s="9">
        <f> פחת מואץ × שיעור מס</f>
        <v/>
      </c>
      <c r="F33" s="32" t="n">
        <v>0</v>
      </c>
      <c r="G33" s="32">
        <f>G32*$F$21</f>
        <v/>
      </c>
      <c r="H33" s="32">
        <f>H32*$F$21</f>
        <v/>
      </c>
      <c r="I33" s="32">
        <f>I32*$F$21</f>
        <v/>
      </c>
      <c r="J33" s="32">
        <f>J32*$F$21</f>
        <v/>
      </c>
      <c r="K33" s="32">
        <f>K32*$F$21</f>
        <v/>
      </c>
      <c r="L33" s="32">
        <f>L32*$F$21</f>
        <v/>
      </c>
      <c r="M33" s="32">
        <f>M32*$F$21</f>
        <v/>
      </c>
      <c r="N33" s="32">
        <f>N32*$F$21</f>
        <v/>
      </c>
      <c r="O33" s="32">
        <f>O32*$F$21</f>
        <v/>
      </c>
      <c r="P33" s="32">
        <f>P32*$F$21</f>
        <v/>
      </c>
      <c r="Q33" s="32">
        <f>Q32*$F$21</f>
        <v/>
      </c>
      <c r="R33" s="32">
        <f>R32*$F$21</f>
        <v/>
      </c>
      <c r="S33" s="32">
        <f>S32*$F$21</f>
        <v/>
      </c>
      <c r="T33" s="32">
        <f>T32*$F$21</f>
        <v/>
      </c>
      <c r="U33" s="32">
        <f>U32*$F$21</f>
        <v/>
      </c>
      <c r="V33" s="32">
        <f>V32*$F$21</f>
        <v/>
      </c>
      <c r="W33" s="32">
        <f>W32*$F$21</f>
        <v/>
      </c>
      <c r="X33" s="32">
        <f>X32*$F$21</f>
        <v/>
      </c>
      <c r="Y33" s="32">
        <f>Y32*$F$21</f>
        <v/>
      </c>
      <c r="Z33" s="32">
        <f>Z32*$F$21</f>
        <v/>
      </c>
    </row>
    <row r="35">
      <c r="B35" s="8" t="inlineStr">
        <is>
          <t>5. ניתוח תזרים מזומנים</t>
        </is>
      </c>
    </row>
    <row r="36">
      <c r="B36" s="29" t="inlineStr">
        <is>
          <t>פרמטר</t>
        </is>
      </c>
      <c r="C36" s="29" t="inlineStr">
        <is>
          <t>יחידות</t>
        </is>
      </c>
      <c r="D36" s="29" t="inlineStr">
        <is>
          <t>מקור</t>
        </is>
      </c>
      <c r="E36" s="29" t="inlineStr">
        <is>
          <t>הערות</t>
        </is>
      </c>
      <c r="F36" s="29" t="inlineStr">
        <is>
          <t>שנה 0 (השקעה)</t>
        </is>
      </c>
      <c r="G36" s="29" t="inlineStr">
        <is>
          <t>שנה 1</t>
        </is>
      </c>
      <c r="H36" s="29" t="inlineStr">
        <is>
          <t>שנה 2</t>
        </is>
      </c>
      <c r="I36" s="29" t="inlineStr">
        <is>
          <t>שנה 3</t>
        </is>
      </c>
      <c r="J36" s="29" t="inlineStr">
        <is>
          <t>שנה 4</t>
        </is>
      </c>
      <c r="K36" s="29" t="inlineStr">
        <is>
          <t>שנה 5</t>
        </is>
      </c>
      <c r="L36" s="29" t="inlineStr">
        <is>
          <t>שנה 6</t>
        </is>
      </c>
      <c r="M36" s="29" t="inlineStr">
        <is>
          <t>שנה 7</t>
        </is>
      </c>
      <c r="N36" s="29" t="inlineStr">
        <is>
          <t>שנה 8</t>
        </is>
      </c>
      <c r="O36" s="29" t="inlineStr">
        <is>
          <t>שנה 9</t>
        </is>
      </c>
      <c r="P36" s="29" t="inlineStr">
        <is>
          <t>שנה 10</t>
        </is>
      </c>
      <c r="Q36" s="29" t="inlineStr">
        <is>
          <t>שנה 11</t>
        </is>
      </c>
      <c r="R36" s="29" t="inlineStr">
        <is>
          <t>שנה 12</t>
        </is>
      </c>
      <c r="S36" s="29" t="inlineStr">
        <is>
          <t>שנה 13</t>
        </is>
      </c>
      <c r="T36" s="29" t="inlineStr">
        <is>
          <t>שנה 14</t>
        </is>
      </c>
      <c r="U36" s="29" t="inlineStr">
        <is>
          <t>שנה 15</t>
        </is>
      </c>
      <c r="V36" s="29" t="inlineStr">
        <is>
          <t>שנה 16</t>
        </is>
      </c>
      <c r="W36" s="29" t="inlineStr">
        <is>
          <t>שנה 17</t>
        </is>
      </c>
      <c r="X36" s="29" t="inlineStr">
        <is>
          <t>שנה 18</t>
        </is>
      </c>
      <c r="Y36" s="29" t="inlineStr">
        <is>
          <t>שנה 19</t>
        </is>
      </c>
      <c r="Z36" s="29" t="inlineStr">
        <is>
          <t>שנה 20</t>
        </is>
      </c>
    </row>
    <row r="37">
      <c r="B37" s="5" t="inlineStr">
        <is>
          <t>השקעה ראשונית (CapEx)</t>
        </is>
      </c>
      <c r="C37" s="9" t="inlineStr">
        <is>
          <t>₪</t>
        </is>
      </c>
      <c r="D37" s="9" t="inlineStr">
        <is>
          <t>חישוב</t>
        </is>
      </c>
      <c r="F37" s="26">
        <f>IF(ISNUMBER($F$12),-$F$12,"PENDING")</f>
        <v/>
      </c>
    </row>
    <row r="38">
      <c r="B38" s="5" t="inlineStr">
        <is>
          <t>חיסכון שנתי — אנרגיה</t>
        </is>
      </c>
      <c r="C38" s="9" t="inlineStr">
        <is>
          <t>₪</t>
        </is>
      </c>
      <c r="D38" s="9" t="inlineStr">
        <is>
          <t>חישוב</t>
        </is>
      </c>
      <c r="F38" s="26" t="n">
        <v>0</v>
      </c>
      <c r="G38" s="26">
        <f>IF(ISNUMBER($F$18),$F$18,0)</f>
        <v/>
      </c>
      <c r="H38" s="26">
        <f>IF(ISNUMBER($F$18),$F$18,0)</f>
        <v/>
      </c>
      <c r="I38" s="26">
        <f>IF(ISNUMBER($F$18),$F$18,0)</f>
        <v/>
      </c>
      <c r="J38" s="26">
        <f>IF(ISNUMBER($F$18),$F$18,0)</f>
        <v/>
      </c>
      <c r="K38" s="26">
        <f>IF(ISNUMBER($F$18),$F$18,0)</f>
        <v/>
      </c>
      <c r="L38" s="26">
        <f>IF(ISNUMBER($F$18),$F$18,0)</f>
        <v/>
      </c>
      <c r="M38" s="26">
        <f>IF(ISNUMBER($F$18),$F$18,0)</f>
        <v/>
      </c>
      <c r="N38" s="26">
        <f>IF(ISNUMBER($F$18),$F$18,0)</f>
        <v/>
      </c>
      <c r="O38" s="26">
        <f>IF(ISNUMBER($F$18),$F$18,0)</f>
        <v/>
      </c>
      <c r="P38" s="26">
        <f>IF(ISNUMBER($F$18),$F$18,0)</f>
        <v/>
      </c>
      <c r="Q38" s="26">
        <f>0</f>
        <v/>
      </c>
      <c r="R38" s="26">
        <f>0</f>
        <v/>
      </c>
      <c r="S38" s="26">
        <f>0</f>
        <v/>
      </c>
      <c r="T38" s="26">
        <f>0</f>
        <v/>
      </c>
      <c r="U38" s="26">
        <f>0</f>
        <v/>
      </c>
      <c r="V38" s="26">
        <f>0</f>
        <v/>
      </c>
      <c r="W38" s="26">
        <f>0</f>
        <v/>
      </c>
      <c r="X38" s="26">
        <f>0</f>
        <v/>
      </c>
      <c r="Y38" s="26">
        <f>0</f>
        <v/>
      </c>
      <c r="Z38" s="26">
        <f>0</f>
        <v/>
      </c>
    </row>
    <row r="39">
      <c r="B39" s="5" t="inlineStr">
        <is>
          <t>תזרים נקי — ללא תמריץ</t>
        </is>
      </c>
      <c r="C39" s="9" t="inlineStr">
        <is>
          <t>₪</t>
        </is>
      </c>
      <c r="D39" s="9" t="inlineStr">
        <is>
          <t>חישוב</t>
        </is>
      </c>
      <c r="F39" s="26" t="n">
        <v>0</v>
      </c>
      <c r="G39" s="26">
        <f>G38+G31</f>
        <v/>
      </c>
      <c r="H39" s="26">
        <f>H38+H31</f>
        <v/>
      </c>
      <c r="I39" s="26">
        <f>I38+I31</f>
        <v/>
      </c>
      <c r="J39" s="26">
        <f>J38+J31</f>
        <v/>
      </c>
      <c r="K39" s="26">
        <f>K38+K31</f>
        <v/>
      </c>
      <c r="L39" s="26">
        <f>L38+L31</f>
        <v/>
      </c>
      <c r="M39" s="26">
        <f>M38+M31</f>
        <v/>
      </c>
      <c r="N39" s="26">
        <f>N38+N31</f>
        <v/>
      </c>
      <c r="O39" s="26">
        <f>O38+O31</f>
        <v/>
      </c>
      <c r="P39" s="26">
        <f>P38+P31</f>
        <v/>
      </c>
      <c r="Q39" s="26">
        <f>Q38+Q31</f>
        <v/>
      </c>
      <c r="R39" s="26">
        <f>R38+R31</f>
        <v/>
      </c>
      <c r="S39" s="26">
        <f>S38+S31</f>
        <v/>
      </c>
      <c r="T39" s="26">
        <f>T38+T31</f>
        <v/>
      </c>
      <c r="U39" s="26">
        <f>U38+U31</f>
        <v/>
      </c>
      <c r="V39" s="26">
        <f>V38+V31</f>
        <v/>
      </c>
      <c r="W39" s="26">
        <f>W38+W31</f>
        <v/>
      </c>
      <c r="X39" s="26">
        <f>X38+X31</f>
        <v/>
      </c>
      <c r="Y39" s="26">
        <f>Y38+Y31</f>
        <v/>
      </c>
      <c r="Z39" s="26">
        <f>Z38+Z31</f>
        <v/>
      </c>
    </row>
    <row r="40">
      <c r="B40" s="6" t="inlineStr">
        <is>
          <t>תזרים מהוון — ללא תמריץ</t>
        </is>
      </c>
      <c r="C40" s="9" t="inlineStr">
        <is>
          <t>₪</t>
        </is>
      </c>
      <c r="D40" s="9" t="inlineStr">
        <is>
          <t>חישוב</t>
        </is>
      </c>
      <c r="F40" s="31">
        <f>F39</f>
        <v/>
      </c>
      <c r="G40" s="31">
        <f>G39/(1+$F$22)^1</f>
        <v/>
      </c>
      <c r="H40" s="31">
        <f>H39/(1+$F$22)^2</f>
        <v/>
      </c>
      <c r="I40" s="31">
        <f>I39/(1+$F$22)^3</f>
        <v/>
      </c>
      <c r="J40" s="31">
        <f>J39/(1+$F$22)^4</f>
        <v/>
      </c>
      <c r="K40" s="31">
        <f>K39/(1+$F$22)^5</f>
        <v/>
      </c>
      <c r="L40" s="31">
        <f>L39/(1+$F$22)^6</f>
        <v/>
      </c>
      <c r="M40" s="31">
        <f>M39/(1+$F$22)^7</f>
        <v/>
      </c>
      <c r="N40" s="31">
        <f>N39/(1+$F$22)^8</f>
        <v/>
      </c>
      <c r="O40" s="31">
        <f>O39/(1+$F$22)^9</f>
        <v/>
      </c>
      <c r="P40" s="31">
        <f>P39/(1+$F$22)^10</f>
        <v/>
      </c>
      <c r="Q40" s="31">
        <f>Q39/(1+$F$22)^11</f>
        <v/>
      </c>
      <c r="R40" s="31">
        <f>R39/(1+$F$22)^12</f>
        <v/>
      </c>
      <c r="S40" s="31">
        <f>S39/(1+$F$22)^13</f>
        <v/>
      </c>
      <c r="T40" s="31">
        <f>T39/(1+$F$22)^14</f>
        <v/>
      </c>
      <c r="U40" s="31">
        <f>U39/(1+$F$22)^15</f>
        <v/>
      </c>
      <c r="V40" s="31">
        <f>V39/(1+$F$22)^16</f>
        <v/>
      </c>
      <c r="W40" s="31">
        <f>W39/(1+$F$22)^17</f>
        <v/>
      </c>
      <c r="X40" s="31">
        <f>X39/(1+$F$22)^18</f>
        <v/>
      </c>
      <c r="Y40" s="31">
        <f>Y39/(1+$F$22)^19</f>
        <v/>
      </c>
      <c r="Z40" s="31">
        <f>Z39/(1+$F$22)^20</f>
        <v/>
      </c>
    </row>
    <row r="41">
      <c r="B41" s="6" t="inlineStr">
        <is>
          <t>NPV מצטבר — ללא תמריץ</t>
        </is>
      </c>
      <c r="C41" s="9" t="inlineStr">
        <is>
          <t>₪</t>
        </is>
      </c>
      <c r="D41" s="9" t="inlineStr">
        <is>
          <t>חישוב</t>
        </is>
      </c>
      <c r="F41" s="31">
        <f>F40</f>
        <v/>
      </c>
      <c r="G41" s="31">
        <f>F41+G40</f>
        <v/>
      </c>
      <c r="H41" s="31">
        <f>G41+H40</f>
        <v/>
      </c>
      <c r="I41" s="31">
        <f>H41+I40</f>
        <v/>
      </c>
      <c r="J41" s="31">
        <f>I41+J40</f>
        <v/>
      </c>
      <c r="K41" s="31">
        <f>J41+K40</f>
        <v/>
      </c>
      <c r="L41" s="31">
        <f>K41+L40</f>
        <v/>
      </c>
      <c r="M41" s="31">
        <f>L41+M40</f>
        <v/>
      </c>
      <c r="N41" s="31">
        <f>M41+N40</f>
        <v/>
      </c>
      <c r="O41" s="31">
        <f>N41+O40</f>
        <v/>
      </c>
      <c r="P41" s="31">
        <f>O41+P40</f>
        <v/>
      </c>
      <c r="Q41" s="31">
        <f>P41+Q40</f>
        <v/>
      </c>
      <c r="R41" s="31">
        <f>Q41+R40</f>
        <v/>
      </c>
      <c r="S41" s="31">
        <f>R41+S40</f>
        <v/>
      </c>
      <c r="T41" s="31">
        <f>S41+T40</f>
        <v/>
      </c>
      <c r="U41" s="31">
        <f>T41+U40</f>
        <v/>
      </c>
      <c r="V41" s="31">
        <f>U41+V40</f>
        <v/>
      </c>
      <c r="W41" s="31">
        <f>V41+W40</f>
        <v/>
      </c>
      <c r="X41" s="31">
        <f>W41+X40</f>
        <v/>
      </c>
      <c r="Y41" s="31">
        <f>X41+Y40</f>
        <v/>
      </c>
      <c r="Z41" s="31">
        <f>Y41+Z40</f>
        <v/>
      </c>
    </row>
    <row r="42">
      <c r="B42" s="7" t="inlineStr">
        <is>
          <t>תזרים נקי — עם תמריץ</t>
        </is>
      </c>
      <c r="C42" s="9" t="inlineStr">
        <is>
          <t>₪</t>
        </is>
      </c>
      <c r="D42" s="9" t="inlineStr">
        <is>
          <t>חישוב</t>
        </is>
      </c>
      <c r="F42" s="26" t="n">
        <v>0</v>
      </c>
      <c r="G42" s="32">
        <f>G38+G33</f>
        <v/>
      </c>
      <c r="H42" s="32">
        <f>H38+H33</f>
        <v/>
      </c>
      <c r="I42" s="32">
        <f>I38+I33</f>
        <v/>
      </c>
      <c r="J42" s="32">
        <f>J38+J33</f>
        <v/>
      </c>
      <c r="K42" s="32">
        <f>K38+K33</f>
        <v/>
      </c>
      <c r="L42" s="32">
        <f>L38+L33</f>
        <v/>
      </c>
      <c r="M42" s="32">
        <f>M38+M33</f>
        <v/>
      </c>
      <c r="N42" s="32">
        <f>N38+N33</f>
        <v/>
      </c>
      <c r="O42" s="32">
        <f>O38+O33</f>
        <v/>
      </c>
      <c r="P42" s="32">
        <f>P38+P33</f>
        <v/>
      </c>
      <c r="Q42" s="32">
        <f>Q38+Q33</f>
        <v/>
      </c>
      <c r="R42" s="32">
        <f>R38+R33</f>
        <v/>
      </c>
      <c r="S42" s="32">
        <f>S38+S33</f>
        <v/>
      </c>
      <c r="T42" s="32">
        <f>T38+T33</f>
        <v/>
      </c>
      <c r="U42" s="32">
        <f>U38+U33</f>
        <v/>
      </c>
      <c r="V42" s="32">
        <f>V38+V33</f>
        <v/>
      </c>
      <c r="W42" s="32">
        <f>W38+W33</f>
        <v/>
      </c>
      <c r="X42" s="32">
        <f>X38+X33</f>
        <v/>
      </c>
      <c r="Y42" s="32">
        <f>Y38+Y33</f>
        <v/>
      </c>
      <c r="Z42" s="32">
        <f>Z38+Z33</f>
        <v/>
      </c>
    </row>
    <row r="43">
      <c r="B43" s="7" t="inlineStr">
        <is>
          <t>תזרים מהוון — עם תמריץ</t>
        </is>
      </c>
      <c r="C43" s="9" t="inlineStr">
        <is>
          <t>₪</t>
        </is>
      </c>
      <c r="D43" s="9" t="inlineStr">
        <is>
          <t>חישוב</t>
        </is>
      </c>
      <c r="F43" s="32">
        <f>F42</f>
        <v/>
      </c>
      <c r="G43" s="32">
        <f>G42/(1+$F$22)^1</f>
        <v/>
      </c>
      <c r="H43" s="32">
        <f>H42/(1+$F$22)^2</f>
        <v/>
      </c>
      <c r="I43" s="32">
        <f>I42/(1+$F$22)^3</f>
        <v/>
      </c>
      <c r="J43" s="32">
        <f>J42/(1+$F$22)^4</f>
        <v/>
      </c>
      <c r="K43" s="32">
        <f>K42/(1+$F$22)^5</f>
        <v/>
      </c>
      <c r="L43" s="32">
        <f>L42/(1+$F$22)^6</f>
        <v/>
      </c>
      <c r="M43" s="32">
        <f>M42/(1+$F$22)^7</f>
        <v/>
      </c>
      <c r="N43" s="32">
        <f>N42/(1+$F$22)^8</f>
        <v/>
      </c>
      <c r="O43" s="32">
        <f>O42/(1+$F$22)^9</f>
        <v/>
      </c>
      <c r="P43" s="32">
        <f>P42/(1+$F$22)^10</f>
        <v/>
      </c>
      <c r="Q43" s="32">
        <f>Q42/(1+$F$22)^11</f>
        <v/>
      </c>
      <c r="R43" s="32">
        <f>R42/(1+$F$22)^12</f>
        <v/>
      </c>
      <c r="S43" s="32">
        <f>S42/(1+$F$22)^13</f>
        <v/>
      </c>
      <c r="T43" s="32">
        <f>T42/(1+$F$22)^14</f>
        <v/>
      </c>
      <c r="U43" s="32">
        <f>U42/(1+$F$22)^15</f>
        <v/>
      </c>
      <c r="V43" s="32">
        <f>V42/(1+$F$22)^16</f>
        <v/>
      </c>
      <c r="W43" s="32">
        <f>W42/(1+$F$22)^17</f>
        <v/>
      </c>
      <c r="X43" s="32">
        <f>X42/(1+$F$22)^18</f>
        <v/>
      </c>
      <c r="Y43" s="32">
        <f>Y42/(1+$F$22)^19</f>
        <v/>
      </c>
      <c r="Z43" s="32">
        <f>Z42/(1+$F$22)^20</f>
        <v/>
      </c>
    </row>
    <row r="44">
      <c r="B44" s="7" t="inlineStr">
        <is>
          <t>NPV מצטבר — עם תמריץ</t>
        </is>
      </c>
      <c r="C44" s="9" t="inlineStr">
        <is>
          <t>₪</t>
        </is>
      </c>
      <c r="D44" s="9" t="inlineStr">
        <is>
          <t>חישוב</t>
        </is>
      </c>
      <c r="F44" s="32">
        <f>F43</f>
        <v/>
      </c>
      <c r="G44" s="32">
        <f>F44+G43</f>
        <v/>
      </c>
      <c r="H44" s="32">
        <f>G44+H43</f>
        <v/>
      </c>
      <c r="I44" s="32">
        <f>H44+I43</f>
        <v/>
      </c>
      <c r="J44" s="32">
        <f>I44+J43</f>
        <v/>
      </c>
      <c r="K44" s="32">
        <f>J44+K43</f>
        <v/>
      </c>
      <c r="L44" s="32">
        <f>K44+L43</f>
        <v/>
      </c>
      <c r="M44" s="32">
        <f>L44+M43</f>
        <v/>
      </c>
      <c r="N44" s="32">
        <f>M44+N43</f>
        <v/>
      </c>
      <c r="O44" s="32">
        <f>N44+O43</f>
        <v/>
      </c>
      <c r="P44" s="32">
        <f>O44+P43</f>
        <v/>
      </c>
      <c r="Q44" s="32">
        <f>P44+Q43</f>
        <v/>
      </c>
      <c r="R44" s="32">
        <f>Q44+R43</f>
        <v/>
      </c>
      <c r="S44" s="32">
        <f>R44+S43</f>
        <v/>
      </c>
      <c r="T44" s="32">
        <f>S44+T43</f>
        <v/>
      </c>
      <c r="U44" s="32">
        <f>T44+U43</f>
        <v/>
      </c>
      <c r="V44" s="32">
        <f>U44+V43</f>
        <v/>
      </c>
      <c r="W44" s="32">
        <f>V44+W43</f>
        <v/>
      </c>
      <c r="X44" s="32">
        <f>W44+X43</f>
        <v/>
      </c>
      <c r="Y44" s="32">
        <f>X44+Y43</f>
        <v/>
      </c>
      <c r="Z44" s="32">
        <f>Y44+Z43</f>
        <v/>
      </c>
    </row>
    <row r="46">
      <c r="B46" s="8" t="inlineStr">
        <is>
          <t>6. תוצאות</t>
        </is>
      </c>
    </row>
    <row r="47">
      <c r="B47" s="33" t="inlineStr">
        <is>
          <t>NPV ללא תמריץ</t>
        </is>
      </c>
      <c r="C47" s="9" t="inlineStr">
        <is>
          <t>ש"ח</t>
        </is>
      </c>
      <c r="F47" s="31">
        <f>SUM(F40:Z40)</f>
        <v/>
      </c>
    </row>
    <row r="48">
      <c r="B48" s="34" t="inlineStr">
        <is>
          <t>NPV עם תמריץ</t>
        </is>
      </c>
      <c r="C48" s="9" t="inlineStr">
        <is>
          <t>ש"ח</t>
        </is>
      </c>
      <c r="F48" s="32">
        <f>SUM(F43:Z43)</f>
        <v/>
      </c>
    </row>
    <row r="49">
      <c r="B49" s="35" t="inlineStr">
        <is>
          <t>דלתא NPV — ערך התמריץ</t>
        </is>
      </c>
      <c r="C49" s="9" t="inlineStr">
        <is>
          <t>ש"ח</t>
        </is>
      </c>
      <c r="F49" s="36">
        <f>F48-F47</f>
        <v/>
      </c>
    </row>
    <row r="51">
      <c r="B51" s="33" t="inlineStr">
        <is>
          <t>ROI ללא תמריץ</t>
        </is>
      </c>
      <c r="C51" s="9" t="inlineStr">
        <is>
          <t>%</t>
        </is>
      </c>
      <c r="F51" s="37">
        <f>IF(ISNUMBER($F$12),(SUM(F40:Z40)+$F$12)/$F$12,"PENDING")</f>
        <v/>
      </c>
    </row>
    <row r="52">
      <c r="B52" s="34" t="inlineStr">
        <is>
          <t>ROI עם תמריץ</t>
        </is>
      </c>
      <c r="C52" s="9" t="inlineStr">
        <is>
          <t>%</t>
        </is>
      </c>
      <c r="F52" s="38">
        <f>IF(ISNUMBER($F$12),(SUM(F43:Z43)+$F$12)/$F$12,"PENDING")</f>
        <v/>
      </c>
    </row>
    <row r="53">
      <c r="B53" s="35" t="inlineStr">
        <is>
          <t>שיפור ROI בזכות התמריץ</t>
        </is>
      </c>
      <c r="C53" s="9" t="inlineStr">
        <is>
          <t>%</t>
        </is>
      </c>
      <c r="F53" s="11">
        <f>IF(ISNUMBER(F52),F52-F51,"PENDING")</f>
        <v/>
      </c>
    </row>
    <row r="55">
      <c r="B55" s="33" t="inlineStr">
        <is>
          <t>תקופת החזר — ללא תמריץ</t>
        </is>
      </c>
      <c r="C55" s="9" t="inlineStr">
        <is>
          <t>שנים</t>
        </is>
      </c>
      <c r="F55" s="39">
        <f>IF(ISNUMBER($F$18),$F$12/$F$18,"PENDING")</f>
        <v/>
      </c>
    </row>
    <row r="56">
      <c r="B56" s="34" t="inlineStr">
        <is>
          <t>תקופת החזר — עם תמריץ</t>
        </is>
      </c>
      <c r="C56" s="9" t="inlineStr">
        <is>
          <t>שנים</t>
        </is>
      </c>
      <c r="F56" s="40">
        <f>IF(ISNUMBER($F$18),$F$12/($F$18+G33),"PENDING")</f>
        <v/>
      </c>
    </row>
    <row r="58">
      <c r="B58" s="16" t="inlineStr">
        <is>
          <t>* תקופת ההחזר עם תמריץ משקפת את יתרון מגן המס בשנה הראשונה בלבד — לחישוב מדויק ראו NPV מצטבר</t>
        </is>
      </c>
    </row>
  </sheetData>
  <mergeCells count="7">
    <mergeCell ref="B25:Z25"/>
    <mergeCell ref="B11:Z11"/>
    <mergeCell ref="B20:Z20"/>
    <mergeCell ref="B28:Z28"/>
    <mergeCell ref="B8:Z8"/>
    <mergeCell ref="B35:Z35"/>
    <mergeCell ref="B46:H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Z58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5" customWidth="1" min="3" max="3"/>
    <col width="18" customWidth="1" min="4" max="4"/>
    <col width="2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B1" s="1" t="inlineStr">
        <is>
          <t>מקרא צבעים</t>
        </is>
      </c>
    </row>
    <row r="2">
      <c r="B2" s="2" t="inlineStr">
        <is>
          <t>ערך להזנה</t>
        </is>
      </c>
    </row>
    <row r="3">
      <c r="B3" s="3" t="inlineStr">
        <is>
          <t>נתונים לעדכון / בקרה</t>
        </is>
      </c>
    </row>
    <row r="4">
      <c r="B4" s="4" t="inlineStr">
        <is>
          <t>כותרות משנה</t>
        </is>
      </c>
    </row>
    <row r="5">
      <c r="B5" s="5" t="inlineStr">
        <is>
          <t>תוצאת חישוב / טקסט</t>
        </is>
      </c>
    </row>
    <row r="6">
      <c r="B6" s="6" t="inlineStr">
        <is>
          <t>תוצאות</t>
        </is>
      </c>
    </row>
    <row r="7">
      <c r="B7" s="7" t="inlineStr">
        <is>
          <t>שורת תמריץ</t>
        </is>
      </c>
    </row>
    <row r="8">
      <c r="B8" s="20" t="inlineStr">
        <is>
          <t>ניתוח כלכלי — צ'ילרים</t>
        </is>
      </c>
    </row>
    <row r="9">
      <c r="B9" s="16" t="inlineStr">
        <is>
          <t>* שדרוג מערכת קירור תעשייתית | חיסכון ~20% | טווח: 15–20 שנה</t>
        </is>
      </c>
    </row>
    <row r="11">
      <c r="B11" s="8" t="inlineStr">
        <is>
          <t>1. הנחות בסיסיות להשקעה</t>
        </is>
      </c>
    </row>
    <row r="12">
      <c r="B12" s="13" t="inlineStr">
        <is>
          <t>עלות השקעה (CapEx)</t>
        </is>
      </c>
      <c r="C12" s="9" t="inlineStr">
        <is>
          <t>₪</t>
        </is>
      </c>
      <c r="D12" s="9" t="inlineStr">
        <is>
          <t>נתוני רפי</t>
        </is>
      </c>
      <c r="E12" s="21" t="inlineStr">
        <is>
          <t>⚠ ממתין לנתוני ראש המהנדסים</t>
        </is>
      </c>
      <c r="F12" s="22" t="inlineStr">
        <is>
          <t>PENDING</t>
        </is>
      </c>
    </row>
    <row r="13">
      <c r="B13" s="13" t="inlineStr">
        <is>
          <t>צריכת אנרגיה שנתית (לפני החלפה)</t>
        </is>
      </c>
      <c r="C13" s="9" t="inlineStr">
        <is>
          <t>קוט"ש/שנה</t>
        </is>
      </c>
      <c r="D13" s="9" t="inlineStr">
        <is>
          <t>נתוני רפי</t>
        </is>
      </c>
      <c r="E13" s="21" t="inlineStr">
        <is>
          <t>⚠ ממתין לנתוני ראש המהנדסים</t>
        </is>
      </c>
      <c r="F13" s="22" t="inlineStr">
        <is>
          <t>PENDING</t>
        </is>
      </c>
    </row>
    <row r="14">
      <c r="B14" s="13" t="inlineStr">
        <is>
          <t>חיסכון אנרגטי</t>
        </is>
      </c>
      <c r="C14" s="9" t="inlineStr">
        <is>
          <t>% מצריכה</t>
        </is>
      </c>
      <c r="D14" s="9" t="inlineStr">
        <is>
          <t>ממצאי הנדסה</t>
        </is>
      </c>
      <c r="F14" s="10" t="n">
        <v>0.2</v>
      </c>
    </row>
    <row r="15">
      <c r="B15" s="13" t="inlineStr">
        <is>
          <t>חיסכון שנתי בצריכת חשמל</t>
        </is>
      </c>
      <c r="C15" s="9" t="inlineStr">
        <is>
          <t>קוט"ש/שנה</t>
        </is>
      </c>
      <c r="D15" s="9" t="inlineStr">
        <is>
          <t>חישוב</t>
        </is>
      </c>
      <c r="E15" s="9">
        <f> צריכה × שיעור חיסכון</f>
        <v/>
      </c>
      <c r="F15" s="23">
        <f>IF(ISNUMBER($F$13),$F$13*$F$14,"PENDING")</f>
        <v/>
      </c>
    </row>
    <row r="16">
      <c r="B16" s="13" t="inlineStr">
        <is>
          <t>אורך חיי הציוד (כלכלי)</t>
        </is>
      </c>
      <c r="C16" s="9" t="inlineStr">
        <is>
          <t>שנים</t>
        </is>
      </c>
      <c r="D16" s="9" t="inlineStr">
        <is>
          <t>ממצאי הנדסה</t>
        </is>
      </c>
      <c r="F16" s="24" t="n">
        <v>17</v>
      </c>
    </row>
    <row r="17">
      <c r="B17" s="13" t="inlineStr">
        <is>
          <t>מחיר חשמל</t>
        </is>
      </c>
      <c r="C17" s="9" t="inlineStr">
        <is>
          <t>₪/קוט"ש</t>
        </is>
      </c>
      <c r="D17" s="9" t="inlineStr">
        <is>
          <t>גיליון הנחות</t>
        </is>
      </c>
      <c r="F17" s="25">
        <f>'נתונים והנחות - כללי'!$F$12/100</f>
        <v/>
      </c>
    </row>
    <row r="18">
      <c r="B18" s="13" t="inlineStr">
        <is>
          <t>חיסכון שנתי (₪)</t>
        </is>
      </c>
      <c r="C18" s="9" t="inlineStr">
        <is>
          <t>₪/שנה</t>
        </is>
      </c>
      <c r="D18" s="9" t="inlineStr">
        <is>
          <t>חישוב</t>
        </is>
      </c>
      <c r="E18" s="9">
        <f> חיסכון קוט"ש × מחיר חשמל</f>
        <v/>
      </c>
      <c r="F18" s="26">
        <f>IF(ISNUMBER($F$15),$F$15*$F$17,"PENDING")</f>
        <v/>
      </c>
    </row>
    <row r="20">
      <c r="B20" s="8" t="inlineStr">
        <is>
          <t>2. הנחות פיננסיות</t>
        </is>
      </c>
    </row>
    <row r="21">
      <c r="B21" s="13" t="inlineStr">
        <is>
          <t>שיעור מס חברות</t>
        </is>
      </c>
      <c r="C21" s="9" t="inlineStr">
        <is>
          <t>%</t>
        </is>
      </c>
      <c r="D21" s="9" t="inlineStr">
        <is>
          <t>גיליון הנחות</t>
        </is>
      </c>
      <c r="F21" s="14">
        <f>'נתונים והנחות - כללי'!$F$10</f>
        <v/>
      </c>
    </row>
    <row r="22">
      <c r="B22" s="13" t="inlineStr">
        <is>
          <t>שיעור היוון</t>
        </is>
      </c>
      <c r="C22" s="9" t="inlineStr">
        <is>
          <t>%</t>
        </is>
      </c>
      <c r="D22" s="9" t="inlineStr">
        <is>
          <t>גיליון הנחות</t>
        </is>
      </c>
      <c r="F22" s="14">
        <f>'נתונים והנחות - כללי'!$F$11</f>
        <v/>
      </c>
    </row>
    <row r="23">
      <c r="B23" s="13" t="inlineStr">
        <is>
          <t>שיעור פחת סטנדרטי</t>
        </is>
      </c>
      <c r="C23" s="9" t="inlineStr">
        <is>
          <t>%/שנה</t>
        </is>
      </c>
      <c r="D23" s="9" t="inlineStr">
        <is>
          <t>תקנות מס הכנסה</t>
        </is>
      </c>
      <c r="E23" s="9" t="inlineStr">
        <is>
          <t>קו ישר — 10 שנים</t>
        </is>
      </c>
      <c r="F23" s="10" t="n">
        <v>0.1</v>
      </c>
    </row>
    <row r="25">
      <c r="B25" s="8" t="inlineStr">
        <is>
          <t>3. פרמטר המדיניות — פחת מואץ</t>
        </is>
      </c>
    </row>
    <row r="26">
      <c r="B26" s="27" t="inlineStr">
        <is>
          <t>שיעור פחת מואץ בשנה 1  ←  שנה ב'פרמטרי תמריץ'!F10</t>
        </is>
      </c>
      <c r="C26" s="9" t="inlineStr">
        <is>
          <t>% מה-CapEx</t>
        </is>
      </c>
      <c r="D26" s="9" t="inlineStr">
        <is>
          <t>פרמטרי תמריץ</t>
        </is>
      </c>
      <c r="E26" s="16" t="inlineStr">
        <is>
          <t>0% = ללא תמריץ (פחת סטנדרטי) | 100% = מחיקה מלאה בשנה 1</t>
        </is>
      </c>
      <c r="F26" s="28">
        <f>'פרמטרי תמריץ'!$F$10</f>
        <v/>
      </c>
    </row>
    <row r="28">
      <c r="B28" s="8" t="inlineStr">
        <is>
          <t>4. לוחות פחת — השוואה</t>
        </is>
      </c>
    </row>
    <row r="29">
      <c r="B29" s="29" t="inlineStr">
        <is>
          <t>פרמטר</t>
        </is>
      </c>
      <c r="C29" s="29" t="inlineStr">
        <is>
          <t>יחידות</t>
        </is>
      </c>
      <c r="D29" s="29" t="inlineStr">
        <is>
          <t>מקור</t>
        </is>
      </c>
      <c r="E29" s="29" t="inlineStr">
        <is>
          <t>הערות</t>
        </is>
      </c>
      <c r="F29" s="29" t="inlineStr">
        <is>
          <t>שנה 0 (השקעה)</t>
        </is>
      </c>
      <c r="G29" s="29" t="inlineStr">
        <is>
          <t>שנה 1</t>
        </is>
      </c>
      <c r="H29" s="29" t="inlineStr">
        <is>
          <t>שנה 2</t>
        </is>
      </c>
      <c r="I29" s="29" t="inlineStr">
        <is>
          <t>שנה 3</t>
        </is>
      </c>
      <c r="J29" s="29" t="inlineStr">
        <is>
          <t>שנה 4</t>
        </is>
      </c>
      <c r="K29" s="29" t="inlineStr">
        <is>
          <t>שנה 5</t>
        </is>
      </c>
      <c r="L29" s="29" t="inlineStr">
        <is>
          <t>שנה 6</t>
        </is>
      </c>
      <c r="M29" s="29" t="inlineStr">
        <is>
          <t>שנה 7</t>
        </is>
      </c>
      <c r="N29" s="29" t="inlineStr">
        <is>
          <t>שנה 8</t>
        </is>
      </c>
      <c r="O29" s="29" t="inlineStr">
        <is>
          <t>שנה 9</t>
        </is>
      </c>
      <c r="P29" s="29" t="inlineStr">
        <is>
          <t>שנה 10</t>
        </is>
      </c>
      <c r="Q29" s="29" t="inlineStr">
        <is>
          <t>שנה 11</t>
        </is>
      </c>
      <c r="R29" s="29" t="inlineStr">
        <is>
          <t>שנה 12</t>
        </is>
      </c>
      <c r="S29" s="29" t="inlineStr">
        <is>
          <t>שנה 13</t>
        </is>
      </c>
      <c r="T29" s="29" t="inlineStr">
        <is>
          <t>שנה 14</t>
        </is>
      </c>
      <c r="U29" s="29" t="inlineStr">
        <is>
          <t>שנה 15</t>
        </is>
      </c>
      <c r="V29" s="29" t="inlineStr">
        <is>
          <t>שנה 16</t>
        </is>
      </c>
      <c r="W29" s="29" t="inlineStr">
        <is>
          <t>שנה 17</t>
        </is>
      </c>
      <c r="X29" s="29" t="inlineStr">
        <is>
          <t>שנה 18</t>
        </is>
      </c>
      <c r="Y29" s="29" t="inlineStr">
        <is>
          <t>שנה 19</t>
        </is>
      </c>
      <c r="Z29" s="29" t="inlineStr">
        <is>
          <t>שנה 20</t>
        </is>
      </c>
    </row>
    <row r="30">
      <c r="B30" s="5" t="inlineStr">
        <is>
          <t>פחת שנתי — סטנדרטי</t>
        </is>
      </c>
      <c r="C30" s="9" t="inlineStr">
        <is>
          <t>₪</t>
        </is>
      </c>
      <c r="D30" s="9" t="inlineStr">
        <is>
          <t>חישוב</t>
        </is>
      </c>
      <c r="E30" s="9">
        <f> CapEx × 10% | קו ישר | עד שנה 10</f>
        <v/>
      </c>
      <c r="F30" s="30" t="n">
        <v>0</v>
      </c>
      <c r="G30" s="30">
        <f>IF(ISNUMBER($F$12),$F$12*$F$23,0)</f>
        <v/>
      </c>
      <c r="H30" s="30">
        <f>IF(ISNUMBER($F$12),$F$12*$F$23,0)</f>
        <v/>
      </c>
      <c r="I30" s="30">
        <f>IF(ISNUMBER($F$12),$F$12*$F$23,0)</f>
        <v/>
      </c>
      <c r="J30" s="30">
        <f>IF(ISNUMBER($F$12),$F$12*$F$23,0)</f>
        <v/>
      </c>
      <c r="K30" s="30">
        <f>IF(ISNUMBER($F$12),$F$12*$F$23,0)</f>
        <v/>
      </c>
      <c r="L30" s="30">
        <f>IF(ISNUMBER($F$12),$F$12*$F$23,0)</f>
        <v/>
      </c>
      <c r="M30" s="30">
        <f>IF(ISNUMBER($F$12),$F$12*$F$23,0)</f>
        <v/>
      </c>
      <c r="N30" s="30">
        <f>IF(ISNUMBER($F$12),$F$12*$F$23,0)</f>
        <v/>
      </c>
      <c r="O30" s="30">
        <f>IF(ISNUMBER($F$12),$F$12*$F$23,0)</f>
        <v/>
      </c>
      <c r="P30" s="30">
        <f>IF(ISNUMBER($F$12),$F$12*$F$23,0)</f>
        <v/>
      </c>
      <c r="Q30" s="30">
        <f>0</f>
        <v/>
      </c>
      <c r="R30" s="30">
        <f>0</f>
        <v/>
      </c>
      <c r="S30" s="30">
        <f>0</f>
        <v/>
      </c>
      <c r="T30" s="30">
        <f>0</f>
        <v/>
      </c>
      <c r="U30" s="30">
        <f>0</f>
        <v/>
      </c>
      <c r="V30" s="30">
        <f>0</f>
        <v/>
      </c>
      <c r="W30" s="30">
        <f>0</f>
        <v/>
      </c>
      <c r="X30" s="30">
        <f>0</f>
        <v/>
      </c>
      <c r="Y30" s="30">
        <f>0</f>
        <v/>
      </c>
      <c r="Z30" s="30">
        <f>0</f>
        <v/>
      </c>
    </row>
    <row r="31">
      <c r="B31" s="6" t="inlineStr">
        <is>
          <t>מגן מס — סטנדרטי</t>
        </is>
      </c>
      <c r="C31" s="9" t="inlineStr">
        <is>
          <t>₪</t>
        </is>
      </c>
      <c r="D31" s="9" t="inlineStr">
        <is>
          <t>חישוב</t>
        </is>
      </c>
      <c r="E31" s="9">
        <f> פחת × שיעור מס</f>
        <v/>
      </c>
      <c r="F31" s="31" t="n">
        <v>0</v>
      </c>
      <c r="G31" s="31">
        <f>G30*$F$21</f>
        <v/>
      </c>
      <c r="H31" s="31">
        <f>H30*$F$21</f>
        <v/>
      </c>
      <c r="I31" s="31">
        <f>I30*$F$21</f>
        <v/>
      </c>
      <c r="J31" s="31">
        <f>J30*$F$21</f>
        <v/>
      </c>
      <c r="K31" s="31">
        <f>K30*$F$21</f>
        <v/>
      </c>
      <c r="L31" s="31">
        <f>L30*$F$21</f>
        <v/>
      </c>
      <c r="M31" s="31">
        <f>M30*$F$21</f>
        <v/>
      </c>
      <c r="N31" s="31">
        <f>N30*$F$21</f>
        <v/>
      </c>
      <c r="O31" s="31">
        <f>O30*$F$21</f>
        <v/>
      </c>
      <c r="P31" s="31">
        <f>P30*$F$21</f>
        <v/>
      </c>
      <c r="Q31" s="31">
        <f>Q30*$F$21</f>
        <v/>
      </c>
      <c r="R31" s="31">
        <f>R30*$F$21</f>
        <v/>
      </c>
      <c r="S31" s="31">
        <f>S30*$F$21</f>
        <v/>
      </c>
      <c r="T31" s="31">
        <f>T30*$F$21</f>
        <v/>
      </c>
      <c r="U31" s="31">
        <f>U30*$F$21</f>
        <v/>
      </c>
      <c r="V31" s="31">
        <f>V30*$F$21</f>
        <v/>
      </c>
      <c r="W31" s="31">
        <f>W30*$F$21</f>
        <v/>
      </c>
      <c r="X31" s="31">
        <f>X30*$F$21</f>
        <v/>
      </c>
      <c r="Y31" s="31">
        <f>Y30*$F$21</f>
        <v/>
      </c>
      <c r="Z31" s="31">
        <f>Z30*$F$21</f>
        <v/>
      </c>
    </row>
    <row r="32">
      <c r="B32" s="7" t="inlineStr">
        <is>
          <t>פחת שנתי — מואץ</t>
        </is>
      </c>
      <c r="C32" s="9" t="inlineStr">
        <is>
          <t>₪</t>
        </is>
      </c>
      <c r="D32" s="9" t="inlineStr">
        <is>
          <t>חישוב</t>
        </is>
      </c>
      <c r="E32" s="9" t="inlineStr">
        <is>
          <t>שנה 1 = CapEx × שיעור מואץ | יתרה מפוחתת בקו ישר</t>
        </is>
      </c>
      <c r="F32" s="32" t="n">
        <v>0</v>
      </c>
      <c r="G32" s="32">
        <f>IF(ISNUMBER($F$12),$F$12*$F$26,0)</f>
        <v/>
      </c>
      <c r="H32" s="32">
        <f>IF(ISNUMBER($F$12),$F$12*(1-$F$26)/9,0)</f>
        <v/>
      </c>
      <c r="I32" s="32">
        <f>IF(ISNUMBER($F$12),$F$12*(1-$F$26)/9,0)</f>
        <v/>
      </c>
      <c r="J32" s="32">
        <f>IF(ISNUMBER($F$12),$F$12*(1-$F$26)/9,0)</f>
        <v/>
      </c>
      <c r="K32" s="32">
        <f>IF(ISNUMBER($F$12),$F$12*(1-$F$26)/9,0)</f>
        <v/>
      </c>
      <c r="L32" s="32">
        <f>IF(ISNUMBER($F$12),$F$12*(1-$F$26)/9,0)</f>
        <v/>
      </c>
      <c r="M32" s="32">
        <f>IF(ISNUMBER($F$12),$F$12*(1-$F$26)/9,0)</f>
        <v/>
      </c>
      <c r="N32" s="32">
        <f>IF(ISNUMBER($F$12),$F$12*(1-$F$26)/9,0)</f>
        <v/>
      </c>
      <c r="O32" s="32">
        <f>IF(ISNUMBER($F$12),$F$12*(1-$F$26)/9,0)</f>
        <v/>
      </c>
      <c r="P32" s="32">
        <f>IF(ISNUMBER($F$12),$F$12*(1-$F$26)/9,0)</f>
        <v/>
      </c>
      <c r="Q32" s="32">
        <f>0</f>
        <v/>
      </c>
      <c r="R32" s="32">
        <f>0</f>
        <v/>
      </c>
      <c r="S32" s="32">
        <f>0</f>
        <v/>
      </c>
      <c r="T32" s="32">
        <f>0</f>
        <v/>
      </c>
      <c r="U32" s="32">
        <f>0</f>
        <v/>
      </c>
      <c r="V32" s="32">
        <f>0</f>
        <v/>
      </c>
      <c r="W32" s="32">
        <f>0</f>
        <v/>
      </c>
      <c r="X32" s="32">
        <f>0</f>
        <v/>
      </c>
      <c r="Y32" s="32">
        <f>0</f>
        <v/>
      </c>
      <c r="Z32" s="32">
        <f>0</f>
        <v/>
      </c>
    </row>
    <row r="33">
      <c r="B33" s="7" t="inlineStr">
        <is>
          <t>מגן מס — מואץ</t>
        </is>
      </c>
      <c r="C33" s="9" t="inlineStr">
        <is>
          <t>₪</t>
        </is>
      </c>
      <c r="D33" s="9" t="inlineStr">
        <is>
          <t>חישוב</t>
        </is>
      </c>
      <c r="E33" s="9">
        <f> פחת מואץ × שיעור מס</f>
        <v/>
      </c>
      <c r="F33" s="32" t="n">
        <v>0</v>
      </c>
      <c r="G33" s="32">
        <f>G32*$F$21</f>
        <v/>
      </c>
      <c r="H33" s="32">
        <f>H32*$F$21</f>
        <v/>
      </c>
      <c r="I33" s="32">
        <f>I32*$F$21</f>
        <v/>
      </c>
      <c r="J33" s="32">
        <f>J32*$F$21</f>
        <v/>
      </c>
      <c r="K33" s="32">
        <f>K32*$F$21</f>
        <v/>
      </c>
      <c r="L33" s="32">
        <f>L32*$F$21</f>
        <v/>
      </c>
      <c r="M33" s="32">
        <f>M32*$F$21</f>
        <v/>
      </c>
      <c r="N33" s="32">
        <f>N32*$F$21</f>
        <v/>
      </c>
      <c r="O33" s="32">
        <f>O32*$F$21</f>
        <v/>
      </c>
      <c r="P33" s="32">
        <f>P32*$F$21</f>
        <v/>
      </c>
      <c r="Q33" s="32">
        <f>Q32*$F$21</f>
        <v/>
      </c>
      <c r="R33" s="32">
        <f>R32*$F$21</f>
        <v/>
      </c>
      <c r="S33" s="32">
        <f>S32*$F$21</f>
        <v/>
      </c>
      <c r="T33" s="32">
        <f>T32*$F$21</f>
        <v/>
      </c>
      <c r="U33" s="32">
        <f>U32*$F$21</f>
        <v/>
      </c>
      <c r="V33" s="32">
        <f>V32*$F$21</f>
        <v/>
      </c>
      <c r="W33" s="32">
        <f>W32*$F$21</f>
        <v/>
      </c>
      <c r="X33" s="32">
        <f>X32*$F$21</f>
        <v/>
      </c>
      <c r="Y33" s="32">
        <f>Y32*$F$21</f>
        <v/>
      </c>
      <c r="Z33" s="32">
        <f>Z32*$F$21</f>
        <v/>
      </c>
    </row>
    <row r="35">
      <c r="B35" s="8" t="inlineStr">
        <is>
          <t>5. ניתוח תזרים מזומנים</t>
        </is>
      </c>
    </row>
    <row r="36">
      <c r="B36" s="29" t="inlineStr">
        <is>
          <t>פרמטר</t>
        </is>
      </c>
      <c r="C36" s="29" t="inlineStr">
        <is>
          <t>יחידות</t>
        </is>
      </c>
      <c r="D36" s="29" t="inlineStr">
        <is>
          <t>מקור</t>
        </is>
      </c>
      <c r="E36" s="29" t="inlineStr">
        <is>
          <t>הערות</t>
        </is>
      </c>
      <c r="F36" s="29" t="inlineStr">
        <is>
          <t>שנה 0 (השקעה)</t>
        </is>
      </c>
      <c r="G36" s="29" t="inlineStr">
        <is>
          <t>שנה 1</t>
        </is>
      </c>
      <c r="H36" s="29" t="inlineStr">
        <is>
          <t>שנה 2</t>
        </is>
      </c>
      <c r="I36" s="29" t="inlineStr">
        <is>
          <t>שנה 3</t>
        </is>
      </c>
      <c r="J36" s="29" t="inlineStr">
        <is>
          <t>שנה 4</t>
        </is>
      </c>
      <c r="K36" s="29" t="inlineStr">
        <is>
          <t>שנה 5</t>
        </is>
      </c>
      <c r="L36" s="29" t="inlineStr">
        <is>
          <t>שנה 6</t>
        </is>
      </c>
      <c r="M36" s="29" t="inlineStr">
        <is>
          <t>שנה 7</t>
        </is>
      </c>
      <c r="N36" s="29" t="inlineStr">
        <is>
          <t>שנה 8</t>
        </is>
      </c>
      <c r="O36" s="29" t="inlineStr">
        <is>
          <t>שנה 9</t>
        </is>
      </c>
      <c r="P36" s="29" t="inlineStr">
        <is>
          <t>שנה 10</t>
        </is>
      </c>
      <c r="Q36" s="29" t="inlineStr">
        <is>
          <t>שנה 11</t>
        </is>
      </c>
      <c r="R36" s="29" t="inlineStr">
        <is>
          <t>שנה 12</t>
        </is>
      </c>
      <c r="S36" s="29" t="inlineStr">
        <is>
          <t>שנה 13</t>
        </is>
      </c>
      <c r="T36" s="29" t="inlineStr">
        <is>
          <t>שנה 14</t>
        </is>
      </c>
      <c r="U36" s="29" t="inlineStr">
        <is>
          <t>שנה 15</t>
        </is>
      </c>
      <c r="V36" s="29" t="inlineStr">
        <is>
          <t>שנה 16</t>
        </is>
      </c>
      <c r="W36" s="29" t="inlineStr">
        <is>
          <t>שנה 17</t>
        </is>
      </c>
      <c r="X36" s="29" t="inlineStr">
        <is>
          <t>שנה 18</t>
        </is>
      </c>
      <c r="Y36" s="29" t="inlineStr">
        <is>
          <t>שנה 19</t>
        </is>
      </c>
      <c r="Z36" s="29" t="inlineStr">
        <is>
          <t>שנה 20</t>
        </is>
      </c>
    </row>
    <row r="37">
      <c r="B37" s="5" t="inlineStr">
        <is>
          <t>השקעה ראשונית (CapEx)</t>
        </is>
      </c>
      <c r="C37" s="9" t="inlineStr">
        <is>
          <t>₪</t>
        </is>
      </c>
      <c r="D37" s="9" t="inlineStr">
        <is>
          <t>חישוב</t>
        </is>
      </c>
      <c r="F37" s="26">
        <f>IF(ISNUMBER($F$12),-$F$12,"PENDING")</f>
        <v/>
      </c>
    </row>
    <row r="38">
      <c r="B38" s="5" t="inlineStr">
        <is>
          <t>חיסכון שנתי — אנרגיה</t>
        </is>
      </c>
      <c r="C38" s="9" t="inlineStr">
        <is>
          <t>₪</t>
        </is>
      </c>
      <c r="D38" s="9" t="inlineStr">
        <is>
          <t>חישוב</t>
        </is>
      </c>
      <c r="F38" s="26" t="n">
        <v>0</v>
      </c>
      <c r="G38" s="26">
        <f>IF(ISNUMBER($F$18),$F$18,0)</f>
        <v/>
      </c>
      <c r="H38" s="26">
        <f>IF(ISNUMBER($F$18),$F$18,0)</f>
        <v/>
      </c>
      <c r="I38" s="26">
        <f>IF(ISNUMBER($F$18),$F$18,0)</f>
        <v/>
      </c>
      <c r="J38" s="26">
        <f>IF(ISNUMBER($F$18),$F$18,0)</f>
        <v/>
      </c>
      <c r="K38" s="26">
        <f>IF(ISNUMBER($F$18),$F$18,0)</f>
        <v/>
      </c>
      <c r="L38" s="26">
        <f>IF(ISNUMBER($F$18),$F$18,0)</f>
        <v/>
      </c>
      <c r="M38" s="26">
        <f>IF(ISNUMBER($F$18),$F$18,0)</f>
        <v/>
      </c>
      <c r="N38" s="26">
        <f>IF(ISNUMBER($F$18),$F$18,0)</f>
        <v/>
      </c>
      <c r="O38" s="26">
        <f>IF(ISNUMBER($F$18),$F$18,0)</f>
        <v/>
      </c>
      <c r="P38" s="26">
        <f>IF(ISNUMBER($F$18),$F$18,0)</f>
        <v/>
      </c>
      <c r="Q38" s="26">
        <f>IF(ISNUMBER($F$18),$F$18,0)</f>
        <v/>
      </c>
      <c r="R38" s="26">
        <f>IF(ISNUMBER($F$18),$F$18,0)</f>
        <v/>
      </c>
      <c r="S38" s="26">
        <f>IF(ISNUMBER($F$18),$F$18,0)</f>
        <v/>
      </c>
      <c r="T38" s="26">
        <f>IF(ISNUMBER($F$18),$F$18,0)</f>
        <v/>
      </c>
      <c r="U38" s="26">
        <f>IF(ISNUMBER($F$18),$F$18,0)</f>
        <v/>
      </c>
      <c r="V38" s="26">
        <f>IF(ISNUMBER($F$18),$F$18,0)</f>
        <v/>
      </c>
      <c r="W38" s="26">
        <f>IF(ISNUMBER($F$18),$F$18,0)</f>
        <v/>
      </c>
      <c r="X38" s="26">
        <f>0</f>
        <v/>
      </c>
      <c r="Y38" s="26">
        <f>0</f>
        <v/>
      </c>
      <c r="Z38" s="26">
        <f>0</f>
        <v/>
      </c>
    </row>
    <row r="39">
      <c r="B39" s="5" t="inlineStr">
        <is>
          <t>תזרים נקי — ללא תמריץ</t>
        </is>
      </c>
      <c r="C39" s="9" t="inlineStr">
        <is>
          <t>₪</t>
        </is>
      </c>
      <c r="D39" s="9" t="inlineStr">
        <is>
          <t>חישוב</t>
        </is>
      </c>
      <c r="F39" s="26" t="n">
        <v>0</v>
      </c>
      <c r="G39" s="26">
        <f>G38+G31</f>
        <v/>
      </c>
      <c r="H39" s="26">
        <f>H38+H31</f>
        <v/>
      </c>
      <c r="I39" s="26">
        <f>I38+I31</f>
        <v/>
      </c>
      <c r="J39" s="26">
        <f>J38+J31</f>
        <v/>
      </c>
      <c r="K39" s="26">
        <f>K38+K31</f>
        <v/>
      </c>
      <c r="L39" s="26">
        <f>L38+L31</f>
        <v/>
      </c>
      <c r="M39" s="26">
        <f>M38+M31</f>
        <v/>
      </c>
      <c r="N39" s="26">
        <f>N38+N31</f>
        <v/>
      </c>
      <c r="O39" s="26">
        <f>O38+O31</f>
        <v/>
      </c>
      <c r="P39" s="26">
        <f>P38+P31</f>
        <v/>
      </c>
      <c r="Q39" s="26">
        <f>Q38+Q31</f>
        <v/>
      </c>
      <c r="R39" s="26">
        <f>R38+R31</f>
        <v/>
      </c>
      <c r="S39" s="26">
        <f>S38+S31</f>
        <v/>
      </c>
      <c r="T39" s="26">
        <f>T38+T31</f>
        <v/>
      </c>
      <c r="U39" s="26">
        <f>U38+U31</f>
        <v/>
      </c>
      <c r="V39" s="26">
        <f>V38+V31</f>
        <v/>
      </c>
      <c r="W39" s="26">
        <f>W38+W31</f>
        <v/>
      </c>
      <c r="X39" s="26">
        <f>X38+X31</f>
        <v/>
      </c>
      <c r="Y39" s="26">
        <f>Y38+Y31</f>
        <v/>
      </c>
      <c r="Z39" s="26">
        <f>Z38+Z31</f>
        <v/>
      </c>
    </row>
    <row r="40">
      <c r="B40" s="6" t="inlineStr">
        <is>
          <t>תזרים מהוון — ללא תמריץ</t>
        </is>
      </c>
      <c r="C40" s="9" t="inlineStr">
        <is>
          <t>₪</t>
        </is>
      </c>
      <c r="D40" s="9" t="inlineStr">
        <is>
          <t>חישוב</t>
        </is>
      </c>
      <c r="F40" s="31">
        <f>F39</f>
        <v/>
      </c>
      <c r="G40" s="31">
        <f>G39/(1+$F$22)^1</f>
        <v/>
      </c>
      <c r="H40" s="31">
        <f>H39/(1+$F$22)^2</f>
        <v/>
      </c>
      <c r="I40" s="31">
        <f>I39/(1+$F$22)^3</f>
        <v/>
      </c>
      <c r="J40" s="31">
        <f>J39/(1+$F$22)^4</f>
        <v/>
      </c>
      <c r="K40" s="31">
        <f>K39/(1+$F$22)^5</f>
        <v/>
      </c>
      <c r="L40" s="31">
        <f>L39/(1+$F$22)^6</f>
        <v/>
      </c>
      <c r="M40" s="31">
        <f>M39/(1+$F$22)^7</f>
        <v/>
      </c>
      <c r="N40" s="31">
        <f>N39/(1+$F$22)^8</f>
        <v/>
      </c>
      <c r="O40" s="31">
        <f>O39/(1+$F$22)^9</f>
        <v/>
      </c>
      <c r="P40" s="31">
        <f>P39/(1+$F$22)^10</f>
        <v/>
      </c>
      <c r="Q40" s="31">
        <f>Q39/(1+$F$22)^11</f>
        <v/>
      </c>
      <c r="R40" s="31">
        <f>R39/(1+$F$22)^12</f>
        <v/>
      </c>
      <c r="S40" s="31">
        <f>S39/(1+$F$22)^13</f>
        <v/>
      </c>
      <c r="T40" s="31">
        <f>T39/(1+$F$22)^14</f>
        <v/>
      </c>
      <c r="U40" s="31">
        <f>U39/(1+$F$22)^15</f>
        <v/>
      </c>
      <c r="V40" s="31">
        <f>V39/(1+$F$22)^16</f>
        <v/>
      </c>
      <c r="W40" s="31">
        <f>W39/(1+$F$22)^17</f>
        <v/>
      </c>
      <c r="X40" s="31">
        <f>X39/(1+$F$22)^18</f>
        <v/>
      </c>
      <c r="Y40" s="31">
        <f>Y39/(1+$F$22)^19</f>
        <v/>
      </c>
      <c r="Z40" s="31">
        <f>Z39/(1+$F$22)^20</f>
        <v/>
      </c>
    </row>
    <row r="41">
      <c r="B41" s="6" t="inlineStr">
        <is>
          <t>NPV מצטבר — ללא תמריץ</t>
        </is>
      </c>
      <c r="C41" s="9" t="inlineStr">
        <is>
          <t>₪</t>
        </is>
      </c>
      <c r="D41" s="9" t="inlineStr">
        <is>
          <t>חישוב</t>
        </is>
      </c>
      <c r="F41" s="31">
        <f>F40</f>
        <v/>
      </c>
      <c r="G41" s="31">
        <f>F41+G40</f>
        <v/>
      </c>
      <c r="H41" s="31">
        <f>G41+H40</f>
        <v/>
      </c>
      <c r="I41" s="31">
        <f>H41+I40</f>
        <v/>
      </c>
      <c r="J41" s="31">
        <f>I41+J40</f>
        <v/>
      </c>
      <c r="K41" s="31">
        <f>J41+K40</f>
        <v/>
      </c>
      <c r="L41" s="31">
        <f>K41+L40</f>
        <v/>
      </c>
      <c r="M41" s="31">
        <f>L41+M40</f>
        <v/>
      </c>
      <c r="N41" s="31">
        <f>M41+N40</f>
        <v/>
      </c>
      <c r="O41" s="31">
        <f>N41+O40</f>
        <v/>
      </c>
      <c r="P41" s="31">
        <f>O41+P40</f>
        <v/>
      </c>
      <c r="Q41" s="31">
        <f>P41+Q40</f>
        <v/>
      </c>
      <c r="R41" s="31">
        <f>Q41+R40</f>
        <v/>
      </c>
      <c r="S41" s="31">
        <f>R41+S40</f>
        <v/>
      </c>
      <c r="T41" s="31">
        <f>S41+T40</f>
        <v/>
      </c>
      <c r="U41" s="31">
        <f>T41+U40</f>
        <v/>
      </c>
      <c r="V41" s="31">
        <f>U41+V40</f>
        <v/>
      </c>
      <c r="W41" s="31">
        <f>V41+W40</f>
        <v/>
      </c>
      <c r="X41" s="31">
        <f>W41+X40</f>
        <v/>
      </c>
      <c r="Y41" s="31">
        <f>X41+Y40</f>
        <v/>
      </c>
      <c r="Z41" s="31">
        <f>Y41+Z40</f>
        <v/>
      </c>
    </row>
    <row r="42">
      <c r="B42" s="7" t="inlineStr">
        <is>
          <t>תזרים נקי — עם תמריץ</t>
        </is>
      </c>
      <c r="C42" s="9" t="inlineStr">
        <is>
          <t>₪</t>
        </is>
      </c>
      <c r="D42" s="9" t="inlineStr">
        <is>
          <t>חישוב</t>
        </is>
      </c>
      <c r="F42" s="26" t="n">
        <v>0</v>
      </c>
      <c r="G42" s="32">
        <f>G38+G33</f>
        <v/>
      </c>
      <c r="H42" s="32">
        <f>H38+H33</f>
        <v/>
      </c>
      <c r="I42" s="32">
        <f>I38+I33</f>
        <v/>
      </c>
      <c r="J42" s="32">
        <f>J38+J33</f>
        <v/>
      </c>
      <c r="K42" s="32">
        <f>K38+K33</f>
        <v/>
      </c>
      <c r="L42" s="32">
        <f>L38+L33</f>
        <v/>
      </c>
      <c r="M42" s="32">
        <f>M38+M33</f>
        <v/>
      </c>
      <c r="N42" s="32">
        <f>N38+N33</f>
        <v/>
      </c>
      <c r="O42" s="32">
        <f>O38+O33</f>
        <v/>
      </c>
      <c r="P42" s="32">
        <f>P38+P33</f>
        <v/>
      </c>
      <c r="Q42" s="32">
        <f>Q38+Q33</f>
        <v/>
      </c>
      <c r="R42" s="32">
        <f>R38+R33</f>
        <v/>
      </c>
      <c r="S42" s="32">
        <f>S38+S33</f>
        <v/>
      </c>
      <c r="T42" s="32">
        <f>T38+T33</f>
        <v/>
      </c>
      <c r="U42" s="32">
        <f>U38+U33</f>
        <v/>
      </c>
      <c r="V42" s="32">
        <f>V38+V33</f>
        <v/>
      </c>
      <c r="W42" s="32">
        <f>W38+W33</f>
        <v/>
      </c>
      <c r="X42" s="32">
        <f>X38+X33</f>
        <v/>
      </c>
      <c r="Y42" s="32">
        <f>Y38+Y33</f>
        <v/>
      </c>
      <c r="Z42" s="32">
        <f>Z38+Z33</f>
        <v/>
      </c>
    </row>
    <row r="43">
      <c r="B43" s="7" t="inlineStr">
        <is>
          <t>תזרים מהוון — עם תמריץ</t>
        </is>
      </c>
      <c r="C43" s="9" t="inlineStr">
        <is>
          <t>₪</t>
        </is>
      </c>
      <c r="D43" s="9" t="inlineStr">
        <is>
          <t>חישוב</t>
        </is>
      </c>
      <c r="F43" s="32">
        <f>F42</f>
        <v/>
      </c>
      <c r="G43" s="32">
        <f>G42/(1+$F$22)^1</f>
        <v/>
      </c>
      <c r="H43" s="32">
        <f>H42/(1+$F$22)^2</f>
        <v/>
      </c>
      <c r="I43" s="32">
        <f>I42/(1+$F$22)^3</f>
        <v/>
      </c>
      <c r="J43" s="32">
        <f>J42/(1+$F$22)^4</f>
        <v/>
      </c>
      <c r="K43" s="32">
        <f>K42/(1+$F$22)^5</f>
        <v/>
      </c>
      <c r="L43" s="32">
        <f>L42/(1+$F$22)^6</f>
        <v/>
      </c>
      <c r="M43" s="32">
        <f>M42/(1+$F$22)^7</f>
        <v/>
      </c>
      <c r="N43" s="32">
        <f>N42/(1+$F$22)^8</f>
        <v/>
      </c>
      <c r="O43" s="32">
        <f>O42/(1+$F$22)^9</f>
        <v/>
      </c>
      <c r="P43" s="32">
        <f>P42/(1+$F$22)^10</f>
        <v/>
      </c>
      <c r="Q43" s="32">
        <f>Q42/(1+$F$22)^11</f>
        <v/>
      </c>
      <c r="R43" s="32">
        <f>R42/(1+$F$22)^12</f>
        <v/>
      </c>
      <c r="S43" s="32">
        <f>S42/(1+$F$22)^13</f>
        <v/>
      </c>
      <c r="T43" s="32">
        <f>T42/(1+$F$22)^14</f>
        <v/>
      </c>
      <c r="U43" s="32">
        <f>U42/(1+$F$22)^15</f>
        <v/>
      </c>
      <c r="V43" s="32">
        <f>V42/(1+$F$22)^16</f>
        <v/>
      </c>
      <c r="W43" s="32">
        <f>W42/(1+$F$22)^17</f>
        <v/>
      </c>
      <c r="X43" s="32">
        <f>X42/(1+$F$22)^18</f>
        <v/>
      </c>
      <c r="Y43" s="32">
        <f>Y42/(1+$F$22)^19</f>
        <v/>
      </c>
      <c r="Z43" s="32">
        <f>Z42/(1+$F$22)^20</f>
        <v/>
      </c>
    </row>
    <row r="44">
      <c r="B44" s="7" t="inlineStr">
        <is>
          <t>NPV מצטבר — עם תמריץ</t>
        </is>
      </c>
      <c r="C44" s="9" t="inlineStr">
        <is>
          <t>₪</t>
        </is>
      </c>
      <c r="D44" s="9" t="inlineStr">
        <is>
          <t>חישוב</t>
        </is>
      </c>
      <c r="F44" s="32">
        <f>F43</f>
        <v/>
      </c>
      <c r="G44" s="32">
        <f>F44+G43</f>
        <v/>
      </c>
      <c r="H44" s="32">
        <f>G44+H43</f>
        <v/>
      </c>
      <c r="I44" s="32">
        <f>H44+I43</f>
        <v/>
      </c>
      <c r="J44" s="32">
        <f>I44+J43</f>
        <v/>
      </c>
      <c r="K44" s="32">
        <f>J44+K43</f>
        <v/>
      </c>
      <c r="L44" s="32">
        <f>K44+L43</f>
        <v/>
      </c>
      <c r="M44" s="32">
        <f>L44+M43</f>
        <v/>
      </c>
      <c r="N44" s="32">
        <f>M44+N43</f>
        <v/>
      </c>
      <c r="O44" s="32">
        <f>N44+O43</f>
        <v/>
      </c>
      <c r="P44" s="32">
        <f>O44+P43</f>
        <v/>
      </c>
      <c r="Q44" s="32">
        <f>P44+Q43</f>
        <v/>
      </c>
      <c r="R44" s="32">
        <f>Q44+R43</f>
        <v/>
      </c>
      <c r="S44" s="32">
        <f>R44+S43</f>
        <v/>
      </c>
      <c r="T44" s="32">
        <f>S44+T43</f>
        <v/>
      </c>
      <c r="U44" s="32">
        <f>T44+U43</f>
        <v/>
      </c>
      <c r="V44" s="32">
        <f>U44+V43</f>
        <v/>
      </c>
      <c r="W44" s="32">
        <f>V44+W43</f>
        <v/>
      </c>
      <c r="X44" s="32">
        <f>W44+X43</f>
        <v/>
      </c>
      <c r="Y44" s="32">
        <f>X44+Y43</f>
        <v/>
      </c>
      <c r="Z44" s="32">
        <f>Y44+Z43</f>
        <v/>
      </c>
    </row>
    <row r="46">
      <c r="B46" s="8" t="inlineStr">
        <is>
          <t>6. תוצאות</t>
        </is>
      </c>
    </row>
    <row r="47">
      <c r="B47" s="33" t="inlineStr">
        <is>
          <t>NPV ללא תמריץ</t>
        </is>
      </c>
      <c r="C47" s="9" t="inlineStr">
        <is>
          <t>ש"ח</t>
        </is>
      </c>
      <c r="F47" s="31">
        <f>SUM(F40:Z40)</f>
        <v/>
      </c>
    </row>
    <row r="48">
      <c r="B48" s="34" t="inlineStr">
        <is>
          <t>NPV עם תמריץ</t>
        </is>
      </c>
      <c r="C48" s="9" t="inlineStr">
        <is>
          <t>ש"ח</t>
        </is>
      </c>
      <c r="F48" s="32">
        <f>SUM(F43:Z43)</f>
        <v/>
      </c>
    </row>
    <row r="49">
      <c r="B49" s="35" t="inlineStr">
        <is>
          <t>דלתא NPV — ערך התמריץ</t>
        </is>
      </c>
      <c r="C49" s="9" t="inlineStr">
        <is>
          <t>ש"ח</t>
        </is>
      </c>
      <c r="F49" s="36">
        <f>F48-F47</f>
        <v/>
      </c>
    </row>
    <row r="51">
      <c r="B51" s="33" t="inlineStr">
        <is>
          <t>ROI ללא תמריץ</t>
        </is>
      </c>
      <c r="C51" s="9" t="inlineStr">
        <is>
          <t>%</t>
        </is>
      </c>
      <c r="F51" s="37">
        <f>IF(ISNUMBER($F$12),(SUM(F40:Z40)+$F$12)/$F$12,"PENDING")</f>
        <v/>
      </c>
    </row>
    <row r="52">
      <c r="B52" s="34" t="inlineStr">
        <is>
          <t>ROI עם תמריץ</t>
        </is>
      </c>
      <c r="C52" s="9" t="inlineStr">
        <is>
          <t>%</t>
        </is>
      </c>
      <c r="F52" s="38">
        <f>IF(ISNUMBER($F$12),(SUM(F43:Z43)+$F$12)/$F$12,"PENDING")</f>
        <v/>
      </c>
    </row>
    <row r="53">
      <c r="B53" s="35" t="inlineStr">
        <is>
          <t>שיפור ROI בזכות התמריץ</t>
        </is>
      </c>
      <c r="C53" s="9" t="inlineStr">
        <is>
          <t>%</t>
        </is>
      </c>
      <c r="F53" s="11">
        <f>IF(ISNUMBER(F52),F52-F51,"PENDING")</f>
        <v/>
      </c>
    </row>
    <row r="55">
      <c r="B55" s="33" t="inlineStr">
        <is>
          <t>תקופת החזר — ללא תמריץ</t>
        </is>
      </c>
      <c r="C55" s="9" t="inlineStr">
        <is>
          <t>שנים</t>
        </is>
      </c>
      <c r="F55" s="39">
        <f>IF(ISNUMBER($F$18),$F$12/$F$18,"PENDING")</f>
        <v/>
      </c>
    </row>
    <row r="56">
      <c r="B56" s="34" t="inlineStr">
        <is>
          <t>תקופת החזר — עם תמריץ</t>
        </is>
      </c>
      <c r="C56" s="9" t="inlineStr">
        <is>
          <t>שנים</t>
        </is>
      </c>
      <c r="F56" s="40">
        <f>IF(ISNUMBER($F$18),$F$12/($F$18+G33),"PENDING")</f>
        <v/>
      </c>
    </row>
    <row r="58">
      <c r="B58" s="16" t="inlineStr">
        <is>
          <t>* תקופת ההחזר עם תמריץ משקפת את יתרון מגן המס בשנה הראשונה בלבד — לחישוב מדויק ראו NPV מצטבר</t>
        </is>
      </c>
    </row>
  </sheetData>
  <mergeCells count="7">
    <mergeCell ref="B25:Z25"/>
    <mergeCell ref="B11:Z11"/>
    <mergeCell ref="B20:Z20"/>
    <mergeCell ref="B28:Z28"/>
    <mergeCell ref="B8:Z8"/>
    <mergeCell ref="B35:Z35"/>
    <mergeCell ref="B46:H4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Z58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5" customWidth="1" min="3" max="3"/>
    <col width="18" customWidth="1" min="4" max="4"/>
    <col width="2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B1" s="1" t="inlineStr">
        <is>
          <t>מקרא צבעים</t>
        </is>
      </c>
    </row>
    <row r="2">
      <c r="B2" s="2" t="inlineStr">
        <is>
          <t>ערך להזנה</t>
        </is>
      </c>
    </row>
    <row r="3">
      <c r="B3" s="3" t="inlineStr">
        <is>
          <t>נתונים לעדכון / בקרה</t>
        </is>
      </c>
    </row>
    <row r="4">
      <c r="B4" s="4" t="inlineStr">
        <is>
          <t>כותרות משנה</t>
        </is>
      </c>
    </row>
    <row r="5">
      <c r="B5" s="5" t="inlineStr">
        <is>
          <t>תוצאת חישוב / טקסט</t>
        </is>
      </c>
    </row>
    <row r="6">
      <c r="B6" s="6" t="inlineStr">
        <is>
          <t>תוצאות</t>
        </is>
      </c>
    </row>
    <row r="7">
      <c r="B7" s="7" t="inlineStr">
        <is>
          <t>שורת תמריץ</t>
        </is>
      </c>
    </row>
    <row r="8">
      <c r="B8" s="20" t="inlineStr">
        <is>
          <t>ניתוח כלכלי — מדחסי VSD</t>
        </is>
      </c>
    </row>
    <row r="9">
      <c r="B9" s="16" t="inlineStr">
        <is>
          <t>* מדחסי אוויר עם בקרת מהירות משתנה | חיסכון ~20% | טווח: 10–15 שנה</t>
        </is>
      </c>
    </row>
    <row r="11">
      <c r="B11" s="8" t="inlineStr">
        <is>
          <t>1. הנחות בסיסיות להשקעה</t>
        </is>
      </c>
    </row>
    <row r="12">
      <c r="B12" s="13" t="inlineStr">
        <is>
          <t>עלות השקעה (CapEx)</t>
        </is>
      </c>
      <c r="C12" s="9" t="inlineStr">
        <is>
          <t>₪</t>
        </is>
      </c>
      <c r="D12" s="9" t="inlineStr">
        <is>
          <t>נתוני רפי</t>
        </is>
      </c>
      <c r="E12" s="21" t="inlineStr">
        <is>
          <t>⚠ ממתין לנתוני ראש המהנדסים</t>
        </is>
      </c>
      <c r="F12" s="22" t="inlineStr">
        <is>
          <t>PENDING</t>
        </is>
      </c>
    </row>
    <row r="13">
      <c r="B13" s="13" t="inlineStr">
        <is>
          <t>צריכת אנרגיה שנתית (לפני החלפה)</t>
        </is>
      </c>
      <c r="C13" s="9" t="inlineStr">
        <is>
          <t>קוט"ש/שנה</t>
        </is>
      </c>
      <c r="D13" s="9" t="inlineStr">
        <is>
          <t>נתוני רפי</t>
        </is>
      </c>
      <c r="E13" s="21" t="inlineStr">
        <is>
          <t>⚠ ממתין לנתוני ראש המהנדסים</t>
        </is>
      </c>
      <c r="F13" s="22" t="inlineStr">
        <is>
          <t>PENDING</t>
        </is>
      </c>
    </row>
    <row r="14">
      <c r="B14" s="13" t="inlineStr">
        <is>
          <t>חיסכון אנרגטי</t>
        </is>
      </c>
      <c r="C14" s="9" t="inlineStr">
        <is>
          <t>% מצריכה</t>
        </is>
      </c>
      <c r="D14" s="9" t="inlineStr">
        <is>
          <t>ממצאי הנדסה</t>
        </is>
      </c>
      <c r="F14" s="10" t="n">
        <v>0.2</v>
      </c>
    </row>
    <row r="15">
      <c r="B15" s="13" t="inlineStr">
        <is>
          <t>חיסכון שנתי בצריכת חשמל</t>
        </is>
      </c>
      <c r="C15" s="9" t="inlineStr">
        <is>
          <t>קוט"ש/שנה</t>
        </is>
      </c>
      <c r="D15" s="9" t="inlineStr">
        <is>
          <t>חישוב</t>
        </is>
      </c>
      <c r="E15" s="9">
        <f> צריכה × שיעור חיסכון</f>
        <v/>
      </c>
      <c r="F15" s="23">
        <f>IF(ISNUMBER($F$13),$F$13*$F$14,"PENDING")</f>
        <v/>
      </c>
    </row>
    <row r="16">
      <c r="B16" s="13" t="inlineStr">
        <is>
          <t>אורך חיי הציוד (כלכלי)</t>
        </is>
      </c>
      <c r="C16" s="9" t="inlineStr">
        <is>
          <t>שנים</t>
        </is>
      </c>
      <c r="D16" s="9" t="inlineStr">
        <is>
          <t>ממצאי הנדסה</t>
        </is>
      </c>
      <c r="F16" s="24" t="n">
        <v>12</v>
      </c>
    </row>
    <row r="17">
      <c r="B17" s="13" t="inlineStr">
        <is>
          <t>מחיר חשמל</t>
        </is>
      </c>
      <c r="C17" s="9" t="inlineStr">
        <is>
          <t>₪/קוט"ש</t>
        </is>
      </c>
      <c r="D17" s="9" t="inlineStr">
        <is>
          <t>גיליון הנחות</t>
        </is>
      </c>
      <c r="F17" s="25">
        <f>'נתונים והנחות - כללי'!$F$12/100</f>
        <v/>
      </c>
    </row>
    <row r="18">
      <c r="B18" s="13" t="inlineStr">
        <is>
          <t>חיסכון שנתי (₪)</t>
        </is>
      </c>
      <c r="C18" s="9" t="inlineStr">
        <is>
          <t>₪/שנה</t>
        </is>
      </c>
      <c r="D18" s="9" t="inlineStr">
        <is>
          <t>חישוב</t>
        </is>
      </c>
      <c r="E18" s="9">
        <f> חיסכון קוט"ש × מחיר חשמל</f>
        <v/>
      </c>
      <c r="F18" s="26">
        <f>IF(ISNUMBER($F$15),$F$15*$F$17,"PENDING")</f>
        <v/>
      </c>
    </row>
    <row r="20">
      <c r="B20" s="8" t="inlineStr">
        <is>
          <t>2. הנחות פיננסיות</t>
        </is>
      </c>
    </row>
    <row r="21">
      <c r="B21" s="13" t="inlineStr">
        <is>
          <t>שיעור מס חברות</t>
        </is>
      </c>
      <c r="C21" s="9" t="inlineStr">
        <is>
          <t>%</t>
        </is>
      </c>
      <c r="D21" s="9" t="inlineStr">
        <is>
          <t>גיליון הנחות</t>
        </is>
      </c>
      <c r="F21" s="14">
        <f>'נתונים והנחות - כללי'!$F$10</f>
        <v/>
      </c>
    </row>
    <row r="22">
      <c r="B22" s="13" t="inlineStr">
        <is>
          <t>שיעור היוון</t>
        </is>
      </c>
      <c r="C22" s="9" t="inlineStr">
        <is>
          <t>%</t>
        </is>
      </c>
      <c r="D22" s="9" t="inlineStr">
        <is>
          <t>גיליון הנחות</t>
        </is>
      </c>
      <c r="F22" s="14">
        <f>'נתונים והנחות - כללי'!$F$11</f>
        <v/>
      </c>
    </row>
    <row r="23">
      <c r="B23" s="13" t="inlineStr">
        <is>
          <t>שיעור פחת סטנדרטי</t>
        </is>
      </c>
      <c r="C23" s="9" t="inlineStr">
        <is>
          <t>%/שנה</t>
        </is>
      </c>
      <c r="D23" s="9" t="inlineStr">
        <is>
          <t>תקנות מס הכנסה</t>
        </is>
      </c>
      <c r="E23" s="9" t="inlineStr">
        <is>
          <t>קו ישר — 10 שנים</t>
        </is>
      </c>
      <c r="F23" s="10" t="n">
        <v>0.1</v>
      </c>
    </row>
    <row r="25">
      <c r="B25" s="8" t="inlineStr">
        <is>
          <t>3. פרמטר המדיניות — פחת מואץ</t>
        </is>
      </c>
    </row>
    <row r="26">
      <c r="B26" s="27" t="inlineStr">
        <is>
          <t>שיעור פחת מואץ בשנה 1  ←  שנה ב'פרמטרי תמריץ'!F10</t>
        </is>
      </c>
      <c r="C26" s="9" t="inlineStr">
        <is>
          <t>% מה-CapEx</t>
        </is>
      </c>
      <c r="D26" s="9" t="inlineStr">
        <is>
          <t>פרמטרי תמריץ</t>
        </is>
      </c>
      <c r="E26" s="16" t="inlineStr">
        <is>
          <t>0% = ללא תמריץ (פחת סטנדרטי) | 100% = מחיקה מלאה בשנה 1</t>
        </is>
      </c>
      <c r="F26" s="28">
        <f>'פרמטרי תמריץ'!$F$10</f>
        <v/>
      </c>
    </row>
    <row r="28">
      <c r="B28" s="8" t="inlineStr">
        <is>
          <t>4. לוחות פחת — השוואה</t>
        </is>
      </c>
    </row>
    <row r="29">
      <c r="B29" s="29" t="inlineStr">
        <is>
          <t>פרמטר</t>
        </is>
      </c>
      <c r="C29" s="29" t="inlineStr">
        <is>
          <t>יחידות</t>
        </is>
      </c>
      <c r="D29" s="29" t="inlineStr">
        <is>
          <t>מקור</t>
        </is>
      </c>
      <c r="E29" s="29" t="inlineStr">
        <is>
          <t>הערות</t>
        </is>
      </c>
      <c r="F29" s="29" t="inlineStr">
        <is>
          <t>שנה 0 (השקעה)</t>
        </is>
      </c>
      <c r="G29" s="29" t="inlineStr">
        <is>
          <t>שנה 1</t>
        </is>
      </c>
      <c r="H29" s="29" t="inlineStr">
        <is>
          <t>שנה 2</t>
        </is>
      </c>
      <c r="I29" s="29" t="inlineStr">
        <is>
          <t>שנה 3</t>
        </is>
      </c>
      <c r="J29" s="29" t="inlineStr">
        <is>
          <t>שנה 4</t>
        </is>
      </c>
      <c r="K29" s="29" t="inlineStr">
        <is>
          <t>שנה 5</t>
        </is>
      </c>
      <c r="L29" s="29" t="inlineStr">
        <is>
          <t>שנה 6</t>
        </is>
      </c>
      <c r="M29" s="29" t="inlineStr">
        <is>
          <t>שנה 7</t>
        </is>
      </c>
      <c r="N29" s="29" t="inlineStr">
        <is>
          <t>שנה 8</t>
        </is>
      </c>
      <c r="O29" s="29" t="inlineStr">
        <is>
          <t>שנה 9</t>
        </is>
      </c>
      <c r="P29" s="29" t="inlineStr">
        <is>
          <t>שנה 10</t>
        </is>
      </c>
      <c r="Q29" s="29" t="inlineStr">
        <is>
          <t>שנה 11</t>
        </is>
      </c>
      <c r="R29" s="29" t="inlineStr">
        <is>
          <t>שנה 12</t>
        </is>
      </c>
      <c r="S29" s="29" t="inlineStr">
        <is>
          <t>שנה 13</t>
        </is>
      </c>
      <c r="T29" s="29" t="inlineStr">
        <is>
          <t>שנה 14</t>
        </is>
      </c>
      <c r="U29" s="29" t="inlineStr">
        <is>
          <t>שנה 15</t>
        </is>
      </c>
      <c r="V29" s="29" t="inlineStr">
        <is>
          <t>שנה 16</t>
        </is>
      </c>
      <c r="W29" s="29" t="inlineStr">
        <is>
          <t>שנה 17</t>
        </is>
      </c>
      <c r="X29" s="29" t="inlineStr">
        <is>
          <t>שנה 18</t>
        </is>
      </c>
      <c r="Y29" s="29" t="inlineStr">
        <is>
          <t>שנה 19</t>
        </is>
      </c>
      <c r="Z29" s="29" t="inlineStr">
        <is>
          <t>שנה 20</t>
        </is>
      </c>
    </row>
    <row r="30">
      <c r="B30" s="5" t="inlineStr">
        <is>
          <t>פחת שנתי — סטנדרטי</t>
        </is>
      </c>
      <c r="C30" s="9" t="inlineStr">
        <is>
          <t>₪</t>
        </is>
      </c>
      <c r="D30" s="9" t="inlineStr">
        <is>
          <t>חישוב</t>
        </is>
      </c>
      <c r="E30" s="9">
        <f> CapEx × 10% | קו ישר | עד שנה 10</f>
        <v/>
      </c>
      <c r="F30" s="30" t="n">
        <v>0</v>
      </c>
      <c r="G30" s="30">
        <f>IF(ISNUMBER($F$12),$F$12*$F$23,0)</f>
        <v/>
      </c>
      <c r="H30" s="30">
        <f>IF(ISNUMBER($F$12),$F$12*$F$23,0)</f>
        <v/>
      </c>
      <c r="I30" s="30">
        <f>IF(ISNUMBER($F$12),$F$12*$F$23,0)</f>
        <v/>
      </c>
      <c r="J30" s="30">
        <f>IF(ISNUMBER($F$12),$F$12*$F$23,0)</f>
        <v/>
      </c>
      <c r="K30" s="30">
        <f>IF(ISNUMBER($F$12),$F$12*$F$23,0)</f>
        <v/>
      </c>
      <c r="L30" s="30">
        <f>IF(ISNUMBER($F$12),$F$12*$F$23,0)</f>
        <v/>
      </c>
      <c r="M30" s="30">
        <f>IF(ISNUMBER($F$12),$F$12*$F$23,0)</f>
        <v/>
      </c>
      <c r="N30" s="30">
        <f>IF(ISNUMBER($F$12),$F$12*$F$23,0)</f>
        <v/>
      </c>
      <c r="O30" s="30">
        <f>IF(ISNUMBER($F$12),$F$12*$F$23,0)</f>
        <v/>
      </c>
      <c r="P30" s="30">
        <f>IF(ISNUMBER($F$12),$F$12*$F$23,0)</f>
        <v/>
      </c>
      <c r="Q30" s="30">
        <f>0</f>
        <v/>
      </c>
      <c r="R30" s="30">
        <f>0</f>
        <v/>
      </c>
      <c r="S30" s="30">
        <f>0</f>
        <v/>
      </c>
      <c r="T30" s="30">
        <f>0</f>
        <v/>
      </c>
      <c r="U30" s="30">
        <f>0</f>
        <v/>
      </c>
      <c r="V30" s="30">
        <f>0</f>
        <v/>
      </c>
      <c r="W30" s="30">
        <f>0</f>
        <v/>
      </c>
      <c r="X30" s="30">
        <f>0</f>
        <v/>
      </c>
      <c r="Y30" s="30">
        <f>0</f>
        <v/>
      </c>
      <c r="Z30" s="30">
        <f>0</f>
        <v/>
      </c>
    </row>
    <row r="31">
      <c r="B31" s="6" t="inlineStr">
        <is>
          <t>מגן מס — סטנדרטי</t>
        </is>
      </c>
      <c r="C31" s="9" t="inlineStr">
        <is>
          <t>₪</t>
        </is>
      </c>
      <c r="D31" s="9" t="inlineStr">
        <is>
          <t>חישוב</t>
        </is>
      </c>
      <c r="E31" s="9">
        <f> פחת × שיעור מס</f>
        <v/>
      </c>
      <c r="F31" s="31" t="n">
        <v>0</v>
      </c>
      <c r="G31" s="31">
        <f>G30*$F$21</f>
        <v/>
      </c>
      <c r="H31" s="31">
        <f>H30*$F$21</f>
        <v/>
      </c>
      <c r="I31" s="31">
        <f>I30*$F$21</f>
        <v/>
      </c>
      <c r="J31" s="31">
        <f>J30*$F$21</f>
        <v/>
      </c>
      <c r="K31" s="31">
        <f>K30*$F$21</f>
        <v/>
      </c>
      <c r="L31" s="31">
        <f>L30*$F$21</f>
        <v/>
      </c>
      <c r="M31" s="31">
        <f>M30*$F$21</f>
        <v/>
      </c>
      <c r="N31" s="31">
        <f>N30*$F$21</f>
        <v/>
      </c>
      <c r="O31" s="31">
        <f>O30*$F$21</f>
        <v/>
      </c>
      <c r="P31" s="31">
        <f>P30*$F$21</f>
        <v/>
      </c>
      <c r="Q31" s="31">
        <f>Q30*$F$21</f>
        <v/>
      </c>
      <c r="R31" s="31">
        <f>R30*$F$21</f>
        <v/>
      </c>
      <c r="S31" s="31">
        <f>S30*$F$21</f>
        <v/>
      </c>
      <c r="T31" s="31">
        <f>T30*$F$21</f>
        <v/>
      </c>
      <c r="U31" s="31">
        <f>U30*$F$21</f>
        <v/>
      </c>
      <c r="V31" s="31">
        <f>V30*$F$21</f>
        <v/>
      </c>
      <c r="W31" s="31">
        <f>W30*$F$21</f>
        <v/>
      </c>
      <c r="X31" s="31">
        <f>X30*$F$21</f>
        <v/>
      </c>
      <c r="Y31" s="31">
        <f>Y30*$F$21</f>
        <v/>
      </c>
      <c r="Z31" s="31">
        <f>Z30*$F$21</f>
        <v/>
      </c>
    </row>
    <row r="32">
      <c r="B32" s="7" t="inlineStr">
        <is>
          <t>פחת שנתי — מואץ</t>
        </is>
      </c>
      <c r="C32" s="9" t="inlineStr">
        <is>
          <t>₪</t>
        </is>
      </c>
      <c r="D32" s="9" t="inlineStr">
        <is>
          <t>חישוב</t>
        </is>
      </c>
      <c r="E32" s="9" t="inlineStr">
        <is>
          <t>שנה 1 = CapEx × שיעור מואץ | יתרה מפוחתת בקו ישר</t>
        </is>
      </c>
      <c r="F32" s="32" t="n">
        <v>0</v>
      </c>
      <c r="G32" s="32">
        <f>IF(ISNUMBER($F$12),$F$12*$F$26,0)</f>
        <v/>
      </c>
      <c r="H32" s="32">
        <f>IF(ISNUMBER($F$12),$F$12*(1-$F$26)/9,0)</f>
        <v/>
      </c>
      <c r="I32" s="32">
        <f>IF(ISNUMBER($F$12),$F$12*(1-$F$26)/9,0)</f>
        <v/>
      </c>
      <c r="J32" s="32">
        <f>IF(ISNUMBER($F$12),$F$12*(1-$F$26)/9,0)</f>
        <v/>
      </c>
      <c r="K32" s="32">
        <f>IF(ISNUMBER($F$12),$F$12*(1-$F$26)/9,0)</f>
        <v/>
      </c>
      <c r="L32" s="32">
        <f>IF(ISNUMBER($F$12),$F$12*(1-$F$26)/9,0)</f>
        <v/>
      </c>
      <c r="M32" s="32">
        <f>IF(ISNUMBER($F$12),$F$12*(1-$F$26)/9,0)</f>
        <v/>
      </c>
      <c r="N32" s="32">
        <f>IF(ISNUMBER($F$12),$F$12*(1-$F$26)/9,0)</f>
        <v/>
      </c>
      <c r="O32" s="32">
        <f>IF(ISNUMBER($F$12),$F$12*(1-$F$26)/9,0)</f>
        <v/>
      </c>
      <c r="P32" s="32">
        <f>IF(ISNUMBER($F$12),$F$12*(1-$F$26)/9,0)</f>
        <v/>
      </c>
      <c r="Q32" s="32">
        <f>0</f>
        <v/>
      </c>
      <c r="R32" s="32">
        <f>0</f>
        <v/>
      </c>
      <c r="S32" s="32">
        <f>0</f>
        <v/>
      </c>
      <c r="T32" s="32">
        <f>0</f>
        <v/>
      </c>
      <c r="U32" s="32">
        <f>0</f>
        <v/>
      </c>
      <c r="V32" s="32">
        <f>0</f>
        <v/>
      </c>
      <c r="W32" s="32">
        <f>0</f>
        <v/>
      </c>
      <c r="X32" s="32">
        <f>0</f>
        <v/>
      </c>
      <c r="Y32" s="32">
        <f>0</f>
        <v/>
      </c>
      <c r="Z32" s="32">
        <f>0</f>
        <v/>
      </c>
    </row>
    <row r="33">
      <c r="B33" s="7" t="inlineStr">
        <is>
          <t>מגן מס — מואץ</t>
        </is>
      </c>
      <c r="C33" s="9" t="inlineStr">
        <is>
          <t>₪</t>
        </is>
      </c>
      <c r="D33" s="9" t="inlineStr">
        <is>
          <t>חישוב</t>
        </is>
      </c>
      <c r="E33" s="9">
        <f> פחת מואץ × שיעור מס</f>
        <v/>
      </c>
      <c r="F33" s="32" t="n">
        <v>0</v>
      </c>
      <c r="G33" s="32">
        <f>G32*$F$21</f>
        <v/>
      </c>
      <c r="H33" s="32">
        <f>H32*$F$21</f>
        <v/>
      </c>
      <c r="I33" s="32">
        <f>I32*$F$21</f>
        <v/>
      </c>
      <c r="J33" s="32">
        <f>J32*$F$21</f>
        <v/>
      </c>
      <c r="K33" s="32">
        <f>K32*$F$21</f>
        <v/>
      </c>
      <c r="L33" s="32">
        <f>L32*$F$21</f>
        <v/>
      </c>
      <c r="M33" s="32">
        <f>M32*$F$21</f>
        <v/>
      </c>
      <c r="N33" s="32">
        <f>N32*$F$21</f>
        <v/>
      </c>
      <c r="O33" s="32">
        <f>O32*$F$21</f>
        <v/>
      </c>
      <c r="P33" s="32">
        <f>P32*$F$21</f>
        <v/>
      </c>
      <c r="Q33" s="32">
        <f>Q32*$F$21</f>
        <v/>
      </c>
      <c r="R33" s="32">
        <f>R32*$F$21</f>
        <v/>
      </c>
      <c r="S33" s="32">
        <f>S32*$F$21</f>
        <v/>
      </c>
      <c r="T33" s="32">
        <f>T32*$F$21</f>
        <v/>
      </c>
      <c r="U33" s="32">
        <f>U32*$F$21</f>
        <v/>
      </c>
      <c r="V33" s="32">
        <f>V32*$F$21</f>
        <v/>
      </c>
      <c r="W33" s="32">
        <f>W32*$F$21</f>
        <v/>
      </c>
      <c r="X33" s="32">
        <f>X32*$F$21</f>
        <v/>
      </c>
      <c r="Y33" s="32">
        <f>Y32*$F$21</f>
        <v/>
      </c>
      <c r="Z33" s="32">
        <f>Z32*$F$21</f>
        <v/>
      </c>
    </row>
    <row r="35">
      <c r="B35" s="8" t="inlineStr">
        <is>
          <t>5. ניתוח תזרים מזומנים</t>
        </is>
      </c>
    </row>
    <row r="36">
      <c r="B36" s="29" t="inlineStr">
        <is>
          <t>פרמטר</t>
        </is>
      </c>
      <c r="C36" s="29" t="inlineStr">
        <is>
          <t>יחידות</t>
        </is>
      </c>
      <c r="D36" s="29" t="inlineStr">
        <is>
          <t>מקור</t>
        </is>
      </c>
      <c r="E36" s="29" t="inlineStr">
        <is>
          <t>הערות</t>
        </is>
      </c>
      <c r="F36" s="29" t="inlineStr">
        <is>
          <t>שנה 0 (השקעה)</t>
        </is>
      </c>
      <c r="G36" s="29" t="inlineStr">
        <is>
          <t>שנה 1</t>
        </is>
      </c>
      <c r="H36" s="29" t="inlineStr">
        <is>
          <t>שנה 2</t>
        </is>
      </c>
      <c r="I36" s="29" t="inlineStr">
        <is>
          <t>שנה 3</t>
        </is>
      </c>
      <c r="J36" s="29" t="inlineStr">
        <is>
          <t>שנה 4</t>
        </is>
      </c>
      <c r="K36" s="29" t="inlineStr">
        <is>
          <t>שנה 5</t>
        </is>
      </c>
      <c r="L36" s="29" t="inlineStr">
        <is>
          <t>שנה 6</t>
        </is>
      </c>
      <c r="M36" s="29" t="inlineStr">
        <is>
          <t>שנה 7</t>
        </is>
      </c>
      <c r="N36" s="29" t="inlineStr">
        <is>
          <t>שנה 8</t>
        </is>
      </c>
      <c r="O36" s="29" t="inlineStr">
        <is>
          <t>שנה 9</t>
        </is>
      </c>
      <c r="P36" s="29" t="inlineStr">
        <is>
          <t>שנה 10</t>
        </is>
      </c>
      <c r="Q36" s="29" t="inlineStr">
        <is>
          <t>שנה 11</t>
        </is>
      </c>
      <c r="R36" s="29" t="inlineStr">
        <is>
          <t>שנה 12</t>
        </is>
      </c>
      <c r="S36" s="29" t="inlineStr">
        <is>
          <t>שנה 13</t>
        </is>
      </c>
      <c r="T36" s="29" t="inlineStr">
        <is>
          <t>שנה 14</t>
        </is>
      </c>
      <c r="U36" s="29" t="inlineStr">
        <is>
          <t>שנה 15</t>
        </is>
      </c>
      <c r="V36" s="29" t="inlineStr">
        <is>
          <t>שנה 16</t>
        </is>
      </c>
      <c r="W36" s="29" t="inlineStr">
        <is>
          <t>שנה 17</t>
        </is>
      </c>
      <c r="X36" s="29" t="inlineStr">
        <is>
          <t>שנה 18</t>
        </is>
      </c>
      <c r="Y36" s="29" t="inlineStr">
        <is>
          <t>שנה 19</t>
        </is>
      </c>
      <c r="Z36" s="29" t="inlineStr">
        <is>
          <t>שנה 20</t>
        </is>
      </c>
    </row>
    <row r="37">
      <c r="B37" s="5" t="inlineStr">
        <is>
          <t>השקעה ראשונית (CapEx)</t>
        </is>
      </c>
      <c r="C37" s="9" t="inlineStr">
        <is>
          <t>₪</t>
        </is>
      </c>
      <c r="D37" s="9" t="inlineStr">
        <is>
          <t>חישוב</t>
        </is>
      </c>
      <c r="F37" s="26">
        <f>IF(ISNUMBER($F$12),-$F$12,"PENDING")</f>
        <v/>
      </c>
    </row>
    <row r="38">
      <c r="B38" s="5" t="inlineStr">
        <is>
          <t>חיסכון שנתי — אנרגיה</t>
        </is>
      </c>
      <c r="C38" s="9" t="inlineStr">
        <is>
          <t>₪</t>
        </is>
      </c>
      <c r="D38" s="9" t="inlineStr">
        <is>
          <t>חישוב</t>
        </is>
      </c>
      <c r="F38" s="26" t="n">
        <v>0</v>
      </c>
      <c r="G38" s="26">
        <f>IF(ISNUMBER($F$18),$F$18,0)</f>
        <v/>
      </c>
      <c r="H38" s="26">
        <f>IF(ISNUMBER($F$18),$F$18,0)</f>
        <v/>
      </c>
      <c r="I38" s="26">
        <f>IF(ISNUMBER($F$18),$F$18,0)</f>
        <v/>
      </c>
      <c r="J38" s="26">
        <f>IF(ISNUMBER($F$18),$F$18,0)</f>
        <v/>
      </c>
      <c r="K38" s="26">
        <f>IF(ISNUMBER($F$18),$F$18,0)</f>
        <v/>
      </c>
      <c r="L38" s="26">
        <f>IF(ISNUMBER($F$18),$F$18,0)</f>
        <v/>
      </c>
      <c r="M38" s="26">
        <f>IF(ISNUMBER($F$18),$F$18,0)</f>
        <v/>
      </c>
      <c r="N38" s="26">
        <f>IF(ISNUMBER($F$18),$F$18,0)</f>
        <v/>
      </c>
      <c r="O38" s="26">
        <f>IF(ISNUMBER($F$18),$F$18,0)</f>
        <v/>
      </c>
      <c r="P38" s="26">
        <f>IF(ISNUMBER($F$18),$F$18,0)</f>
        <v/>
      </c>
      <c r="Q38" s="26">
        <f>IF(ISNUMBER($F$18),$F$18,0)</f>
        <v/>
      </c>
      <c r="R38" s="26">
        <f>IF(ISNUMBER($F$18),$F$18,0)</f>
        <v/>
      </c>
      <c r="S38" s="26">
        <f>0</f>
        <v/>
      </c>
      <c r="T38" s="26">
        <f>0</f>
        <v/>
      </c>
      <c r="U38" s="26">
        <f>0</f>
        <v/>
      </c>
      <c r="V38" s="26">
        <f>0</f>
        <v/>
      </c>
      <c r="W38" s="26">
        <f>0</f>
        <v/>
      </c>
      <c r="X38" s="26">
        <f>0</f>
        <v/>
      </c>
      <c r="Y38" s="26">
        <f>0</f>
        <v/>
      </c>
      <c r="Z38" s="26">
        <f>0</f>
        <v/>
      </c>
    </row>
    <row r="39">
      <c r="B39" s="5" t="inlineStr">
        <is>
          <t>תזרים נקי — ללא תמריץ</t>
        </is>
      </c>
      <c r="C39" s="9" t="inlineStr">
        <is>
          <t>₪</t>
        </is>
      </c>
      <c r="D39" s="9" t="inlineStr">
        <is>
          <t>חישוב</t>
        </is>
      </c>
      <c r="F39" s="26" t="n">
        <v>0</v>
      </c>
      <c r="G39" s="26">
        <f>G38+G31</f>
        <v/>
      </c>
      <c r="H39" s="26">
        <f>H38+H31</f>
        <v/>
      </c>
      <c r="I39" s="26">
        <f>I38+I31</f>
        <v/>
      </c>
      <c r="J39" s="26">
        <f>J38+J31</f>
        <v/>
      </c>
      <c r="K39" s="26">
        <f>K38+K31</f>
        <v/>
      </c>
      <c r="L39" s="26">
        <f>L38+L31</f>
        <v/>
      </c>
      <c r="M39" s="26">
        <f>M38+M31</f>
        <v/>
      </c>
      <c r="N39" s="26">
        <f>N38+N31</f>
        <v/>
      </c>
      <c r="O39" s="26">
        <f>O38+O31</f>
        <v/>
      </c>
      <c r="P39" s="26">
        <f>P38+P31</f>
        <v/>
      </c>
      <c r="Q39" s="26">
        <f>Q38+Q31</f>
        <v/>
      </c>
      <c r="R39" s="26">
        <f>R38+R31</f>
        <v/>
      </c>
      <c r="S39" s="26">
        <f>S38+S31</f>
        <v/>
      </c>
      <c r="T39" s="26">
        <f>T38+T31</f>
        <v/>
      </c>
      <c r="U39" s="26">
        <f>U38+U31</f>
        <v/>
      </c>
      <c r="V39" s="26">
        <f>V38+V31</f>
        <v/>
      </c>
      <c r="W39" s="26">
        <f>W38+W31</f>
        <v/>
      </c>
      <c r="X39" s="26">
        <f>X38+X31</f>
        <v/>
      </c>
      <c r="Y39" s="26">
        <f>Y38+Y31</f>
        <v/>
      </c>
      <c r="Z39" s="26">
        <f>Z38+Z31</f>
        <v/>
      </c>
    </row>
    <row r="40">
      <c r="B40" s="6" t="inlineStr">
        <is>
          <t>תזרים מהוון — ללא תמריץ</t>
        </is>
      </c>
      <c r="C40" s="9" t="inlineStr">
        <is>
          <t>₪</t>
        </is>
      </c>
      <c r="D40" s="9" t="inlineStr">
        <is>
          <t>חישוב</t>
        </is>
      </c>
      <c r="F40" s="31">
        <f>F39</f>
        <v/>
      </c>
      <c r="G40" s="31">
        <f>G39/(1+$F$22)^1</f>
        <v/>
      </c>
      <c r="H40" s="31">
        <f>H39/(1+$F$22)^2</f>
        <v/>
      </c>
      <c r="I40" s="31">
        <f>I39/(1+$F$22)^3</f>
        <v/>
      </c>
      <c r="J40" s="31">
        <f>J39/(1+$F$22)^4</f>
        <v/>
      </c>
      <c r="K40" s="31">
        <f>K39/(1+$F$22)^5</f>
        <v/>
      </c>
      <c r="L40" s="31">
        <f>L39/(1+$F$22)^6</f>
        <v/>
      </c>
      <c r="M40" s="31">
        <f>M39/(1+$F$22)^7</f>
        <v/>
      </c>
      <c r="N40" s="31">
        <f>N39/(1+$F$22)^8</f>
        <v/>
      </c>
      <c r="O40" s="31">
        <f>O39/(1+$F$22)^9</f>
        <v/>
      </c>
      <c r="P40" s="31">
        <f>P39/(1+$F$22)^10</f>
        <v/>
      </c>
      <c r="Q40" s="31">
        <f>Q39/(1+$F$22)^11</f>
        <v/>
      </c>
      <c r="R40" s="31">
        <f>R39/(1+$F$22)^12</f>
        <v/>
      </c>
      <c r="S40" s="31">
        <f>S39/(1+$F$22)^13</f>
        <v/>
      </c>
      <c r="T40" s="31">
        <f>T39/(1+$F$22)^14</f>
        <v/>
      </c>
      <c r="U40" s="31">
        <f>U39/(1+$F$22)^15</f>
        <v/>
      </c>
      <c r="V40" s="31">
        <f>V39/(1+$F$22)^16</f>
        <v/>
      </c>
      <c r="W40" s="31">
        <f>W39/(1+$F$22)^17</f>
        <v/>
      </c>
      <c r="X40" s="31">
        <f>X39/(1+$F$22)^18</f>
        <v/>
      </c>
      <c r="Y40" s="31">
        <f>Y39/(1+$F$22)^19</f>
        <v/>
      </c>
      <c r="Z40" s="31">
        <f>Z39/(1+$F$22)^20</f>
        <v/>
      </c>
    </row>
    <row r="41">
      <c r="B41" s="6" t="inlineStr">
        <is>
          <t>NPV מצטבר — ללא תמריץ</t>
        </is>
      </c>
      <c r="C41" s="9" t="inlineStr">
        <is>
          <t>₪</t>
        </is>
      </c>
      <c r="D41" s="9" t="inlineStr">
        <is>
          <t>חישוב</t>
        </is>
      </c>
      <c r="F41" s="31">
        <f>F40</f>
        <v/>
      </c>
      <c r="G41" s="31">
        <f>F41+G40</f>
        <v/>
      </c>
      <c r="H41" s="31">
        <f>G41+H40</f>
        <v/>
      </c>
      <c r="I41" s="31">
        <f>H41+I40</f>
        <v/>
      </c>
      <c r="J41" s="31">
        <f>I41+J40</f>
        <v/>
      </c>
      <c r="K41" s="31">
        <f>J41+K40</f>
        <v/>
      </c>
      <c r="L41" s="31">
        <f>K41+L40</f>
        <v/>
      </c>
      <c r="M41" s="31">
        <f>L41+M40</f>
        <v/>
      </c>
      <c r="N41" s="31">
        <f>M41+N40</f>
        <v/>
      </c>
      <c r="O41" s="31">
        <f>N41+O40</f>
        <v/>
      </c>
      <c r="P41" s="31">
        <f>O41+P40</f>
        <v/>
      </c>
      <c r="Q41" s="31">
        <f>P41+Q40</f>
        <v/>
      </c>
      <c r="R41" s="31">
        <f>Q41+R40</f>
        <v/>
      </c>
      <c r="S41" s="31">
        <f>R41+S40</f>
        <v/>
      </c>
      <c r="T41" s="31">
        <f>S41+T40</f>
        <v/>
      </c>
      <c r="U41" s="31">
        <f>T41+U40</f>
        <v/>
      </c>
      <c r="V41" s="31">
        <f>U41+V40</f>
        <v/>
      </c>
      <c r="W41" s="31">
        <f>V41+W40</f>
        <v/>
      </c>
      <c r="X41" s="31">
        <f>W41+X40</f>
        <v/>
      </c>
      <c r="Y41" s="31">
        <f>X41+Y40</f>
        <v/>
      </c>
      <c r="Z41" s="31">
        <f>Y41+Z40</f>
        <v/>
      </c>
    </row>
    <row r="42">
      <c r="B42" s="7" t="inlineStr">
        <is>
          <t>תזרים נקי — עם תמריץ</t>
        </is>
      </c>
      <c r="C42" s="9" t="inlineStr">
        <is>
          <t>₪</t>
        </is>
      </c>
      <c r="D42" s="9" t="inlineStr">
        <is>
          <t>חישוב</t>
        </is>
      </c>
      <c r="F42" s="26" t="n">
        <v>0</v>
      </c>
      <c r="G42" s="32">
        <f>G38+G33</f>
        <v/>
      </c>
      <c r="H42" s="32">
        <f>H38+H33</f>
        <v/>
      </c>
      <c r="I42" s="32">
        <f>I38+I33</f>
        <v/>
      </c>
      <c r="J42" s="32">
        <f>J38+J33</f>
        <v/>
      </c>
      <c r="K42" s="32">
        <f>K38+K33</f>
        <v/>
      </c>
      <c r="L42" s="32">
        <f>L38+L33</f>
        <v/>
      </c>
      <c r="M42" s="32">
        <f>M38+M33</f>
        <v/>
      </c>
      <c r="N42" s="32">
        <f>N38+N33</f>
        <v/>
      </c>
      <c r="O42" s="32">
        <f>O38+O33</f>
        <v/>
      </c>
      <c r="P42" s="32">
        <f>P38+P33</f>
        <v/>
      </c>
      <c r="Q42" s="32">
        <f>Q38+Q33</f>
        <v/>
      </c>
      <c r="R42" s="32">
        <f>R38+R33</f>
        <v/>
      </c>
      <c r="S42" s="32">
        <f>S38+S33</f>
        <v/>
      </c>
      <c r="T42" s="32">
        <f>T38+T33</f>
        <v/>
      </c>
      <c r="U42" s="32">
        <f>U38+U33</f>
        <v/>
      </c>
      <c r="V42" s="32">
        <f>V38+V33</f>
        <v/>
      </c>
      <c r="W42" s="32">
        <f>W38+W33</f>
        <v/>
      </c>
      <c r="X42" s="32">
        <f>X38+X33</f>
        <v/>
      </c>
      <c r="Y42" s="32">
        <f>Y38+Y33</f>
        <v/>
      </c>
      <c r="Z42" s="32">
        <f>Z38+Z33</f>
        <v/>
      </c>
    </row>
    <row r="43">
      <c r="B43" s="7" t="inlineStr">
        <is>
          <t>תזרים מהוון — עם תמריץ</t>
        </is>
      </c>
      <c r="C43" s="9" t="inlineStr">
        <is>
          <t>₪</t>
        </is>
      </c>
      <c r="D43" s="9" t="inlineStr">
        <is>
          <t>חישוב</t>
        </is>
      </c>
      <c r="F43" s="32">
        <f>F42</f>
        <v/>
      </c>
      <c r="G43" s="32">
        <f>G42/(1+$F$22)^1</f>
        <v/>
      </c>
      <c r="H43" s="32">
        <f>H42/(1+$F$22)^2</f>
        <v/>
      </c>
      <c r="I43" s="32">
        <f>I42/(1+$F$22)^3</f>
        <v/>
      </c>
      <c r="J43" s="32">
        <f>J42/(1+$F$22)^4</f>
        <v/>
      </c>
      <c r="K43" s="32">
        <f>K42/(1+$F$22)^5</f>
        <v/>
      </c>
      <c r="L43" s="32">
        <f>L42/(1+$F$22)^6</f>
        <v/>
      </c>
      <c r="M43" s="32">
        <f>M42/(1+$F$22)^7</f>
        <v/>
      </c>
      <c r="N43" s="32">
        <f>N42/(1+$F$22)^8</f>
        <v/>
      </c>
      <c r="O43" s="32">
        <f>O42/(1+$F$22)^9</f>
        <v/>
      </c>
      <c r="P43" s="32">
        <f>P42/(1+$F$22)^10</f>
        <v/>
      </c>
      <c r="Q43" s="32">
        <f>Q42/(1+$F$22)^11</f>
        <v/>
      </c>
      <c r="R43" s="32">
        <f>R42/(1+$F$22)^12</f>
        <v/>
      </c>
      <c r="S43" s="32">
        <f>S42/(1+$F$22)^13</f>
        <v/>
      </c>
      <c r="T43" s="32">
        <f>T42/(1+$F$22)^14</f>
        <v/>
      </c>
      <c r="U43" s="32">
        <f>U42/(1+$F$22)^15</f>
        <v/>
      </c>
      <c r="V43" s="32">
        <f>V42/(1+$F$22)^16</f>
        <v/>
      </c>
      <c r="W43" s="32">
        <f>W42/(1+$F$22)^17</f>
        <v/>
      </c>
      <c r="X43" s="32">
        <f>X42/(1+$F$22)^18</f>
        <v/>
      </c>
      <c r="Y43" s="32">
        <f>Y42/(1+$F$22)^19</f>
        <v/>
      </c>
      <c r="Z43" s="32">
        <f>Z42/(1+$F$22)^20</f>
        <v/>
      </c>
    </row>
    <row r="44">
      <c r="B44" s="7" t="inlineStr">
        <is>
          <t>NPV מצטבר — עם תמריץ</t>
        </is>
      </c>
      <c r="C44" s="9" t="inlineStr">
        <is>
          <t>₪</t>
        </is>
      </c>
      <c r="D44" s="9" t="inlineStr">
        <is>
          <t>חישוב</t>
        </is>
      </c>
      <c r="F44" s="32">
        <f>F43</f>
        <v/>
      </c>
      <c r="G44" s="32">
        <f>F44+G43</f>
        <v/>
      </c>
      <c r="H44" s="32">
        <f>G44+H43</f>
        <v/>
      </c>
      <c r="I44" s="32">
        <f>H44+I43</f>
        <v/>
      </c>
      <c r="J44" s="32">
        <f>I44+J43</f>
        <v/>
      </c>
      <c r="K44" s="32">
        <f>J44+K43</f>
        <v/>
      </c>
      <c r="L44" s="32">
        <f>K44+L43</f>
        <v/>
      </c>
      <c r="M44" s="32">
        <f>L44+M43</f>
        <v/>
      </c>
      <c r="N44" s="32">
        <f>M44+N43</f>
        <v/>
      </c>
      <c r="O44" s="32">
        <f>N44+O43</f>
        <v/>
      </c>
      <c r="P44" s="32">
        <f>O44+P43</f>
        <v/>
      </c>
      <c r="Q44" s="32">
        <f>P44+Q43</f>
        <v/>
      </c>
      <c r="R44" s="32">
        <f>Q44+R43</f>
        <v/>
      </c>
      <c r="S44" s="32">
        <f>R44+S43</f>
        <v/>
      </c>
      <c r="T44" s="32">
        <f>S44+T43</f>
        <v/>
      </c>
      <c r="U44" s="32">
        <f>T44+U43</f>
        <v/>
      </c>
      <c r="V44" s="32">
        <f>U44+V43</f>
        <v/>
      </c>
      <c r="W44" s="32">
        <f>V44+W43</f>
        <v/>
      </c>
      <c r="X44" s="32">
        <f>W44+X43</f>
        <v/>
      </c>
      <c r="Y44" s="32">
        <f>X44+Y43</f>
        <v/>
      </c>
      <c r="Z44" s="32">
        <f>Y44+Z43</f>
        <v/>
      </c>
    </row>
    <row r="46">
      <c r="B46" s="8" t="inlineStr">
        <is>
          <t>6. תוצאות</t>
        </is>
      </c>
    </row>
    <row r="47">
      <c r="B47" s="33" t="inlineStr">
        <is>
          <t>NPV ללא תמריץ</t>
        </is>
      </c>
      <c r="C47" s="9" t="inlineStr">
        <is>
          <t>ש"ח</t>
        </is>
      </c>
      <c r="F47" s="31">
        <f>SUM(F40:Z40)</f>
        <v/>
      </c>
    </row>
    <row r="48">
      <c r="B48" s="34" t="inlineStr">
        <is>
          <t>NPV עם תמריץ</t>
        </is>
      </c>
      <c r="C48" s="9" t="inlineStr">
        <is>
          <t>ש"ח</t>
        </is>
      </c>
      <c r="F48" s="32">
        <f>SUM(F43:Z43)</f>
        <v/>
      </c>
    </row>
    <row r="49">
      <c r="B49" s="35" t="inlineStr">
        <is>
          <t>דלתא NPV — ערך התמריץ</t>
        </is>
      </c>
      <c r="C49" s="9" t="inlineStr">
        <is>
          <t>ש"ח</t>
        </is>
      </c>
      <c r="F49" s="36">
        <f>F48-F47</f>
        <v/>
      </c>
    </row>
    <row r="51">
      <c r="B51" s="33" t="inlineStr">
        <is>
          <t>ROI ללא תמריץ</t>
        </is>
      </c>
      <c r="C51" s="9" t="inlineStr">
        <is>
          <t>%</t>
        </is>
      </c>
      <c r="F51" s="37">
        <f>IF(ISNUMBER($F$12),(SUM(F40:Z40)+$F$12)/$F$12,"PENDING")</f>
        <v/>
      </c>
    </row>
    <row r="52">
      <c r="B52" s="34" t="inlineStr">
        <is>
          <t>ROI עם תמריץ</t>
        </is>
      </c>
      <c r="C52" s="9" t="inlineStr">
        <is>
          <t>%</t>
        </is>
      </c>
      <c r="F52" s="38">
        <f>IF(ISNUMBER($F$12),(SUM(F43:Z43)+$F$12)/$F$12,"PENDING")</f>
        <v/>
      </c>
    </row>
    <row r="53">
      <c r="B53" s="35" t="inlineStr">
        <is>
          <t>שיפור ROI בזכות התמריץ</t>
        </is>
      </c>
      <c r="C53" s="9" t="inlineStr">
        <is>
          <t>%</t>
        </is>
      </c>
      <c r="F53" s="11">
        <f>IF(ISNUMBER(F52),F52-F51,"PENDING")</f>
        <v/>
      </c>
    </row>
    <row r="55">
      <c r="B55" s="33" t="inlineStr">
        <is>
          <t>תקופת החזר — ללא תמריץ</t>
        </is>
      </c>
      <c r="C55" s="9" t="inlineStr">
        <is>
          <t>שנים</t>
        </is>
      </c>
      <c r="F55" s="39">
        <f>IF(ISNUMBER($F$18),$F$12/$F$18,"PENDING")</f>
        <v/>
      </c>
    </row>
    <row r="56">
      <c r="B56" s="34" t="inlineStr">
        <is>
          <t>תקופת החזר — עם תמריץ</t>
        </is>
      </c>
      <c r="C56" s="9" t="inlineStr">
        <is>
          <t>שנים</t>
        </is>
      </c>
      <c r="F56" s="40">
        <f>IF(ISNUMBER($F$18),$F$12/($F$18+G33),"PENDING")</f>
        <v/>
      </c>
    </row>
    <row r="58">
      <c r="B58" s="16" t="inlineStr">
        <is>
          <t>* תקופת ההחזר עם תמריץ משקפת את יתרון מגן המס בשנה הראשונה בלבד — לחישוב מדויק ראו NPV מצטבר</t>
        </is>
      </c>
    </row>
  </sheetData>
  <mergeCells count="7">
    <mergeCell ref="B25:Z25"/>
    <mergeCell ref="B11:Z11"/>
    <mergeCell ref="B20:Z20"/>
    <mergeCell ref="B28:Z28"/>
    <mergeCell ref="B8:Z8"/>
    <mergeCell ref="B35:Z35"/>
    <mergeCell ref="B46:H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Z58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5" customWidth="1" min="3" max="3"/>
    <col width="18" customWidth="1" min="4" max="4"/>
    <col width="2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B1" s="1" t="inlineStr">
        <is>
          <t>מקרא צבעים</t>
        </is>
      </c>
    </row>
    <row r="2">
      <c r="B2" s="2" t="inlineStr">
        <is>
          <t>ערך להזנה</t>
        </is>
      </c>
    </row>
    <row r="3">
      <c r="B3" s="3" t="inlineStr">
        <is>
          <t>נתונים לעדכון / בקרה</t>
        </is>
      </c>
    </row>
    <row r="4">
      <c r="B4" s="4" t="inlineStr">
        <is>
          <t>כותרות משנה</t>
        </is>
      </c>
    </row>
    <row r="5">
      <c r="B5" s="5" t="inlineStr">
        <is>
          <t>תוצאת חישוב / טקסט</t>
        </is>
      </c>
    </row>
    <row r="6">
      <c r="B6" s="6" t="inlineStr">
        <is>
          <t>תוצאות</t>
        </is>
      </c>
    </row>
    <row r="7">
      <c r="B7" s="7" t="inlineStr">
        <is>
          <t>שורת תמריץ</t>
        </is>
      </c>
    </row>
    <row r="8">
      <c r="B8" s="20" t="inlineStr">
        <is>
          <t>ניתוח כלכלי — מערכות קיטור חשמליות</t>
        </is>
      </c>
    </row>
    <row r="9">
      <c r="B9" s="16" t="inlineStr">
        <is>
          <t>* החלפת קיטור מבוסס דלק בקיטור חשמלי | חיסכון ~50% מצריכה</t>
        </is>
      </c>
    </row>
    <row r="11">
      <c r="B11" s="8" t="inlineStr">
        <is>
          <t>1. הנחות בסיסיות להשקעה</t>
        </is>
      </c>
    </row>
    <row r="12">
      <c r="B12" s="13" t="inlineStr">
        <is>
          <t>עלות השקעה (CapEx)</t>
        </is>
      </c>
      <c r="C12" s="9" t="inlineStr">
        <is>
          <t>₪</t>
        </is>
      </c>
      <c r="D12" s="9" t="inlineStr">
        <is>
          <t>נתוני רפי</t>
        </is>
      </c>
      <c r="E12" s="21" t="inlineStr">
        <is>
          <t>⚠ ממתין לנתוני ראש המהנדסים</t>
        </is>
      </c>
      <c r="F12" s="22" t="inlineStr">
        <is>
          <t>PENDING</t>
        </is>
      </c>
    </row>
    <row r="13">
      <c r="B13" s="13" t="inlineStr">
        <is>
          <t>צריכת אנרגיה שנתית (לפני החלפה)</t>
        </is>
      </c>
      <c r="C13" s="9" t="inlineStr">
        <is>
          <t>קוט"ש/שנה</t>
        </is>
      </c>
      <c r="D13" s="9" t="inlineStr">
        <is>
          <t>נתוני רפי</t>
        </is>
      </c>
      <c r="E13" s="21" t="inlineStr">
        <is>
          <t>⚠ ממתין לנתוני ראש המהנדסים</t>
        </is>
      </c>
      <c r="F13" s="22" t="inlineStr">
        <is>
          <t>PENDING</t>
        </is>
      </c>
    </row>
    <row r="14">
      <c r="B14" s="13" t="inlineStr">
        <is>
          <t>חיסכון אנרגטי</t>
        </is>
      </c>
      <c r="C14" s="9" t="inlineStr">
        <is>
          <t>% מצריכה</t>
        </is>
      </c>
      <c r="D14" s="9" t="inlineStr">
        <is>
          <t>ממצאי הנדסה</t>
        </is>
      </c>
      <c r="F14" s="10" t="n">
        <v>0.5</v>
      </c>
    </row>
    <row r="15">
      <c r="B15" s="13" t="inlineStr">
        <is>
          <t>חיסכון שנתי בצריכת חשמל</t>
        </is>
      </c>
      <c r="C15" s="9" t="inlineStr">
        <is>
          <t>קוט"ש/שנה</t>
        </is>
      </c>
      <c r="D15" s="9" t="inlineStr">
        <is>
          <t>חישוב</t>
        </is>
      </c>
      <c r="E15" s="9">
        <f> צריכה × שיעור חיסכון</f>
        <v/>
      </c>
      <c r="F15" s="23">
        <f>IF(ISNUMBER($F$13),$F$13*$F$14,"PENDING")</f>
        <v/>
      </c>
    </row>
    <row r="16">
      <c r="B16" s="13" t="inlineStr">
        <is>
          <t>אורך חיי הציוד (כלכלי)</t>
        </is>
      </c>
      <c r="C16" s="9" t="inlineStr">
        <is>
          <t>שנים</t>
        </is>
      </c>
      <c r="D16" s="9" t="inlineStr">
        <is>
          <t>ממצאי הנדסה</t>
        </is>
      </c>
      <c r="F16" s="24" t="n">
        <v>10</v>
      </c>
    </row>
    <row r="17">
      <c r="B17" s="13" t="inlineStr">
        <is>
          <t>מחיר חשמל</t>
        </is>
      </c>
      <c r="C17" s="9" t="inlineStr">
        <is>
          <t>₪/קוט"ש</t>
        </is>
      </c>
      <c r="D17" s="9" t="inlineStr">
        <is>
          <t>גיליון הנחות</t>
        </is>
      </c>
      <c r="F17" s="25">
        <f>'נתונים והנחות - כללי'!$F$12/100</f>
        <v/>
      </c>
    </row>
    <row r="18">
      <c r="B18" s="13" t="inlineStr">
        <is>
          <t>חיסכון שנתי (₪)</t>
        </is>
      </c>
      <c r="C18" s="9" t="inlineStr">
        <is>
          <t>₪/שנה</t>
        </is>
      </c>
      <c r="D18" s="9" t="inlineStr">
        <is>
          <t>חישוב</t>
        </is>
      </c>
      <c r="E18" s="9">
        <f> חיסכון קוט"ש × מחיר חשמל</f>
        <v/>
      </c>
      <c r="F18" s="26">
        <f>IF(ISNUMBER($F$15),$F$15*$F$17,"PENDING")</f>
        <v/>
      </c>
    </row>
    <row r="20">
      <c r="B20" s="8" t="inlineStr">
        <is>
          <t>2. הנחות פיננסיות</t>
        </is>
      </c>
    </row>
    <row r="21">
      <c r="B21" s="13" t="inlineStr">
        <is>
          <t>שיעור מס חברות</t>
        </is>
      </c>
      <c r="C21" s="9" t="inlineStr">
        <is>
          <t>%</t>
        </is>
      </c>
      <c r="D21" s="9" t="inlineStr">
        <is>
          <t>גיליון הנחות</t>
        </is>
      </c>
      <c r="F21" s="14">
        <f>'נתונים והנחות - כללי'!$F$10</f>
        <v/>
      </c>
    </row>
    <row r="22">
      <c r="B22" s="13" t="inlineStr">
        <is>
          <t>שיעור היוון</t>
        </is>
      </c>
      <c r="C22" s="9" t="inlineStr">
        <is>
          <t>%</t>
        </is>
      </c>
      <c r="D22" s="9" t="inlineStr">
        <is>
          <t>גיליון הנחות</t>
        </is>
      </c>
      <c r="F22" s="14">
        <f>'נתונים והנחות - כללי'!$F$11</f>
        <v/>
      </c>
    </row>
    <row r="23">
      <c r="B23" s="13" t="inlineStr">
        <is>
          <t>שיעור פחת סטנדרטי</t>
        </is>
      </c>
      <c r="C23" s="9" t="inlineStr">
        <is>
          <t>%/שנה</t>
        </is>
      </c>
      <c r="D23" s="9" t="inlineStr">
        <is>
          <t>תקנות מס הכנסה</t>
        </is>
      </c>
      <c r="E23" s="9" t="inlineStr">
        <is>
          <t>קו ישר — 10 שנים</t>
        </is>
      </c>
      <c r="F23" s="10" t="n">
        <v>0.1</v>
      </c>
    </row>
    <row r="25">
      <c r="B25" s="8" t="inlineStr">
        <is>
          <t>3. פרמטר המדיניות — פחת מואץ</t>
        </is>
      </c>
    </row>
    <row r="26">
      <c r="B26" s="27" t="inlineStr">
        <is>
          <t>שיעור פחת מואץ בשנה 1  ←  שנה ב'פרמטרי תמריץ'!F10</t>
        </is>
      </c>
      <c r="C26" s="9" t="inlineStr">
        <is>
          <t>% מה-CapEx</t>
        </is>
      </c>
      <c r="D26" s="9" t="inlineStr">
        <is>
          <t>פרמטרי תמריץ</t>
        </is>
      </c>
      <c r="E26" s="16" t="inlineStr">
        <is>
          <t>0% = ללא תמריץ (פחת סטנדרטי) | 100% = מחיקה מלאה בשנה 1</t>
        </is>
      </c>
      <c r="F26" s="28">
        <f>'פרמטרי תמריץ'!$F$10</f>
        <v/>
      </c>
    </row>
    <row r="28">
      <c r="B28" s="8" t="inlineStr">
        <is>
          <t>4. לוחות פחת — השוואה</t>
        </is>
      </c>
    </row>
    <row r="29">
      <c r="B29" s="29" t="inlineStr">
        <is>
          <t>פרמטר</t>
        </is>
      </c>
      <c r="C29" s="29" t="inlineStr">
        <is>
          <t>יחידות</t>
        </is>
      </c>
      <c r="D29" s="29" t="inlineStr">
        <is>
          <t>מקור</t>
        </is>
      </c>
      <c r="E29" s="29" t="inlineStr">
        <is>
          <t>הערות</t>
        </is>
      </c>
      <c r="F29" s="29" t="inlineStr">
        <is>
          <t>שנה 0 (השקעה)</t>
        </is>
      </c>
      <c r="G29" s="29" t="inlineStr">
        <is>
          <t>שנה 1</t>
        </is>
      </c>
      <c r="H29" s="29" t="inlineStr">
        <is>
          <t>שנה 2</t>
        </is>
      </c>
      <c r="I29" s="29" t="inlineStr">
        <is>
          <t>שנה 3</t>
        </is>
      </c>
      <c r="J29" s="29" t="inlineStr">
        <is>
          <t>שנה 4</t>
        </is>
      </c>
      <c r="K29" s="29" t="inlineStr">
        <is>
          <t>שנה 5</t>
        </is>
      </c>
      <c r="L29" s="29" t="inlineStr">
        <is>
          <t>שנה 6</t>
        </is>
      </c>
      <c r="M29" s="29" t="inlineStr">
        <is>
          <t>שנה 7</t>
        </is>
      </c>
      <c r="N29" s="29" t="inlineStr">
        <is>
          <t>שנה 8</t>
        </is>
      </c>
      <c r="O29" s="29" t="inlineStr">
        <is>
          <t>שנה 9</t>
        </is>
      </c>
      <c r="P29" s="29" t="inlineStr">
        <is>
          <t>שנה 10</t>
        </is>
      </c>
      <c r="Q29" s="29" t="inlineStr">
        <is>
          <t>שנה 11</t>
        </is>
      </c>
      <c r="R29" s="29" t="inlineStr">
        <is>
          <t>שנה 12</t>
        </is>
      </c>
      <c r="S29" s="29" t="inlineStr">
        <is>
          <t>שנה 13</t>
        </is>
      </c>
      <c r="T29" s="29" t="inlineStr">
        <is>
          <t>שנה 14</t>
        </is>
      </c>
      <c r="U29" s="29" t="inlineStr">
        <is>
          <t>שנה 15</t>
        </is>
      </c>
      <c r="V29" s="29" t="inlineStr">
        <is>
          <t>שנה 16</t>
        </is>
      </c>
      <c r="W29" s="29" t="inlineStr">
        <is>
          <t>שנה 17</t>
        </is>
      </c>
      <c r="X29" s="29" t="inlineStr">
        <is>
          <t>שנה 18</t>
        </is>
      </c>
      <c r="Y29" s="29" t="inlineStr">
        <is>
          <t>שנה 19</t>
        </is>
      </c>
      <c r="Z29" s="29" t="inlineStr">
        <is>
          <t>שנה 20</t>
        </is>
      </c>
    </row>
    <row r="30">
      <c r="B30" s="5" t="inlineStr">
        <is>
          <t>פחת שנתי — סטנדרטי</t>
        </is>
      </c>
      <c r="C30" s="9" t="inlineStr">
        <is>
          <t>₪</t>
        </is>
      </c>
      <c r="D30" s="9" t="inlineStr">
        <is>
          <t>חישוב</t>
        </is>
      </c>
      <c r="E30" s="9">
        <f> CapEx × 10% | קו ישר | עד שנה 10</f>
        <v/>
      </c>
      <c r="F30" s="30" t="n">
        <v>0</v>
      </c>
      <c r="G30" s="30">
        <f>IF(ISNUMBER($F$12),$F$12*$F$23,0)</f>
        <v/>
      </c>
      <c r="H30" s="30">
        <f>IF(ISNUMBER($F$12),$F$12*$F$23,0)</f>
        <v/>
      </c>
      <c r="I30" s="30">
        <f>IF(ISNUMBER($F$12),$F$12*$F$23,0)</f>
        <v/>
      </c>
      <c r="J30" s="30">
        <f>IF(ISNUMBER($F$12),$F$12*$F$23,0)</f>
        <v/>
      </c>
      <c r="K30" s="30">
        <f>IF(ISNUMBER($F$12),$F$12*$F$23,0)</f>
        <v/>
      </c>
      <c r="L30" s="30">
        <f>IF(ISNUMBER($F$12),$F$12*$F$23,0)</f>
        <v/>
      </c>
      <c r="M30" s="30">
        <f>IF(ISNUMBER($F$12),$F$12*$F$23,0)</f>
        <v/>
      </c>
      <c r="N30" s="30">
        <f>IF(ISNUMBER($F$12),$F$12*$F$23,0)</f>
        <v/>
      </c>
      <c r="O30" s="30">
        <f>IF(ISNUMBER($F$12),$F$12*$F$23,0)</f>
        <v/>
      </c>
      <c r="P30" s="30">
        <f>IF(ISNUMBER($F$12),$F$12*$F$23,0)</f>
        <v/>
      </c>
      <c r="Q30" s="30">
        <f>0</f>
        <v/>
      </c>
      <c r="R30" s="30">
        <f>0</f>
        <v/>
      </c>
      <c r="S30" s="30">
        <f>0</f>
        <v/>
      </c>
      <c r="T30" s="30">
        <f>0</f>
        <v/>
      </c>
      <c r="U30" s="30">
        <f>0</f>
        <v/>
      </c>
      <c r="V30" s="30">
        <f>0</f>
        <v/>
      </c>
      <c r="W30" s="30">
        <f>0</f>
        <v/>
      </c>
      <c r="X30" s="30">
        <f>0</f>
        <v/>
      </c>
      <c r="Y30" s="30">
        <f>0</f>
        <v/>
      </c>
      <c r="Z30" s="30">
        <f>0</f>
        <v/>
      </c>
    </row>
    <row r="31">
      <c r="B31" s="6" t="inlineStr">
        <is>
          <t>מגן מס — סטנדרטי</t>
        </is>
      </c>
      <c r="C31" s="9" t="inlineStr">
        <is>
          <t>₪</t>
        </is>
      </c>
      <c r="D31" s="9" t="inlineStr">
        <is>
          <t>חישוב</t>
        </is>
      </c>
      <c r="E31" s="9">
        <f> פחת × שיעור מס</f>
        <v/>
      </c>
      <c r="F31" s="31" t="n">
        <v>0</v>
      </c>
      <c r="G31" s="31">
        <f>G30*$F$21</f>
        <v/>
      </c>
      <c r="H31" s="31">
        <f>H30*$F$21</f>
        <v/>
      </c>
      <c r="I31" s="31">
        <f>I30*$F$21</f>
        <v/>
      </c>
      <c r="J31" s="31">
        <f>J30*$F$21</f>
        <v/>
      </c>
      <c r="K31" s="31">
        <f>K30*$F$21</f>
        <v/>
      </c>
      <c r="L31" s="31">
        <f>L30*$F$21</f>
        <v/>
      </c>
      <c r="M31" s="31">
        <f>M30*$F$21</f>
        <v/>
      </c>
      <c r="N31" s="31">
        <f>N30*$F$21</f>
        <v/>
      </c>
      <c r="O31" s="31">
        <f>O30*$F$21</f>
        <v/>
      </c>
      <c r="P31" s="31">
        <f>P30*$F$21</f>
        <v/>
      </c>
      <c r="Q31" s="31">
        <f>Q30*$F$21</f>
        <v/>
      </c>
      <c r="R31" s="31">
        <f>R30*$F$21</f>
        <v/>
      </c>
      <c r="S31" s="31">
        <f>S30*$F$21</f>
        <v/>
      </c>
      <c r="T31" s="31">
        <f>T30*$F$21</f>
        <v/>
      </c>
      <c r="U31" s="31">
        <f>U30*$F$21</f>
        <v/>
      </c>
      <c r="V31" s="31">
        <f>V30*$F$21</f>
        <v/>
      </c>
      <c r="W31" s="31">
        <f>W30*$F$21</f>
        <v/>
      </c>
      <c r="X31" s="31">
        <f>X30*$F$21</f>
        <v/>
      </c>
      <c r="Y31" s="31">
        <f>Y30*$F$21</f>
        <v/>
      </c>
      <c r="Z31" s="31">
        <f>Z30*$F$21</f>
        <v/>
      </c>
    </row>
    <row r="32">
      <c r="B32" s="7" t="inlineStr">
        <is>
          <t>פחת שנתי — מואץ</t>
        </is>
      </c>
      <c r="C32" s="9" t="inlineStr">
        <is>
          <t>₪</t>
        </is>
      </c>
      <c r="D32" s="9" t="inlineStr">
        <is>
          <t>חישוב</t>
        </is>
      </c>
      <c r="E32" s="9" t="inlineStr">
        <is>
          <t>שנה 1 = CapEx × שיעור מואץ | יתרה מפוחתת בקו ישר</t>
        </is>
      </c>
      <c r="F32" s="32" t="n">
        <v>0</v>
      </c>
      <c r="G32" s="32">
        <f>IF(ISNUMBER($F$12),$F$12*$F$26,0)</f>
        <v/>
      </c>
      <c r="H32" s="32">
        <f>IF(ISNUMBER($F$12),$F$12*(1-$F$26)/9,0)</f>
        <v/>
      </c>
      <c r="I32" s="32">
        <f>IF(ISNUMBER($F$12),$F$12*(1-$F$26)/9,0)</f>
        <v/>
      </c>
      <c r="J32" s="32">
        <f>IF(ISNUMBER($F$12),$F$12*(1-$F$26)/9,0)</f>
        <v/>
      </c>
      <c r="K32" s="32">
        <f>IF(ISNUMBER($F$12),$F$12*(1-$F$26)/9,0)</f>
        <v/>
      </c>
      <c r="L32" s="32">
        <f>IF(ISNUMBER($F$12),$F$12*(1-$F$26)/9,0)</f>
        <v/>
      </c>
      <c r="M32" s="32">
        <f>IF(ISNUMBER($F$12),$F$12*(1-$F$26)/9,0)</f>
        <v/>
      </c>
      <c r="N32" s="32">
        <f>IF(ISNUMBER($F$12),$F$12*(1-$F$26)/9,0)</f>
        <v/>
      </c>
      <c r="O32" s="32">
        <f>IF(ISNUMBER($F$12),$F$12*(1-$F$26)/9,0)</f>
        <v/>
      </c>
      <c r="P32" s="32">
        <f>IF(ISNUMBER($F$12),$F$12*(1-$F$26)/9,0)</f>
        <v/>
      </c>
      <c r="Q32" s="32">
        <f>0</f>
        <v/>
      </c>
      <c r="R32" s="32">
        <f>0</f>
        <v/>
      </c>
      <c r="S32" s="32">
        <f>0</f>
        <v/>
      </c>
      <c r="T32" s="32">
        <f>0</f>
        <v/>
      </c>
      <c r="U32" s="32">
        <f>0</f>
        <v/>
      </c>
      <c r="V32" s="32">
        <f>0</f>
        <v/>
      </c>
      <c r="W32" s="32">
        <f>0</f>
        <v/>
      </c>
      <c r="X32" s="32">
        <f>0</f>
        <v/>
      </c>
      <c r="Y32" s="32">
        <f>0</f>
        <v/>
      </c>
      <c r="Z32" s="32">
        <f>0</f>
        <v/>
      </c>
    </row>
    <row r="33">
      <c r="B33" s="7" t="inlineStr">
        <is>
          <t>מגן מס — מואץ</t>
        </is>
      </c>
      <c r="C33" s="9" t="inlineStr">
        <is>
          <t>₪</t>
        </is>
      </c>
      <c r="D33" s="9" t="inlineStr">
        <is>
          <t>חישוב</t>
        </is>
      </c>
      <c r="E33" s="9">
        <f> פחת מואץ × שיעור מס</f>
        <v/>
      </c>
      <c r="F33" s="32" t="n">
        <v>0</v>
      </c>
      <c r="G33" s="32">
        <f>G32*$F$21</f>
        <v/>
      </c>
      <c r="H33" s="32">
        <f>H32*$F$21</f>
        <v/>
      </c>
      <c r="I33" s="32">
        <f>I32*$F$21</f>
        <v/>
      </c>
      <c r="J33" s="32">
        <f>J32*$F$21</f>
        <v/>
      </c>
      <c r="K33" s="32">
        <f>K32*$F$21</f>
        <v/>
      </c>
      <c r="L33" s="32">
        <f>L32*$F$21</f>
        <v/>
      </c>
      <c r="M33" s="32">
        <f>M32*$F$21</f>
        <v/>
      </c>
      <c r="N33" s="32">
        <f>N32*$F$21</f>
        <v/>
      </c>
      <c r="O33" s="32">
        <f>O32*$F$21</f>
        <v/>
      </c>
      <c r="P33" s="32">
        <f>P32*$F$21</f>
        <v/>
      </c>
      <c r="Q33" s="32">
        <f>Q32*$F$21</f>
        <v/>
      </c>
      <c r="R33" s="32">
        <f>R32*$F$21</f>
        <v/>
      </c>
      <c r="S33" s="32">
        <f>S32*$F$21</f>
        <v/>
      </c>
      <c r="T33" s="32">
        <f>T32*$F$21</f>
        <v/>
      </c>
      <c r="U33" s="32">
        <f>U32*$F$21</f>
        <v/>
      </c>
      <c r="V33" s="32">
        <f>V32*$F$21</f>
        <v/>
      </c>
      <c r="W33" s="32">
        <f>W32*$F$21</f>
        <v/>
      </c>
      <c r="X33" s="32">
        <f>X32*$F$21</f>
        <v/>
      </c>
      <c r="Y33" s="32">
        <f>Y32*$F$21</f>
        <v/>
      </c>
      <c r="Z33" s="32">
        <f>Z32*$F$21</f>
        <v/>
      </c>
    </row>
    <row r="35">
      <c r="B35" s="8" t="inlineStr">
        <is>
          <t>5. ניתוח תזרים מזומנים</t>
        </is>
      </c>
    </row>
    <row r="36">
      <c r="B36" s="29" t="inlineStr">
        <is>
          <t>פרמטר</t>
        </is>
      </c>
      <c r="C36" s="29" t="inlineStr">
        <is>
          <t>יחידות</t>
        </is>
      </c>
      <c r="D36" s="29" t="inlineStr">
        <is>
          <t>מקור</t>
        </is>
      </c>
      <c r="E36" s="29" t="inlineStr">
        <is>
          <t>הערות</t>
        </is>
      </c>
      <c r="F36" s="29" t="inlineStr">
        <is>
          <t>שנה 0 (השקעה)</t>
        </is>
      </c>
      <c r="G36" s="29" t="inlineStr">
        <is>
          <t>שנה 1</t>
        </is>
      </c>
      <c r="H36" s="29" t="inlineStr">
        <is>
          <t>שנה 2</t>
        </is>
      </c>
      <c r="I36" s="29" t="inlineStr">
        <is>
          <t>שנה 3</t>
        </is>
      </c>
      <c r="J36" s="29" t="inlineStr">
        <is>
          <t>שנה 4</t>
        </is>
      </c>
      <c r="K36" s="29" t="inlineStr">
        <is>
          <t>שנה 5</t>
        </is>
      </c>
      <c r="L36" s="29" t="inlineStr">
        <is>
          <t>שנה 6</t>
        </is>
      </c>
      <c r="M36" s="29" t="inlineStr">
        <is>
          <t>שנה 7</t>
        </is>
      </c>
      <c r="N36" s="29" t="inlineStr">
        <is>
          <t>שנה 8</t>
        </is>
      </c>
      <c r="O36" s="29" t="inlineStr">
        <is>
          <t>שנה 9</t>
        </is>
      </c>
      <c r="P36" s="29" t="inlineStr">
        <is>
          <t>שנה 10</t>
        </is>
      </c>
      <c r="Q36" s="29" t="inlineStr">
        <is>
          <t>שנה 11</t>
        </is>
      </c>
      <c r="R36" s="29" t="inlineStr">
        <is>
          <t>שנה 12</t>
        </is>
      </c>
      <c r="S36" s="29" t="inlineStr">
        <is>
          <t>שנה 13</t>
        </is>
      </c>
      <c r="T36" s="29" t="inlineStr">
        <is>
          <t>שנה 14</t>
        </is>
      </c>
      <c r="U36" s="29" t="inlineStr">
        <is>
          <t>שנה 15</t>
        </is>
      </c>
      <c r="V36" s="29" t="inlineStr">
        <is>
          <t>שנה 16</t>
        </is>
      </c>
      <c r="W36" s="29" t="inlineStr">
        <is>
          <t>שנה 17</t>
        </is>
      </c>
      <c r="X36" s="29" t="inlineStr">
        <is>
          <t>שנה 18</t>
        </is>
      </c>
      <c r="Y36" s="29" t="inlineStr">
        <is>
          <t>שנה 19</t>
        </is>
      </c>
      <c r="Z36" s="29" t="inlineStr">
        <is>
          <t>שנה 20</t>
        </is>
      </c>
    </row>
    <row r="37">
      <c r="B37" s="5" t="inlineStr">
        <is>
          <t>השקעה ראשונית (CapEx)</t>
        </is>
      </c>
      <c r="C37" s="9" t="inlineStr">
        <is>
          <t>₪</t>
        </is>
      </c>
      <c r="D37" s="9" t="inlineStr">
        <is>
          <t>חישוב</t>
        </is>
      </c>
      <c r="F37" s="26">
        <f>IF(ISNUMBER($F$12),-$F$12,"PENDING")</f>
        <v/>
      </c>
    </row>
    <row r="38">
      <c r="B38" s="5" t="inlineStr">
        <is>
          <t>חיסכון שנתי — אנרגיה</t>
        </is>
      </c>
      <c r="C38" s="9" t="inlineStr">
        <is>
          <t>₪</t>
        </is>
      </c>
      <c r="D38" s="9" t="inlineStr">
        <is>
          <t>חישוב</t>
        </is>
      </c>
      <c r="F38" s="26" t="n">
        <v>0</v>
      </c>
      <c r="G38" s="26">
        <f>IF(ISNUMBER($F$18),$F$18,0)</f>
        <v/>
      </c>
      <c r="H38" s="26">
        <f>IF(ISNUMBER($F$18),$F$18,0)</f>
        <v/>
      </c>
      <c r="I38" s="26">
        <f>IF(ISNUMBER($F$18),$F$18,0)</f>
        <v/>
      </c>
      <c r="J38" s="26">
        <f>IF(ISNUMBER($F$18),$F$18,0)</f>
        <v/>
      </c>
      <c r="K38" s="26">
        <f>IF(ISNUMBER($F$18),$F$18,0)</f>
        <v/>
      </c>
      <c r="L38" s="26">
        <f>IF(ISNUMBER($F$18),$F$18,0)</f>
        <v/>
      </c>
      <c r="M38" s="26">
        <f>IF(ISNUMBER($F$18),$F$18,0)</f>
        <v/>
      </c>
      <c r="N38" s="26">
        <f>IF(ISNUMBER($F$18),$F$18,0)</f>
        <v/>
      </c>
      <c r="O38" s="26">
        <f>IF(ISNUMBER($F$18),$F$18,0)</f>
        <v/>
      </c>
      <c r="P38" s="26">
        <f>IF(ISNUMBER($F$18),$F$18,0)</f>
        <v/>
      </c>
      <c r="Q38" s="26">
        <f>0</f>
        <v/>
      </c>
      <c r="R38" s="26">
        <f>0</f>
        <v/>
      </c>
      <c r="S38" s="26">
        <f>0</f>
        <v/>
      </c>
      <c r="T38" s="26">
        <f>0</f>
        <v/>
      </c>
      <c r="U38" s="26">
        <f>0</f>
        <v/>
      </c>
      <c r="V38" s="26">
        <f>0</f>
        <v/>
      </c>
      <c r="W38" s="26">
        <f>0</f>
        <v/>
      </c>
      <c r="X38" s="26">
        <f>0</f>
        <v/>
      </c>
      <c r="Y38" s="26">
        <f>0</f>
        <v/>
      </c>
      <c r="Z38" s="26">
        <f>0</f>
        <v/>
      </c>
    </row>
    <row r="39">
      <c r="B39" s="5" t="inlineStr">
        <is>
          <t>תזרים נקי — ללא תמריץ</t>
        </is>
      </c>
      <c r="C39" s="9" t="inlineStr">
        <is>
          <t>₪</t>
        </is>
      </c>
      <c r="D39" s="9" t="inlineStr">
        <is>
          <t>חישוב</t>
        </is>
      </c>
      <c r="F39" s="26" t="n">
        <v>0</v>
      </c>
      <c r="G39" s="26">
        <f>G38+G31</f>
        <v/>
      </c>
      <c r="H39" s="26">
        <f>H38+H31</f>
        <v/>
      </c>
      <c r="I39" s="26">
        <f>I38+I31</f>
        <v/>
      </c>
      <c r="J39" s="26">
        <f>J38+J31</f>
        <v/>
      </c>
      <c r="K39" s="26">
        <f>K38+K31</f>
        <v/>
      </c>
      <c r="L39" s="26">
        <f>L38+L31</f>
        <v/>
      </c>
      <c r="M39" s="26">
        <f>M38+M31</f>
        <v/>
      </c>
      <c r="N39" s="26">
        <f>N38+N31</f>
        <v/>
      </c>
      <c r="O39" s="26">
        <f>O38+O31</f>
        <v/>
      </c>
      <c r="P39" s="26">
        <f>P38+P31</f>
        <v/>
      </c>
      <c r="Q39" s="26">
        <f>Q38+Q31</f>
        <v/>
      </c>
      <c r="R39" s="26">
        <f>R38+R31</f>
        <v/>
      </c>
      <c r="S39" s="26">
        <f>S38+S31</f>
        <v/>
      </c>
      <c r="T39" s="26">
        <f>T38+T31</f>
        <v/>
      </c>
      <c r="U39" s="26">
        <f>U38+U31</f>
        <v/>
      </c>
      <c r="V39" s="26">
        <f>V38+V31</f>
        <v/>
      </c>
      <c r="W39" s="26">
        <f>W38+W31</f>
        <v/>
      </c>
      <c r="X39" s="26">
        <f>X38+X31</f>
        <v/>
      </c>
      <c r="Y39" s="26">
        <f>Y38+Y31</f>
        <v/>
      </c>
      <c r="Z39" s="26">
        <f>Z38+Z31</f>
        <v/>
      </c>
    </row>
    <row r="40">
      <c r="B40" s="6" t="inlineStr">
        <is>
          <t>תזרים מהוון — ללא תמריץ</t>
        </is>
      </c>
      <c r="C40" s="9" t="inlineStr">
        <is>
          <t>₪</t>
        </is>
      </c>
      <c r="D40" s="9" t="inlineStr">
        <is>
          <t>חישוב</t>
        </is>
      </c>
      <c r="F40" s="31">
        <f>F39</f>
        <v/>
      </c>
      <c r="G40" s="31">
        <f>G39/(1+$F$22)^1</f>
        <v/>
      </c>
      <c r="H40" s="31">
        <f>H39/(1+$F$22)^2</f>
        <v/>
      </c>
      <c r="I40" s="31">
        <f>I39/(1+$F$22)^3</f>
        <v/>
      </c>
      <c r="J40" s="31">
        <f>J39/(1+$F$22)^4</f>
        <v/>
      </c>
      <c r="K40" s="31">
        <f>K39/(1+$F$22)^5</f>
        <v/>
      </c>
      <c r="L40" s="31">
        <f>L39/(1+$F$22)^6</f>
        <v/>
      </c>
      <c r="M40" s="31">
        <f>M39/(1+$F$22)^7</f>
        <v/>
      </c>
      <c r="N40" s="31">
        <f>N39/(1+$F$22)^8</f>
        <v/>
      </c>
      <c r="O40" s="31">
        <f>O39/(1+$F$22)^9</f>
        <v/>
      </c>
      <c r="P40" s="31">
        <f>P39/(1+$F$22)^10</f>
        <v/>
      </c>
      <c r="Q40" s="31">
        <f>Q39/(1+$F$22)^11</f>
        <v/>
      </c>
      <c r="R40" s="31">
        <f>R39/(1+$F$22)^12</f>
        <v/>
      </c>
      <c r="S40" s="31">
        <f>S39/(1+$F$22)^13</f>
        <v/>
      </c>
      <c r="T40" s="31">
        <f>T39/(1+$F$22)^14</f>
        <v/>
      </c>
      <c r="U40" s="31">
        <f>U39/(1+$F$22)^15</f>
        <v/>
      </c>
      <c r="V40" s="31">
        <f>V39/(1+$F$22)^16</f>
        <v/>
      </c>
      <c r="W40" s="31">
        <f>W39/(1+$F$22)^17</f>
        <v/>
      </c>
      <c r="X40" s="31">
        <f>X39/(1+$F$22)^18</f>
        <v/>
      </c>
      <c r="Y40" s="31">
        <f>Y39/(1+$F$22)^19</f>
        <v/>
      </c>
      <c r="Z40" s="31">
        <f>Z39/(1+$F$22)^20</f>
        <v/>
      </c>
    </row>
    <row r="41">
      <c r="B41" s="6" t="inlineStr">
        <is>
          <t>NPV מצטבר — ללא תמריץ</t>
        </is>
      </c>
      <c r="C41" s="9" t="inlineStr">
        <is>
          <t>₪</t>
        </is>
      </c>
      <c r="D41" s="9" t="inlineStr">
        <is>
          <t>חישוב</t>
        </is>
      </c>
      <c r="F41" s="31">
        <f>F40</f>
        <v/>
      </c>
      <c r="G41" s="31">
        <f>F41+G40</f>
        <v/>
      </c>
      <c r="H41" s="31">
        <f>G41+H40</f>
        <v/>
      </c>
      <c r="I41" s="31">
        <f>H41+I40</f>
        <v/>
      </c>
      <c r="J41" s="31">
        <f>I41+J40</f>
        <v/>
      </c>
      <c r="K41" s="31">
        <f>J41+K40</f>
        <v/>
      </c>
      <c r="L41" s="31">
        <f>K41+L40</f>
        <v/>
      </c>
      <c r="M41" s="31">
        <f>L41+M40</f>
        <v/>
      </c>
      <c r="N41" s="31">
        <f>M41+N40</f>
        <v/>
      </c>
      <c r="O41" s="31">
        <f>N41+O40</f>
        <v/>
      </c>
      <c r="P41" s="31">
        <f>O41+P40</f>
        <v/>
      </c>
      <c r="Q41" s="31">
        <f>P41+Q40</f>
        <v/>
      </c>
      <c r="R41" s="31">
        <f>Q41+R40</f>
        <v/>
      </c>
      <c r="S41" s="31">
        <f>R41+S40</f>
        <v/>
      </c>
      <c r="T41" s="31">
        <f>S41+T40</f>
        <v/>
      </c>
      <c r="U41" s="31">
        <f>T41+U40</f>
        <v/>
      </c>
      <c r="V41" s="31">
        <f>U41+V40</f>
        <v/>
      </c>
      <c r="W41" s="31">
        <f>V41+W40</f>
        <v/>
      </c>
      <c r="X41" s="31">
        <f>W41+X40</f>
        <v/>
      </c>
      <c r="Y41" s="31">
        <f>X41+Y40</f>
        <v/>
      </c>
      <c r="Z41" s="31">
        <f>Y41+Z40</f>
        <v/>
      </c>
    </row>
    <row r="42">
      <c r="B42" s="7" t="inlineStr">
        <is>
          <t>תזרים נקי — עם תמריץ</t>
        </is>
      </c>
      <c r="C42" s="9" t="inlineStr">
        <is>
          <t>₪</t>
        </is>
      </c>
      <c r="D42" s="9" t="inlineStr">
        <is>
          <t>חישוב</t>
        </is>
      </c>
      <c r="F42" s="26" t="n">
        <v>0</v>
      </c>
      <c r="G42" s="32">
        <f>G38+G33</f>
        <v/>
      </c>
      <c r="H42" s="32">
        <f>H38+H33</f>
        <v/>
      </c>
      <c r="I42" s="32">
        <f>I38+I33</f>
        <v/>
      </c>
      <c r="J42" s="32">
        <f>J38+J33</f>
        <v/>
      </c>
      <c r="K42" s="32">
        <f>K38+K33</f>
        <v/>
      </c>
      <c r="L42" s="32">
        <f>L38+L33</f>
        <v/>
      </c>
      <c r="M42" s="32">
        <f>M38+M33</f>
        <v/>
      </c>
      <c r="N42" s="32">
        <f>N38+N33</f>
        <v/>
      </c>
      <c r="O42" s="32">
        <f>O38+O33</f>
        <v/>
      </c>
      <c r="P42" s="32">
        <f>P38+P33</f>
        <v/>
      </c>
      <c r="Q42" s="32">
        <f>Q38+Q33</f>
        <v/>
      </c>
      <c r="R42" s="32">
        <f>R38+R33</f>
        <v/>
      </c>
      <c r="S42" s="32">
        <f>S38+S33</f>
        <v/>
      </c>
      <c r="T42" s="32">
        <f>T38+T33</f>
        <v/>
      </c>
      <c r="U42" s="32">
        <f>U38+U33</f>
        <v/>
      </c>
      <c r="V42" s="32">
        <f>V38+V33</f>
        <v/>
      </c>
      <c r="W42" s="32">
        <f>W38+W33</f>
        <v/>
      </c>
      <c r="X42" s="32">
        <f>X38+X33</f>
        <v/>
      </c>
      <c r="Y42" s="32">
        <f>Y38+Y33</f>
        <v/>
      </c>
      <c r="Z42" s="32">
        <f>Z38+Z33</f>
        <v/>
      </c>
    </row>
    <row r="43">
      <c r="B43" s="7" t="inlineStr">
        <is>
          <t>תזרים מהוון — עם תמריץ</t>
        </is>
      </c>
      <c r="C43" s="9" t="inlineStr">
        <is>
          <t>₪</t>
        </is>
      </c>
      <c r="D43" s="9" t="inlineStr">
        <is>
          <t>חישוב</t>
        </is>
      </c>
      <c r="F43" s="32">
        <f>F42</f>
        <v/>
      </c>
      <c r="G43" s="32">
        <f>G42/(1+$F$22)^1</f>
        <v/>
      </c>
      <c r="H43" s="32">
        <f>H42/(1+$F$22)^2</f>
        <v/>
      </c>
      <c r="I43" s="32">
        <f>I42/(1+$F$22)^3</f>
        <v/>
      </c>
      <c r="J43" s="32">
        <f>J42/(1+$F$22)^4</f>
        <v/>
      </c>
      <c r="K43" s="32">
        <f>K42/(1+$F$22)^5</f>
        <v/>
      </c>
      <c r="L43" s="32">
        <f>L42/(1+$F$22)^6</f>
        <v/>
      </c>
      <c r="M43" s="32">
        <f>M42/(1+$F$22)^7</f>
        <v/>
      </c>
      <c r="N43" s="32">
        <f>N42/(1+$F$22)^8</f>
        <v/>
      </c>
      <c r="O43" s="32">
        <f>O42/(1+$F$22)^9</f>
        <v/>
      </c>
      <c r="P43" s="32">
        <f>P42/(1+$F$22)^10</f>
        <v/>
      </c>
      <c r="Q43" s="32">
        <f>Q42/(1+$F$22)^11</f>
        <v/>
      </c>
      <c r="R43" s="32">
        <f>R42/(1+$F$22)^12</f>
        <v/>
      </c>
      <c r="S43" s="32">
        <f>S42/(1+$F$22)^13</f>
        <v/>
      </c>
      <c r="T43" s="32">
        <f>T42/(1+$F$22)^14</f>
        <v/>
      </c>
      <c r="U43" s="32">
        <f>U42/(1+$F$22)^15</f>
        <v/>
      </c>
      <c r="V43" s="32">
        <f>V42/(1+$F$22)^16</f>
        <v/>
      </c>
      <c r="W43" s="32">
        <f>W42/(1+$F$22)^17</f>
        <v/>
      </c>
      <c r="X43" s="32">
        <f>X42/(1+$F$22)^18</f>
        <v/>
      </c>
      <c r="Y43" s="32">
        <f>Y42/(1+$F$22)^19</f>
        <v/>
      </c>
      <c r="Z43" s="32">
        <f>Z42/(1+$F$22)^20</f>
        <v/>
      </c>
    </row>
    <row r="44">
      <c r="B44" s="7" t="inlineStr">
        <is>
          <t>NPV מצטבר — עם תמריץ</t>
        </is>
      </c>
      <c r="C44" s="9" t="inlineStr">
        <is>
          <t>₪</t>
        </is>
      </c>
      <c r="D44" s="9" t="inlineStr">
        <is>
          <t>חישוב</t>
        </is>
      </c>
      <c r="F44" s="32">
        <f>F43</f>
        <v/>
      </c>
      <c r="G44" s="32">
        <f>F44+G43</f>
        <v/>
      </c>
      <c r="H44" s="32">
        <f>G44+H43</f>
        <v/>
      </c>
      <c r="I44" s="32">
        <f>H44+I43</f>
        <v/>
      </c>
      <c r="J44" s="32">
        <f>I44+J43</f>
        <v/>
      </c>
      <c r="K44" s="32">
        <f>J44+K43</f>
        <v/>
      </c>
      <c r="L44" s="32">
        <f>K44+L43</f>
        <v/>
      </c>
      <c r="M44" s="32">
        <f>L44+M43</f>
        <v/>
      </c>
      <c r="N44" s="32">
        <f>M44+N43</f>
        <v/>
      </c>
      <c r="O44" s="32">
        <f>N44+O43</f>
        <v/>
      </c>
      <c r="P44" s="32">
        <f>O44+P43</f>
        <v/>
      </c>
      <c r="Q44" s="32">
        <f>P44+Q43</f>
        <v/>
      </c>
      <c r="R44" s="32">
        <f>Q44+R43</f>
        <v/>
      </c>
      <c r="S44" s="32">
        <f>R44+S43</f>
        <v/>
      </c>
      <c r="T44" s="32">
        <f>S44+T43</f>
        <v/>
      </c>
      <c r="U44" s="32">
        <f>T44+U43</f>
        <v/>
      </c>
      <c r="V44" s="32">
        <f>U44+V43</f>
        <v/>
      </c>
      <c r="W44" s="32">
        <f>V44+W43</f>
        <v/>
      </c>
      <c r="X44" s="32">
        <f>W44+X43</f>
        <v/>
      </c>
      <c r="Y44" s="32">
        <f>X44+Y43</f>
        <v/>
      </c>
      <c r="Z44" s="32">
        <f>Y44+Z43</f>
        <v/>
      </c>
    </row>
    <row r="46">
      <c r="B46" s="8" t="inlineStr">
        <is>
          <t>6. תוצאות</t>
        </is>
      </c>
    </row>
    <row r="47">
      <c r="B47" s="33" t="inlineStr">
        <is>
          <t>NPV ללא תמריץ</t>
        </is>
      </c>
      <c r="C47" s="9" t="inlineStr">
        <is>
          <t>ש"ח</t>
        </is>
      </c>
      <c r="F47" s="31">
        <f>SUM(F40:Z40)</f>
        <v/>
      </c>
    </row>
    <row r="48">
      <c r="B48" s="34" t="inlineStr">
        <is>
          <t>NPV עם תמריץ</t>
        </is>
      </c>
      <c r="C48" s="9" t="inlineStr">
        <is>
          <t>ש"ח</t>
        </is>
      </c>
      <c r="F48" s="32">
        <f>SUM(F43:Z43)</f>
        <v/>
      </c>
    </row>
    <row r="49">
      <c r="B49" s="35" t="inlineStr">
        <is>
          <t>דלתא NPV — ערך התמריץ</t>
        </is>
      </c>
      <c r="C49" s="9" t="inlineStr">
        <is>
          <t>ש"ח</t>
        </is>
      </c>
      <c r="F49" s="36">
        <f>F48-F47</f>
        <v/>
      </c>
    </row>
    <row r="51">
      <c r="B51" s="33" t="inlineStr">
        <is>
          <t>ROI ללא תמריץ</t>
        </is>
      </c>
      <c r="C51" s="9" t="inlineStr">
        <is>
          <t>%</t>
        </is>
      </c>
      <c r="F51" s="37">
        <f>IF(ISNUMBER($F$12),(SUM(F40:Z40)+$F$12)/$F$12,"PENDING")</f>
        <v/>
      </c>
    </row>
    <row r="52">
      <c r="B52" s="34" t="inlineStr">
        <is>
          <t>ROI עם תמריץ</t>
        </is>
      </c>
      <c r="C52" s="9" t="inlineStr">
        <is>
          <t>%</t>
        </is>
      </c>
      <c r="F52" s="38">
        <f>IF(ISNUMBER($F$12),(SUM(F43:Z43)+$F$12)/$F$12,"PENDING")</f>
        <v/>
      </c>
    </row>
    <row r="53">
      <c r="B53" s="35" t="inlineStr">
        <is>
          <t>שיפור ROI בזכות התמריץ</t>
        </is>
      </c>
      <c r="C53" s="9" t="inlineStr">
        <is>
          <t>%</t>
        </is>
      </c>
      <c r="F53" s="11">
        <f>IF(ISNUMBER(F52),F52-F51,"PENDING")</f>
        <v/>
      </c>
    </row>
    <row r="55">
      <c r="B55" s="33" t="inlineStr">
        <is>
          <t>תקופת החזר — ללא תמריץ</t>
        </is>
      </c>
      <c r="C55" s="9" t="inlineStr">
        <is>
          <t>שנים</t>
        </is>
      </c>
      <c r="F55" s="39">
        <f>IF(ISNUMBER($F$18),$F$12/$F$18,"PENDING")</f>
        <v/>
      </c>
    </row>
    <row r="56">
      <c r="B56" s="34" t="inlineStr">
        <is>
          <t>תקופת החזר — עם תמריץ</t>
        </is>
      </c>
      <c r="C56" s="9" t="inlineStr">
        <is>
          <t>שנים</t>
        </is>
      </c>
      <c r="F56" s="40">
        <f>IF(ISNUMBER($F$18),$F$12/($F$18+G33),"PENDING")</f>
        <v/>
      </c>
    </row>
    <row r="58">
      <c r="B58" s="16" t="inlineStr">
        <is>
          <t>* תקופת ההחזר עם תמריץ משקפת את יתרון מגן המס בשנה הראשונה בלבד — לחישוב מדויק ראו NPV מצטבר</t>
        </is>
      </c>
    </row>
  </sheetData>
  <mergeCells count="7">
    <mergeCell ref="B25:Z25"/>
    <mergeCell ref="B11:Z11"/>
    <mergeCell ref="B20:Z20"/>
    <mergeCell ref="B28:Z28"/>
    <mergeCell ref="B8:Z8"/>
    <mergeCell ref="B35:Z35"/>
    <mergeCell ref="B46:H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1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18" customWidth="1" min="4" max="4"/>
    <col width="18" customWidth="1" min="5" max="5"/>
    <col width="15" customWidth="1" min="6" max="6"/>
    <col width="15" customWidth="1" min="7" max="7"/>
    <col width="15" customWidth="1" min="8" max="8"/>
    <col width="14" customWidth="1" min="9" max="9"/>
    <col width="14" customWidth="1" min="10" max="10"/>
  </cols>
  <sheetData>
    <row r="1">
      <c r="B1" s="1" t="inlineStr">
        <is>
          <t>מקרא צבעים</t>
        </is>
      </c>
    </row>
    <row r="2">
      <c r="B2" s="2" t="inlineStr">
        <is>
          <t>ערך להזנה</t>
        </is>
      </c>
    </row>
    <row r="3">
      <c r="B3" s="3" t="inlineStr">
        <is>
          <t>נתונים לעדכון / בקרה</t>
        </is>
      </c>
    </row>
    <row r="4">
      <c r="B4" s="4" t="inlineStr">
        <is>
          <t>כותרות משנה</t>
        </is>
      </c>
    </row>
    <row r="5">
      <c r="B5" s="5" t="inlineStr">
        <is>
          <t>תוצאת חישוב / טקסט</t>
        </is>
      </c>
    </row>
    <row r="6">
      <c r="B6" s="6" t="inlineStr">
        <is>
          <t>תוצאות</t>
        </is>
      </c>
    </row>
    <row r="7">
      <c r="B7" s="7" t="inlineStr">
        <is>
          <t>שורת תמריץ</t>
        </is>
      </c>
    </row>
    <row r="8">
      <c r="B8" s="20" t="inlineStr">
        <is>
          <t>סיכום — ניתוח פחת מואץ לפי טכנולוגיה</t>
        </is>
      </c>
    </row>
    <row r="9">
      <c r="B9" s="16" t="inlineStr">
        <is>
          <t>* פרמטר המדיניות (שיעור פחת מואץ בשנה 1) = 'פרמטרי תמריץ'!F10 — שנה שם ותוצאות מתעדכנות אוטומטית</t>
        </is>
      </c>
    </row>
    <row r="10">
      <c r="B10" s="29" t="inlineStr">
        <is>
          <t>טכנולוגיה</t>
        </is>
      </c>
      <c r="C10" s="29" t="inlineStr">
        <is>
          <t>NPV ללא תמריץ (₪)</t>
        </is>
      </c>
      <c r="D10" s="29" t="inlineStr">
        <is>
          <t>NPV עם תמריץ (₪)</t>
        </is>
      </c>
      <c r="E10" s="29" t="inlineStr">
        <is>
          <t>דלתא NPV (₪)</t>
        </is>
      </c>
      <c r="F10" s="29" t="inlineStr">
        <is>
          <t>ROI ללא תמריץ</t>
        </is>
      </c>
      <c r="G10" s="29" t="inlineStr">
        <is>
          <t>ROI עם תמריץ</t>
        </is>
      </c>
      <c r="H10" s="29" t="inlineStr">
        <is>
          <t>שיפור ROI</t>
        </is>
      </c>
      <c r="I10" s="29" t="inlineStr">
        <is>
          <t>תקופת החזר — ללא</t>
        </is>
      </c>
      <c r="J10" s="29" t="inlineStr">
        <is>
          <t>תקופת החזר — עם</t>
        </is>
      </c>
    </row>
    <row r="11">
      <c r="B11" s="13" t="inlineStr">
        <is>
          <t>משאבות חום (חימום מים)</t>
        </is>
      </c>
      <c r="C11" s="31">
        <f>'ניתוח - משאבות חום'!$F$47</f>
        <v/>
      </c>
      <c r="D11" s="32">
        <f>'ניתוח - משאבות חום'!$F$48</f>
        <v/>
      </c>
      <c r="E11" s="36">
        <f>'ניתוח - משאבות חום'!$F$49</f>
        <v/>
      </c>
      <c r="F11" s="37">
        <f>'ניתוח - משאבות חום'!$F$51</f>
        <v/>
      </c>
      <c r="G11" s="38">
        <f>'ניתוח - משאבות חום'!$F$52</f>
        <v/>
      </c>
      <c r="H11" s="11">
        <f>'ניתוח - משאבות חום'!$F$53</f>
        <v/>
      </c>
      <c r="I11" s="39">
        <f>'ניתוח - משאבות חום'!$F$55</f>
        <v/>
      </c>
      <c r="J11" s="40">
        <f>'ניתוח - משאבות חום'!$F$56</f>
        <v/>
      </c>
    </row>
    <row r="12">
      <c r="B12" s="13" t="inlineStr">
        <is>
          <t>צ'ילרים</t>
        </is>
      </c>
      <c r="C12" s="31">
        <f>'ניתוח - צ'ילרים'!$F$47</f>
        <v/>
      </c>
      <c r="D12" s="32">
        <f>'ניתוח - צ'ילרים'!$F$48</f>
        <v/>
      </c>
      <c r="E12" s="36">
        <f>'ניתוח - צ'ילרים'!$F$49</f>
        <v/>
      </c>
      <c r="F12" s="37">
        <f>'ניתוח - צ'ילרים'!$F$51</f>
        <v/>
      </c>
      <c r="G12" s="38">
        <f>'ניתוח - צ'ילרים'!$F$52</f>
        <v/>
      </c>
      <c r="H12" s="11">
        <f>'ניתוח - צ'ילרים'!$F$53</f>
        <v/>
      </c>
      <c r="I12" s="39">
        <f>'ניתוח - צ'ילרים'!$F$55</f>
        <v/>
      </c>
      <c r="J12" s="40">
        <f>'ניתוח - צ'ילרים'!$F$56</f>
        <v/>
      </c>
    </row>
    <row r="13">
      <c r="B13" s="13" t="inlineStr">
        <is>
          <t>מדחסי VSD</t>
        </is>
      </c>
      <c r="C13" s="31">
        <f>'ניתוח - מדחסי VSD'!$F$47</f>
        <v/>
      </c>
      <c r="D13" s="32">
        <f>'ניתוח - מדחסי VSD'!$F$48</f>
        <v/>
      </c>
      <c r="E13" s="36">
        <f>'ניתוח - מדחסי VSD'!$F$49</f>
        <v/>
      </c>
      <c r="F13" s="37">
        <f>'ניתוח - מדחסי VSD'!$F$51</f>
        <v/>
      </c>
      <c r="G13" s="38">
        <f>'ניתוח - מדחסי VSD'!$F$52</f>
        <v/>
      </c>
      <c r="H13" s="11">
        <f>'ניתוח - מדחסי VSD'!$F$53</f>
        <v/>
      </c>
      <c r="I13" s="39">
        <f>'ניתוח - מדחסי VSD'!$F$55</f>
        <v/>
      </c>
      <c r="J13" s="40">
        <f>'ניתוח - מדחסי VSD'!$F$56</f>
        <v/>
      </c>
    </row>
    <row r="14">
      <c r="B14" s="13" t="inlineStr">
        <is>
          <t>מערכות קיטור חשמליות</t>
        </is>
      </c>
      <c r="C14" s="31">
        <f>'ניתוח - קיטור חשמלי'!$F$47</f>
        <v/>
      </c>
      <c r="D14" s="32">
        <f>'ניתוח - קיטור חשמלי'!$F$48</f>
        <v/>
      </c>
      <c r="E14" s="36">
        <f>'ניתוח - קיטור חשמלי'!$F$49</f>
        <v/>
      </c>
      <c r="F14" s="37">
        <f>'ניתוח - קיטור חשמלי'!$F$51</f>
        <v/>
      </c>
      <c r="G14" s="38">
        <f>'ניתוח - קיטור חשמלי'!$F$52</f>
        <v/>
      </c>
      <c r="H14" s="11">
        <f>'ניתוח - קיטור חשמלי'!$F$53</f>
        <v/>
      </c>
      <c r="I14" s="39">
        <f>'ניתוח - קיטור חשמלי'!$F$55</f>
        <v/>
      </c>
      <c r="J14" s="40">
        <f>'ניתוח - קיטור חשמלי'!$F$56</f>
        <v/>
      </c>
    </row>
    <row r="16">
      <c r="B16" s="41" t="inlineStr">
        <is>
          <t>** CapEx וצריכת אנרגיה שנתית עדיין ממתינים לנתוני רפי — לאחר הזנתם כל התוצאות יתעדכנו אוטומטית.</t>
        </is>
      </c>
    </row>
  </sheetData>
  <mergeCells count="1">
    <mergeCell ref="B8:J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2026-05-31T07:48:01Z</dcterms:created>
  <dcterms:modified xsi:type="dcterms:W3CDTF">2026-05-31T07:48:01Z</dcterms:modified>
</cp:coreProperties>
</file>