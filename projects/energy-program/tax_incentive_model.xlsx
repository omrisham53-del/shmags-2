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נתונים והנחות" sheetId="1" state="visible" r:id="rId1"/>
    <sheet name="ניתו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"/>
    <numFmt numFmtId="166" formatCode="0.0&quot;×&quot;"/>
    <numFmt numFmtId="167" formatCode="#,##0.000"/>
    <numFmt numFmtId="168" formatCode="#,##0 ₪"/>
    <numFmt numFmtId="169" formatCode="0.0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C00000"/>
      <sz val="14"/>
    </font>
    <font>
      <name val="Arial"/>
      <i val="1"/>
      <color rgb="00595959"/>
      <sz val="9"/>
    </font>
    <font>
      <name val="Arial"/>
      <b val="1"/>
      <color rgb="00FFFFFF"/>
      <sz val="13"/>
    </font>
    <font>
      <name val="Arial"/>
      <b val="1"/>
      <color rgb="00C00000"/>
      <sz val="13"/>
    </font>
    <font>
      <name val="Arial"/>
      <i val="1"/>
      <color rgb="00FF0000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FFFFFF"/>
    </font>
    <font>
      <name val="Arial"/>
      <i val="1"/>
      <color rgb="00FF0000"/>
      <sz val="9"/>
    </font>
  </fonts>
  <fills count="1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6B6B"/>
      </patternFill>
    </fill>
    <fill>
      <patternFill patternType="solid">
        <fgColor rgb="004472C4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538135"/>
      </patternFill>
    </fill>
    <fill>
      <patternFill patternType="solid">
        <fgColor rgb="002E75B6"/>
      </patternFill>
    </fill>
    <fill>
      <patternFill patternType="solid">
        <fgColor rgb="007B6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right" vertical="center" readingOrder="2"/>
    </xf>
    <xf numFmtId="0" fontId="2" fillId="3" borderId="0" applyAlignment="1" pivotButton="0" quotePrefix="0" xfId="0">
      <alignment horizontal="right" vertical="center" readingOrder="2"/>
    </xf>
    <xf numFmtId="0" fontId="2" fillId="4" borderId="0" applyAlignment="1" pivotButton="0" quotePrefix="0" xfId="0">
      <alignment horizontal="right" vertical="center" readingOrder="2"/>
    </xf>
    <xf numFmtId="0" fontId="2" fillId="5" borderId="0" applyAlignment="1" pivotButton="0" quotePrefix="0" xfId="0">
      <alignment horizontal="right" vertical="center" readingOrder="2"/>
    </xf>
    <xf numFmtId="0" fontId="2" fillId="6" borderId="0" applyAlignment="1" pivotButton="0" quotePrefix="0" xfId="0">
      <alignment horizontal="right" vertical="center" readingOrder="2"/>
    </xf>
    <xf numFmtId="0" fontId="2" fillId="7" borderId="0" applyAlignment="1" pivotButton="0" quotePrefix="0" xfId="0">
      <alignment horizontal="right" vertical="center" readingOrder="2"/>
    </xf>
    <xf numFmtId="0" fontId="3" fillId="8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164" fontId="0" fillId="3" borderId="0" applyAlignment="1" pivotButton="0" quotePrefix="0" xfId="0">
      <alignment horizontal="center" vertical="center" readingOrder="2"/>
    </xf>
    <xf numFmtId="164" fontId="0" fillId="2" borderId="0" applyAlignment="1" pivotButton="0" quotePrefix="0" xfId="0">
      <alignment horizontal="center" vertical="center" readingOrder="2"/>
    </xf>
    <xf numFmtId="165" fontId="0" fillId="2" borderId="0" applyAlignment="1" pivotButton="0" quotePrefix="0" xfId="0">
      <alignment horizontal="center" vertical="center" readingOrder="2"/>
    </xf>
    <xf numFmtId="0" fontId="3" fillId="7" borderId="0" applyAlignment="1" pivotButton="0" quotePrefix="0" xfId="0">
      <alignment horizontal="right" vertical="center" readingOrder="2"/>
    </xf>
    <xf numFmtId="0" fontId="3" fillId="7" borderId="0" applyAlignment="1" pivotButton="0" quotePrefix="0" xfId="0">
      <alignment horizontal="center" vertical="center" readingOrder="2"/>
    </xf>
    <xf numFmtId="0" fontId="4" fillId="7" borderId="0" applyAlignment="1" pivotButton="0" quotePrefix="0" xfId="0">
      <alignment horizontal="right" vertical="center" readingOrder="2"/>
    </xf>
    <xf numFmtId="166" fontId="5" fillId="2" borderId="0" applyAlignment="1" pivotButton="0" quotePrefix="0" xfId="0">
      <alignment horizontal="center" vertical="center" readingOrder="2"/>
    </xf>
    <xf numFmtId="0" fontId="6" fillId="0" borderId="0" pivotButton="0" quotePrefix="0" xfId="0"/>
    <xf numFmtId="0" fontId="2" fillId="0" borderId="0" applyAlignment="1" pivotButton="0" quotePrefix="0" xfId="0">
      <alignment horizontal="right" vertical="center" readingOrder="2"/>
    </xf>
    <xf numFmtId="164" fontId="0" fillId="0" borderId="0" applyAlignment="1" pivotButton="0" quotePrefix="0" xfId="0">
      <alignment horizontal="center" vertical="center" readingOrder="2"/>
    </xf>
    <xf numFmtId="0" fontId="7" fillId="8" borderId="0" applyAlignment="1" pivotButton="0" quotePrefix="0" xfId="0">
      <alignment horizontal="right" vertical="center" readingOrder="2"/>
    </xf>
    <xf numFmtId="167" fontId="0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3" fillId="9" borderId="0" applyAlignment="1" pivotButton="0" quotePrefix="0" xfId="0">
      <alignment horizontal="right" vertical="center" readingOrder="2"/>
    </xf>
    <xf numFmtId="0" fontId="1" fillId="10" borderId="0" applyAlignment="1" pivotButton="0" quotePrefix="0" xfId="0">
      <alignment horizontal="right" vertical="center" readingOrder="2"/>
    </xf>
    <xf numFmtId="0" fontId="9" fillId="0" borderId="0" applyAlignment="1" pivotButton="0" quotePrefix="0" xfId="0">
      <alignment horizontal="right" vertical="center" readingOrder="2"/>
    </xf>
    <xf numFmtId="0" fontId="9" fillId="2" borderId="0" applyAlignment="1" pivotButton="0" quotePrefix="0" xfId="0">
      <alignment horizontal="center" vertical="center" readingOrder="2"/>
    </xf>
    <xf numFmtId="168" fontId="0" fillId="0" borderId="0" applyAlignment="1" pivotButton="0" quotePrefix="0" xfId="0">
      <alignment horizontal="center" vertical="center" readingOrder="2"/>
    </xf>
    <xf numFmtId="169" fontId="0" fillId="3" borderId="0" applyAlignment="1" pivotButton="0" quotePrefix="0" xfId="0">
      <alignment horizontal="center" vertical="center" readingOrder="2"/>
    </xf>
    <xf numFmtId="3" fontId="0" fillId="0" borderId="0" applyAlignment="1" pivotButton="0" quotePrefix="0" xfId="0">
      <alignment horizontal="center" vertical="center" readingOrder="2"/>
    </xf>
    <xf numFmtId="167" fontId="0" fillId="0" borderId="0" applyAlignment="1" pivotButton="0" quotePrefix="0" xfId="0">
      <alignment horizontal="center" vertical="center" readingOrder="2"/>
    </xf>
    <xf numFmtId="0" fontId="1" fillId="10" borderId="0" applyAlignment="1" pivotButton="0" quotePrefix="0" xfId="0">
      <alignment horizontal="center" vertical="center" readingOrder="2"/>
    </xf>
    <xf numFmtId="168" fontId="0" fillId="4" borderId="0" applyAlignment="1" pivotButton="0" quotePrefix="0" xfId="0">
      <alignment horizontal="center" vertical="center" readingOrder="2"/>
    </xf>
    <xf numFmtId="168" fontId="0" fillId="5" borderId="0" applyAlignment="1" pivotButton="0" quotePrefix="0" xfId="0">
      <alignment horizontal="center" vertical="center" readingOrder="2"/>
    </xf>
    <xf numFmtId="168" fontId="0" fillId="6" borderId="0" applyAlignment="1" pivotButton="0" quotePrefix="0" xfId="0">
      <alignment horizontal="center" vertical="center" readingOrder="2"/>
    </xf>
    <xf numFmtId="0" fontId="1" fillId="11" borderId="0" applyAlignment="1" pivotButton="0" quotePrefix="0" xfId="0">
      <alignment horizontal="right" vertical="center" readingOrder="2"/>
    </xf>
    <xf numFmtId="0" fontId="1" fillId="12" borderId="0" applyAlignment="1" pivotButton="0" quotePrefix="0" xfId="0">
      <alignment horizontal="right" vertical="center" readingOrder="2"/>
    </xf>
    <xf numFmtId="0" fontId="1" fillId="13" borderId="0" applyAlignment="1" pivotButton="0" quotePrefix="0" xfId="0">
      <alignment horizontal="right" vertical="center" readingOrder="2"/>
    </xf>
    <xf numFmtId="0" fontId="10" fillId="4" borderId="0" applyAlignment="1" pivotButton="0" quotePrefix="0" xfId="0">
      <alignment horizontal="right" vertical="center" readingOrder="2"/>
    </xf>
    <xf numFmtId="0" fontId="10" fillId="5" borderId="0" applyAlignment="1" pivotButton="0" quotePrefix="0" xfId="0">
      <alignment horizontal="right" vertical="center" readingOrder="2"/>
    </xf>
    <xf numFmtId="0" fontId="10" fillId="6" borderId="0" applyAlignment="1" pivotButton="0" quotePrefix="0" xfId="0">
      <alignment horizontal="right" vertical="center" readingOrder="2"/>
    </xf>
    <xf numFmtId="0" fontId="10" fillId="2" borderId="0" applyAlignment="1" pivotButton="0" quotePrefix="0" xfId="0">
      <alignment horizontal="right" vertical="center" readingOrder="2"/>
    </xf>
    <xf numFmtId="168" fontId="0" fillId="2" borderId="0" applyAlignment="1" pivotButton="0" quotePrefix="0" xfId="0">
      <alignment horizontal="center" vertical="center" readingOrder="2"/>
    </xf>
    <xf numFmtId="0" fontId="10" fillId="7" borderId="0" applyAlignment="1" pivotButton="0" quotePrefix="0" xfId="0">
      <alignment horizontal="right" vertical="center" readingOrder="2"/>
    </xf>
    <xf numFmtId="168" fontId="0" fillId="7" borderId="0" applyAlignment="1" pivotButton="0" quotePrefix="0" xfId="0">
      <alignment horizontal="center" vertical="center" readingOrder="2"/>
    </xf>
    <xf numFmtId="164" fontId="0" fillId="4" borderId="0" applyAlignment="1" pivotButton="0" quotePrefix="0" xfId="0">
      <alignment horizontal="center" vertical="center" readingOrder="2"/>
    </xf>
    <xf numFmtId="164" fontId="0" fillId="5" borderId="0" applyAlignment="1" pivotButton="0" quotePrefix="0" xfId="0">
      <alignment horizontal="center" vertical="center" readingOrder="2"/>
    </xf>
    <xf numFmtId="164" fontId="0" fillId="6" borderId="0" applyAlignment="1" pivotButton="0" quotePrefix="0" xfId="0">
      <alignment horizontal="center" vertical="center" readingOrder="2"/>
    </xf>
    <xf numFmtId="169" fontId="6" fillId="2" borderId="0" applyAlignment="1" pivotButton="0" quotePrefix="0" xfId="0">
      <alignment horizontal="center" vertical="center" readingOrder="2"/>
    </xf>
    <xf numFmtId="0" fontId="11" fillId="7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169" fontId="11" fillId="7" borderId="0" applyAlignment="1" pivotButton="0" quotePrefix="0" xfId="0">
      <alignment horizontal="center" vertical="center" readingOrder="2"/>
    </xf>
    <xf numFmtId="169" fontId="0" fillId="2" borderId="0" applyAlignment="1" pivotButton="0" quotePrefix="0" xfId="0">
      <alignment horizontal="center" vertical="center" readingOrder="2"/>
    </xf>
    <xf numFmtId="169" fontId="0" fillId="7" borderId="0" applyAlignment="1" pivotButton="0" quotePrefix="0" xfId="0">
      <alignment horizontal="center" vertical="center" readingOrder="2"/>
    </xf>
    <xf numFmtId="0" fontId="13" fillId="0" borderId="0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25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9">
      <c r="B9" s="8" t="inlineStr">
        <is>
          <t>1. פרמטרים פיננסיים</t>
        </is>
      </c>
    </row>
    <row r="10">
      <c r="B10" s="3" t="inlineStr">
        <is>
          <t>שיעור מס חברות</t>
        </is>
      </c>
      <c r="C10" s="9" t="inlineStr">
        <is>
          <t>%</t>
        </is>
      </c>
      <c r="D10" s="9" t="inlineStr">
        <is>
          <t>רשות המסים</t>
        </is>
      </c>
      <c r="E10" s="9" t="inlineStr"/>
      <c r="F10" s="10" t="n">
        <v>0.23</v>
      </c>
    </row>
    <row r="11">
      <c r="B11" s="2" t="inlineStr">
        <is>
          <t>שיעור היוון (יזמי / פרטי)</t>
        </is>
      </c>
      <c r="C11" s="9" t="inlineStr">
        <is>
          <t>%</t>
        </is>
      </c>
      <c r="D11" s="9" t="inlineStr">
        <is>
          <t>הנחת עבודה</t>
        </is>
      </c>
      <c r="E11" s="9" t="inlineStr">
        <is>
          <t>6% לאומי / 10% תעשייתי — ממתין להחלטת דניאל</t>
        </is>
      </c>
      <c r="F11" s="11" t="n">
        <v>0.1</v>
      </c>
    </row>
    <row r="12">
      <c r="B12" s="2" t="inlineStr">
        <is>
          <t>מחיר חשמל ממוצע לתעשייה</t>
        </is>
      </c>
      <c r="C12" s="9" t="inlineStr">
        <is>
          <t>אג'/קוט"ש</t>
        </is>
      </c>
      <c r="D12" s="9" t="inlineStr">
        <is>
          <t>חברת החשמל</t>
        </is>
      </c>
      <c r="E12" s="9" t="inlineStr">
        <is>
          <t>ממוצע SMP 2024</t>
        </is>
      </c>
      <c r="F12" s="12" t="n">
        <v>14</v>
      </c>
    </row>
    <row r="14">
      <c r="B14" s="8" t="inlineStr">
        <is>
          <t>2. פרמטר תמריץ — מכפיל פחת (פחת מואץ)</t>
        </is>
      </c>
    </row>
    <row r="15">
      <c r="B15" s="13" t="inlineStr">
        <is>
          <t>מכפיל שיעור הפחת  ←  פרמטר המדיניות המרכזי</t>
        </is>
      </c>
      <c r="C15" s="14" t="inlineStr">
        <is>
          <t>מכפיל</t>
        </is>
      </c>
      <c r="D15" s="9" t="inlineStr">
        <is>
          <t>פרמטר ניתן לשינוי</t>
        </is>
      </c>
      <c r="E15" s="15" t="inlineStr">
        <is>
          <t>1.0 = ללא תמריץ | 2.0 = קפריסין (כפול, 5 שנים) | 5.0 = 2 שנים</t>
        </is>
      </c>
      <c r="F15" s="16" t="n">
        <v>2</v>
      </c>
    </row>
    <row r="16">
      <c r="B16" s="17" t="inlineStr">
        <is>
          <t>מכפיל 2.0 + פחת סטנדרטי 10% = שיעור מואץ 20%/שנה למשך 5 שנים. סה"כ ניכוי = 100% CapEx — היתרון הוא קדמות הניכוי (Time Value of Money).</t>
        </is>
      </c>
    </row>
    <row r="17">
      <c r="B17" s="17" t="inlineStr">
        <is>
          <t>דוגמאות: 1.0 = 10%/שנה × 10 שנים (סטנדרטי) | 2.0 = 20%/שנה × 5 שנים | 3.33 = 33%/שנה × 3 שנים | 5.0 = 50%/שנה × 2 שנים (מודל קפריסין/אירלנד)</t>
        </is>
      </c>
    </row>
    <row r="19">
      <c r="B19" s="8" t="inlineStr">
        <is>
          <t>3. שיעורי פחת סטנדרטיים — תקנות מס הכנסה</t>
        </is>
      </c>
    </row>
    <row r="20">
      <c r="B20" s="18" t="inlineStr">
        <is>
          <t>משאבות חום</t>
        </is>
      </c>
      <c r="C20" s="9" t="inlineStr">
        <is>
          <t>% לשנה</t>
        </is>
      </c>
      <c r="D20" s="9" t="inlineStr">
        <is>
          <t>תקנות פחת</t>
        </is>
      </c>
      <c r="E20" s="9" t="inlineStr">
        <is>
          <t>ציוד מכני</t>
        </is>
      </c>
      <c r="F20" s="19" t="n">
        <v>0.1</v>
      </c>
    </row>
    <row r="21">
      <c r="B21" s="18" t="inlineStr">
        <is>
          <t>צ'ילרים</t>
        </is>
      </c>
      <c r="C21" s="9" t="inlineStr">
        <is>
          <t>% לשנה</t>
        </is>
      </c>
      <c r="D21" s="9" t="inlineStr">
        <is>
          <t>תקנות פחת</t>
        </is>
      </c>
      <c r="E21" s="9" t="inlineStr">
        <is>
          <t>ציוד מכני</t>
        </is>
      </c>
      <c r="F21" s="19" t="n">
        <v>0.1</v>
      </c>
    </row>
    <row r="22">
      <c r="B22" s="18" t="inlineStr">
        <is>
          <t>מדחסי VSD</t>
        </is>
      </c>
      <c r="C22" s="9" t="inlineStr">
        <is>
          <t>% לשנה</t>
        </is>
      </c>
      <c r="D22" s="9" t="inlineStr">
        <is>
          <t>תקנות פחת</t>
        </is>
      </c>
      <c r="E22" s="9" t="inlineStr">
        <is>
          <t>ציוד מכני</t>
        </is>
      </c>
      <c r="F22" s="19" t="n">
        <v>0.1</v>
      </c>
    </row>
    <row r="23">
      <c r="B23" s="18" t="inlineStr">
        <is>
          <t>מערכות קיטור</t>
        </is>
      </c>
      <c r="C23" s="9" t="inlineStr">
        <is>
          <t>% לשנה</t>
        </is>
      </c>
      <c r="D23" s="9" t="inlineStr">
        <is>
          <t>תקנות פחת</t>
        </is>
      </c>
      <c r="E23" s="9" t="inlineStr">
        <is>
          <t>ציוד מכני</t>
        </is>
      </c>
      <c r="F23" s="19" t="n">
        <v>0.1</v>
      </c>
    </row>
    <row r="25">
      <c r="B25" s="17" t="inlineStr">
        <is>
          <t>* שיעורי הפחת הם הנחות עבודה — יש לוודא מול יועץ מס לפני הגשה</t>
        </is>
      </c>
    </row>
  </sheetData>
  <mergeCells count="5">
    <mergeCell ref="B14:H14"/>
    <mergeCell ref="B9:H9"/>
    <mergeCell ref="B16:F16"/>
    <mergeCell ref="B19:H19"/>
    <mergeCell ref="B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325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8">
      <c r="B8" s="20" t="inlineStr">
        <is>
          <t>ניתוח כלכלי — פחת מואץ לפי טכנולוגיה | השוואת שלושה תרחישים</t>
        </is>
      </c>
    </row>
    <row r="10">
      <c r="B10" s="8" t="inlineStr">
        <is>
          <t>1. פרמטרים פיננסיים</t>
        </is>
      </c>
    </row>
    <row r="11">
      <c r="B11" s="3" t="inlineStr">
        <is>
          <t>שיעור מס חברות</t>
        </is>
      </c>
      <c r="C11" s="9" t="inlineStr">
        <is>
          <t>%</t>
        </is>
      </c>
      <c r="D11" s="9" t="inlineStr">
        <is>
          <t>נתונים והנחות</t>
        </is>
      </c>
      <c r="F11" s="10">
        <f>'נתונים והנחות'!$F$10</f>
        <v/>
      </c>
    </row>
    <row r="12">
      <c r="B12" s="2" t="inlineStr">
        <is>
          <t>שיעור היוון</t>
        </is>
      </c>
      <c r="C12" s="9" t="inlineStr">
        <is>
          <t>%</t>
        </is>
      </c>
      <c r="D12" s="9" t="inlineStr">
        <is>
          <t>נתונים והנחות</t>
        </is>
      </c>
      <c r="F12" s="11">
        <f>'נתונים והנחות'!$F$11</f>
        <v/>
      </c>
    </row>
    <row r="13">
      <c r="B13" s="2" t="inlineStr">
        <is>
          <t>מחיר חשמל (₪/קוט"ש)</t>
        </is>
      </c>
      <c r="C13" s="9" t="inlineStr">
        <is>
          <t>₪/קוט"ש</t>
        </is>
      </c>
      <c r="D13" s="9" t="inlineStr">
        <is>
          <t>נתונים והנחות</t>
        </is>
      </c>
      <c r="F13" s="21">
        <f>'נתונים והנחות'!$F$12/100</f>
        <v/>
      </c>
    </row>
    <row r="15">
      <c r="B15" s="8" t="inlineStr">
        <is>
          <t>2. פרמטר תמריץ — מכפיל פחת</t>
        </is>
      </c>
    </row>
    <row r="16">
      <c r="B16" s="13" t="inlineStr">
        <is>
          <t>מכפיל שיעור הפחת  ←  שנה ב'נתונים והנחות'!F15</t>
        </is>
      </c>
      <c r="C16" s="14" t="inlineStr">
        <is>
          <t>מכפיל</t>
        </is>
      </c>
      <c r="D16" s="9" t="inlineStr">
        <is>
          <t>נתונים והנחות</t>
        </is>
      </c>
      <c r="F16" s="22">
        <f>'נתונים והנחות'!$F$15</f>
        <v/>
      </c>
    </row>
    <row r="17">
      <c r="B17" s="23" t="inlineStr">
        <is>
          <t>מכפיל × פחת סטנדרטי = שיעור מואץ | סה"כ ניכוי = 100% CapEx | תקופת פחת = 1 ÷ שיעור מואץ</t>
        </is>
      </c>
    </row>
    <row r="19">
      <c r="B19" s="8" t="inlineStr">
        <is>
          <t>3. ניתוחים לפי טכנולוגיה</t>
        </is>
      </c>
    </row>
    <row r="21">
      <c r="B21" s="24" t="inlineStr">
        <is>
          <t>3.1  משאבות חום (חימום מים)</t>
        </is>
      </c>
    </row>
    <row r="22">
      <c r="B22" s="23" t="inlineStr">
        <is>
          <t>* החלפת דוד חשמל במשאבת חום | חיסכון אנרגטי ~50% | אורך חיים: 10 vs 15 שנה</t>
        </is>
      </c>
    </row>
    <row r="23">
      <c r="B23" s="25" t="inlineStr">
        <is>
          <t>א. נתוני השקעה וציוד</t>
        </is>
      </c>
    </row>
    <row r="24">
      <c r="B24" s="18" t="inlineStr">
        <is>
          <t>CapEx — דוד חשמל קונבנציונלי</t>
        </is>
      </c>
      <c r="C24" s="9" t="inlineStr">
        <is>
          <t>₪</t>
        </is>
      </c>
      <c r="D24" s="9" t="inlineStr">
        <is>
          <t>נתוני רפי</t>
        </is>
      </c>
      <c r="E24" s="26" t="inlineStr">
        <is>
          <t>⚠ ממתין</t>
        </is>
      </c>
      <c r="F24" s="27" t="inlineStr">
        <is>
          <t>PENDING</t>
        </is>
      </c>
    </row>
    <row r="25">
      <c r="B25" s="18" t="inlineStr">
        <is>
          <t>CapEx — משאבות חום (חימום מים)</t>
        </is>
      </c>
      <c r="C25" s="9" t="inlineStr">
        <is>
          <t>₪</t>
        </is>
      </c>
      <c r="D25" s="9" t="inlineStr">
        <is>
          <t>נתוני רפי</t>
        </is>
      </c>
      <c r="E25" s="26" t="inlineStr">
        <is>
          <t>⚠ ממתין</t>
        </is>
      </c>
      <c r="F25" s="27" t="inlineStr">
        <is>
          <t>PENDING</t>
        </is>
      </c>
    </row>
    <row r="26">
      <c r="B26" s="18" t="inlineStr">
        <is>
          <t>ΔCapEx — השקעה נוספת</t>
        </is>
      </c>
      <c r="C26" s="9" t="inlineStr">
        <is>
          <t>₪</t>
        </is>
      </c>
      <c r="D26" s="9" t="inlineStr">
        <is>
          <t>חישוב</t>
        </is>
      </c>
      <c r="E26" s="9">
        <f> CapEx יעיל − CapEx בסיסי</f>
        <v/>
      </c>
      <c r="F26" s="28">
        <f>IF(ISNUMBER($F$25)*ISNUMBER($F$24),$F$25-$F$24,"PENDING")</f>
        <v/>
      </c>
    </row>
    <row r="27">
      <c r="B27" s="18" t="inlineStr">
        <is>
          <t>אורך חיי ציוד — דוד חשמל קונבנציונלי</t>
        </is>
      </c>
      <c r="C27" s="9" t="inlineStr">
        <is>
          <t>שנים</t>
        </is>
      </c>
      <c r="D27" s="9" t="inlineStr">
        <is>
          <t>ממצאי הנדסה</t>
        </is>
      </c>
      <c r="E27" s="9" t="inlineStr">
        <is>
          <t>ברירת מחדל: 15 שנה — לאשר מול רפי</t>
        </is>
      </c>
      <c r="F27" s="29" t="n">
        <v>15</v>
      </c>
    </row>
    <row r="28">
      <c r="B28" s="18" t="inlineStr">
        <is>
          <t>אורך חיי ציוד — משאבות חום (חימום מים)</t>
        </is>
      </c>
      <c r="C28" s="9" t="inlineStr">
        <is>
          <t>שנים</t>
        </is>
      </c>
      <c r="D28" s="9" t="inlineStr">
        <is>
          <t>ממצאי הנדסה</t>
        </is>
      </c>
      <c r="E28" s="9" t="inlineStr">
        <is>
          <t>ברירת מחדל: 10 שנה — לאשר מול רפי</t>
        </is>
      </c>
      <c r="F28" s="29" t="n">
        <v>10</v>
      </c>
    </row>
    <row r="29">
      <c r="B29" s="18" t="inlineStr">
        <is>
          <t>צריכת אנרגיה שנתית (ציוד בסיסי)</t>
        </is>
      </c>
      <c r="C29" s="9" t="inlineStr">
        <is>
          <t>קוט"ש/שנה</t>
        </is>
      </c>
      <c r="D29" s="9" t="inlineStr">
        <is>
          <t>נתוני רפי</t>
        </is>
      </c>
      <c r="E29" s="26" t="inlineStr">
        <is>
          <t>⚠ ממתין</t>
        </is>
      </c>
      <c r="F29" s="27" t="inlineStr">
        <is>
          <t>PENDING</t>
        </is>
      </c>
    </row>
    <row r="30">
      <c r="B30" s="18" t="inlineStr">
        <is>
          <t>חיסכון אנרגטי</t>
        </is>
      </c>
      <c r="C30" s="9" t="inlineStr">
        <is>
          <t>% מצריכה בסיסית</t>
        </is>
      </c>
      <c r="D30" s="9" t="inlineStr">
        <is>
          <t>ממצאי הנדסה</t>
        </is>
      </c>
      <c r="E30" s="9" t="inlineStr"/>
      <c r="F30" s="10" t="n">
        <v>0.5</v>
      </c>
    </row>
    <row r="31">
      <c r="B31" s="18" t="inlineStr">
        <is>
          <t>צריכת אנרגיה שנתית (ציוד יעיל)</t>
        </is>
      </c>
      <c r="C31" s="9" t="inlineStr">
        <is>
          <t>קוט"ש/שנה</t>
        </is>
      </c>
      <c r="D31" s="9" t="inlineStr">
        <is>
          <t>חישוב</t>
        </is>
      </c>
      <c r="E31" s="9">
        <f> צריכה בסיסית × (1 − חיסכון)</f>
        <v/>
      </c>
      <c r="F31" s="30">
        <f>IF(ISNUMBER($F$29),$F$29*(1-$F$30),"PENDING")</f>
        <v/>
      </c>
    </row>
    <row r="32">
      <c r="B32" s="18" t="inlineStr">
        <is>
          <t>גורם שחיקת ביצועים</t>
        </is>
      </c>
      <c r="C32" s="9" t="inlineStr">
        <is>
          <t>% לשנה</t>
        </is>
      </c>
      <c r="D32" s="9" t="inlineStr">
        <is>
          <t>הנחת עבודה</t>
        </is>
      </c>
      <c r="E32" s="9" t="inlineStr">
        <is>
          <t>ירידה שנתית בחיסכון האנרגטי | 0.5%-1.0%/שנה — לאשר מול רפי</t>
        </is>
      </c>
      <c r="F32" s="11" t="n">
        <v>0.005</v>
      </c>
    </row>
    <row r="33">
      <c r="B33" s="18" t="inlineStr">
        <is>
          <t>מחיר חשמל</t>
        </is>
      </c>
      <c r="C33" s="9" t="inlineStr">
        <is>
          <t>₪/קוט"ש</t>
        </is>
      </c>
      <c r="D33" s="9" t="inlineStr">
        <is>
          <t>גיליון הנחות</t>
        </is>
      </c>
      <c r="F33" s="31">
        <f>'נתונים והנחות'!$F$12/100</f>
        <v/>
      </c>
    </row>
    <row r="34">
      <c r="B34" s="18" t="inlineStr">
        <is>
          <t>OPEX אנרגיה — בסיסי (שנה 1)</t>
        </is>
      </c>
      <c r="C34" s="9" t="inlineStr">
        <is>
          <t>₪/שנה</t>
        </is>
      </c>
      <c r="D34" s="9" t="inlineStr">
        <is>
          <t>חישוב</t>
        </is>
      </c>
      <c r="E34" s="9">
        <f> kWh בסיסי × מחיר חשמל</f>
        <v/>
      </c>
      <c r="F34" s="28">
        <f>IF(ISNUMBER($F$29),$F$29*$F$33,"PENDING")</f>
        <v/>
      </c>
    </row>
    <row r="35">
      <c r="B35" s="18" t="inlineStr">
        <is>
          <t>OPEX אנרגיה — יעיל (שנה 1)</t>
        </is>
      </c>
      <c r="C35" s="9" t="inlineStr">
        <is>
          <t>₪/שנה</t>
        </is>
      </c>
      <c r="D35" s="9" t="inlineStr">
        <is>
          <t>חישוב</t>
        </is>
      </c>
      <c r="E35" s="9">
        <f> kWh יעיל × מחיר חשמל</f>
        <v/>
      </c>
      <c r="F35" s="28">
        <f>IF(ISNUMBER($F$31),$F$31*$F$33,"PENDING")</f>
        <v/>
      </c>
    </row>
    <row r="36">
      <c r="B36" s="18" t="inlineStr">
        <is>
          <t>OPEX אחר — בסיסי (תחזוקה, חלקים וכו')</t>
        </is>
      </c>
      <c r="C36" s="9" t="inlineStr">
        <is>
          <t>₪/שנה</t>
        </is>
      </c>
      <c r="D36" s="9" t="inlineStr">
        <is>
          <t>נתוני רפי</t>
        </is>
      </c>
      <c r="E36" s="26" t="inlineStr">
        <is>
          <t>⚠ ממתין — תחזוקה, חלפים, ביטוח</t>
        </is>
      </c>
      <c r="F36" s="27" t="inlineStr">
        <is>
          <t>PENDING</t>
        </is>
      </c>
    </row>
    <row r="37">
      <c r="B37" s="18" t="inlineStr">
        <is>
          <t>OPEX אחר — יעיל (תחזוקה, חלקים וכו')</t>
        </is>
      </c>
      <c r="C37" s="9" t="inlineStr">
        <is>
          <t>₪/שנה</t>
        </is>
      </c>
      <c r="D37" s="9" t="inlineStr">
        <is>
          <t>נתוני רפי</t>
        </is>
      </c>
      <c r="E37" s="26" t="inlineStr">
        <is>
          <t>⚠ ממתין — תחזוקה, חלפים, ביטוח</t>
        </is>
      </c>
      <c r="F37" s="27" t="inlineStr">
        <is>
          <t>PENDING</t>
        </is>
      </c>
    </row>
    <row r="39">
      <c r="B39" s="25" t="inlineStr">
        <is>
          <t>ב. לוחות פחת (ציוד בסיסי vs. יעיל)</t>
        </is>
      </c>
    </row>
    <row r="40">
      <c r="B40" s="32" t="inlineStr">
        <is>
          <t>פרמטר</t>
        </is>
      </c>
      <c r="C40" s="32" t="inlineStr">
        <is>
          <t>יחידות</t>
        </is>
      </c>
      <c r="D40" s="32" t="inlineStr">
        <is>
          <t>מקור</t>
        </is>
      </c>
      <c r="E40" s="32" t="inlineStr">
        <is>
          <t>הערות</t>
        </is>
      </c>
      <c r="F40" s="32" t="inlineStr">
        <is>
          <t>שנה 0 (השקעה)</t>
        </is>
      </c>
      <c r="G40" s="32" t="inlineStr">
        <is>
          <t>שנה 1</t>
        </is>
      </c>
      <c r="H40" s="32" t="inlineStr">
        <is>
          <t>שנה 2</t>
        </is>
      </c>
      <c r="I40" s="32" t="inlineStr">
        <is>
          <t>שנה 3</t>
        </is>
      </c>
      <c r="J40" s="32" t="inlineStr">
        <is>
          <t>שנה 4</t>
        </is>
      </c>
      <c r="K40" s="32" t="inlineStr">
        <is>
          <t>שנה 5</t>
        </is>
      </c>
      <c r="L40" s="32" t="inlineStr">
        <is>
          <t>שנה 6</t>
        </is>
      </c>
      <c r="M40" s="32" t="inlineStr">
        <is>
          <t>שנה 7</t>
        </is>
      </c>
      <c r="N40" s="32" t="inlineStr">
        <is>
          <t>שנה 8</t>
        </is>
      </c>
      <c r="O40" s="32" t="inlineStr">
        <is>
          <t>שנה 9</t>
        </is>
      </c>
      <c r="P40" s="32" t="inlineStr">
        <is>
          <t>שנה 10</t>
        </is>
      </c>
      <c r="Q40" s="32" t="inlineStr">
        <is>
          <t>שנה 11</t>
        </is>
      </c>
      <c r="R40" s="32" t="inlineStr">
        <is>
          <t>שנה 12</t>
        </is>
      </c>
      <c r="S40" s="32" t="inlineStr">
        <is>
          <t>שנה 13</t>
        </is>
      </c>
      <c r="T40" s="32" t="inlineStr">
        <is>
          <t>שנה 14</t>
        </is>
      </c>
      <c r="U40" s="32" t="inlineStr">
        <is>
          <t>שנה 15</t>
        </is>
      </c>
      <c r="V40" s="32" t="inlineStr">
        <is>
          <t>שנה 16</t>
        </is>
      </c>
      <c r="W40" s="32" t="inlineStr">
        <is>
          <t>שנה 17</t>
        </is>
      </c>
      <c r="X40" s="32" t="inlineStr">
        <is>
          <t>שנה 18</t>
        </is>
      </c>
      <c r="Y40" s="32" t="inlineStr">
        <is>
          <t>שנה 19</t>
        </is>
      </c>
      <c r="Z40" s="32" t="inlineStr">
        <is>
          <t>שנה 20</t>
        </is>
      </c>
    </row>
    <row r="41">
      <c r="B41" s="4" t="inlineStr">
        <is>
          <t>פחת סטנדרטי — דוד חשמל קונבנציונלי</t>
        </is>
      </c>
      <c r="C41" s="9" t="inlineStr">
        <is>
          <t>₪</t>
        </is>
      </c>
      <c r="D41" s="9" t="inlineStr">
        <is>
          <t>חישוב</t>
        </is>
      </c>
      <c r="E41" s="9" t="inlineStr">
        <is>
          <t>קו ישר | 10%/שנה | עד 10 שנים | CapEx בסיסי</t>
        </is>
      </c>
      <c r="F41" s="33" t="n">
        <v>0</v>
      </c>
      <c r="G41" s="33">
        <f>IF(ISNUMBER($F$24),$F$24*0.1,0)</f>
        <v/>
      </c>
      <c r="H41" s="33">
        <f>IF(ISNUMBER($F$24),$F$24*0.1,0)</f>
        <v/>
      </c>
      <c r="I41" s="33">
        <f>IF(ISNUMBER($F$24),$F$24*0.1,0)</f>
        <v/>
      </c>
      <c r="J41" s="33">
        <f>IF(ISNUMBER($F$24),$F$24*0.1,0)</f>
        <v/>
      </c>
      <c r="K41" s="33">
        <f>IF(ISNUMBER($F$24),$F$24*0.1,0)</f>
        <v/>
      </c>
      <c r="L41" s="33">
        <f>IF(ISNUMBER($F$24),$F$24*0.1,0)</f>
        <v/>
      </c>
      <c r="M41" s="33">
        <f>IF(ISNUMBER($F$24),$F$24*0.1,0)</f>
        <v/>
      </c>
      <c r="N41" s="33">
        <f>IF(ISNUMBER($F$24),$F$24*0.1,0)</f>
        <v/>
      </c>
      <c r="O41" s="33">
        <f>IF(ISNUMBER($F$24),$F$24*0.1,0)</f>
        <v/>
      </c>
      <c r="P41" s="33">
        <f>IF(ISNUMBER($F$24),$F$24*0.1,0)</f>
        <v/>
      </c>
      <c r="Q41" s="33">
        <f>0</f>
        <v/>
      </c>
      <c r="R41" s="33">
        <f>0</f>
        <v/>
      </c>
      <c r="S41" s="33">
        <f>0</f>
        <v/>
      </c>
      <c r="T41" s="33">
        <f>0</f>
        <v/>
      </c>
      <c r="U41" s="33">
        <f>0</f>
        <v/>
      </c>
      <c r="V41" s="33">
        <f>0</f>
        <v/>
      </c>
      <c r="W41" s="33">
        <f>0</f>
        <v/>
      </c>
      <c r="X41" s="33">
        <f>0</f>
        <v/>
      </c>
      <c r="Y41" s="33">
        <f>0</f>
        <v/>
      </c>
      <c r="Z41" s="33">
        <f>0</f>
        <v/>
      </c>
    </row>
    <row r="42">
      <c r="B42" s="4" t="inlineStr">
        <is>
          <t>מגן מס — דוד חשמל קונבנציונלי</t>
        </is>
      </c>
      <c r="C42" s="9" t="inlineStr">
        <is>
          <t>₪</t>
        </is>
      </c>
      <c r="D42" s="9" t="inlineStr">
        <is>
          <t>חישוב</t>
        </is>
      </c>
      <c r="E42" s="9">
        <f> פחת × שיעור מס</f>
        <v/>
      </c>
      <c r="F42" s="33" t="n">
        <v>0</v>
      </c>
      <c r="G42" s="33">
        <f>G41*'נתונים והנחות'!$F$10</f>
        <v/>
      </c>
      <c r="H42" s="33">
        <f>H41*'נתונים והנחות'!$F$10</f>
        <v/>
      </c>
      <c r="I42" s="33">
        <f>I41*'נתונים והנחות'!$F$10</f>
        <v/>
      </c>
      <c r="J42" s="33">
        <f>J41*'נתונים והנחות'!$F$10</f>
        <v/>
      </c>
      <c r="K42" s="33">
        <f>K41*'נתונים והנחות'!$F$10</f>
        <v/>
      </c>
      <c r="L42" s="33">
        <f>L41*'נתונים והנחות'!$F$10</f>
        <v/>
      </c>
      <c r="M42" s="33">
        <f>M41*'נתונים והנחות'!$F$10</f>
        <v/>
      </c>
      <c r="N42" s="33">
        <f>N41*'נתונים והנחות'!$F$10</f>
        <v/>
      </c>
      <c r="O42" s="33">
        <f>O41*'נתונים והנחות'!$F$10</f>
        <v/>
      </c>
      <c r="P42" s="33">
        <f>P41*'נתונים והנחות'!$F$10</f>
        <v/>
      </c>
      <c r="Q42" s="33">
        <f>Q41*'נתונים והנחות'!$F$10</f>
        <v/>
      </c>
      <c r="R42" s="33">
        <f>R41*'נתונים והנחות'!$F$10</f>
        <v/>
      </c>
      <c r="S42" s="33">
        <f>S41*'נתונים והנחות'!$F$10</f>
        <v/>
      </c>
      <c r="T42" s="33">
        <f>T41*'נתונים והנחות'!$F$10</f>
        <v/>
      </c>
      <c r="U42" s="33">
        <f>U41*'נתונים והנחות'!$F$10</f>
        <v/>
      </c>
      <c r="V42" s="33">
        <f>V41*'נתונים והנחות'!$F$10</f>
        <v/>
      </c>
      <c r="W42" s="33">
        <f>W41*'נתונים והנחות'!$F$10</f>
        <v/>
      </c>
      <c r="X42" s="33">
        <f>X41*'נתונים והנחות'!$F$10</f>
        <v/>
      </c>
      <c r="Y42" s="33">
        <f>Y41*'נתונים והנחות'!$F$10</f>
        <v/>
      </c>
      <c r="Z42" s="33">
        <f>Z41*'נתונים והנחות'!$F$10</f>
        <v/>
      </c>
    </row>
    <row r="43">
      <c r="B43" s="5" t="inlineStr">
        <is>
          <t>פחת סטנדרטי — משאבות חום (חימום מים)</t>
        </is>
      </c>
      <c r="C43" s="9" t="inlineStr">
        <is>
          <t>₪</t>
        </is>
      </c>
      <c r="D43" s="9" t="inlineStr">
        <is>
          <t>חישוב</t>
        </is>
      </c>
      <c r="E43" s="9" t="inlineStr">
        <is>
          <t>קו ישר | 10%/שנה | עד 10 שנים | CapEx יעיל</t>
        </is>
      </c>
      <c r="F43" s="34" t="n">
        <v>0</v>
      </c>
      <c r="G43" s="34">
        <f>IF(ISNUMBER($F$25),$F$25*0.1,0)</f>
        <v/>
      </c>
      <c r="H43" s="34">
        <f>IF(ISNUMBER($F$25),$F$25*0.1,0)</f>
        <v/>
      </c>
      <c r="I43" s="34">
        <f>IF(ISNUMBER($F$25),$F$25*0.1,0)</f>
        <v/>
      </c>
      <c r="J43" s="34">
        <f>IF(ISNUMBER($F$25),$F$25*0.1,0)</f>
        <v/>
      </c>
      <c r="K43" s="34">
        <f>IF(ISNUMBER($F$25),$F$25*0.1,0)</f>
        <v/>
      </c>
      <c r="L43" s="34">
        <f>IF(ISNUMBER($F$25),$F$25*0.1,0)</f>
        <v/>
      </c>
      <c r="M43" s="34">
        <f>IF(ISNUMBER($F$25),$F$25*0.1,0)</f>
        <v/>
      </c>
      <c r="N43" s="34">
        <f>IF(ISNUMBER($F$25),$F$25*0.1,0)</f>
        <v/>
      </c>
      <c r="O43" s="34">
        <f>IF(ISNUMBER($F$25),$F$25*0.1,0)</f>
        <v/>
      </c>
      <c r="P43" s="34">
        <f>IF(ISNUMBER($F$25),$F$25*0.1,0)</f>
        <v/>
      </c>
      <c r="Q43" s="34">
        <f>0</f>
        <v/>
      </c>
      <c r="R43" s="34">
        <f>0</f>
        <v/>
      </c>
      <c r="S43" s="34">
        <f>0</f>
        <v/>
      </c>
      <c r="T43" s="34">
        <f>0</f>
        <v/>
      </c>
      <c r="U43" s="34">
        <f>0</f>
        <v/>
      </c>
      <c r="V43" s="34">
        <f>0</f>
        <v/>
      </c>
      <c r="W43" s="34">
        <f>0</f>
        <v/>
      </c>
      <c r="X43" s="34">
        <f>0</f>
        <v/>
      </c>
      <c r="Y43" s="34">
        <f>0</f>
        <v/>
      </c>
      <c r="Z43" s="34">
        <f>0</f>
        <v/>
      </c>
    </row>
    <row r="44">
      <c r="B44" s="5" t="inlineStr">
        <is>
          <t>מגן מס סטנדרטי — משאבות חום (חימום מים)</t>
        </is>
      </c>
      <c r="C44" s="9" t="inlineStr">
        <is>
          <t>₪</t>
        </is>
      </c>
      <c r="D44" s="9" t="inlineStr">
        <is>
          <t>חישוב</t>
        </is>
      </c>
      <c r="E44" s="9">
        <f> פחת × שיעור מס</f>
        <v/>
      </c>
      <c r="F44" s="34" t="n">
        <v>0</v>
      </c>
      <c r="G44" s="34">
        <f>G43*'נתונים והנחות'!$F$10</f>
        <v/>
      </c>
      <c r="H44" s="34">
        <f>H43*'נתונים והנחות'!$F$10</f>
        <v/>
      </c>
      <c r="I44" s="34">
        <f>I43*'נתונים והנחות'!$F$10</f>
        <v/>
      </c>
      <c r="J44" s="34">
        <f>J43*'נתונים והנחות'!$F$10</f>
        <v/>
      </c>
      <c r="K44" s="34">
        <f>K43*'נתונים והנחות'!$F$10</f>
        <v/>
      </c>
      <c r="L44" s="34">
        <f>L43*'נתונים והנחות'!$F$10</f>
        <v/>
      </c>
      <c r="M44" s="34">
        <f>M43*'נתונים והנחות'!$F$10</f>
        <v/>
      </c>
      <c r="N44" s="34">
        <f>N43*'נתונים והנחות'!$F$10</f>
        <v/>
      </c>
      <c r="O44" s="34">
        <f>O43*'נתונים והנחות'!$F$10</f>
        <v/>
      </c>
      <c r="P44" s="34">
        <f>P43*'נתונים והנחות'!$F$10</f>
        <v/>
      </c>
      <c r="Q44" s="34">
        <f>Q43*'נתונים והנחות'!$F$10</f>
        <v/>
      </c>
      <c r="R44" s="34">
        <f>R43*'נתונים והנחות'!$F$10</f>
        <v/>
      </c>
      <c r="S44" s="34">
        <f>S43*'נתונים והנחות'!$F$10</f>
        <v/>
      </c>
      <c r="T44" s="34">
        <f>T43*'נתונים והנחות'!$F$10</f>
        <v/>
      </c>
      <c r="U44" s="34">
        <f>U43*'נתונים והנחות'!$F$10</f>
        <v/>
      </c>
      <c r="V44" s="34">
        <f>V43*'נתונים והנחות'!$F$10</f>
        <v/>
      </c>
      <c r="W44" s="34">
        <f>W43*'נתונים והנחות'!$F$10</f>
        <v/>
      </c>
      <c r="X44" s="34">
        <f>X43*'נתונים והנחות'!$F$10</f>
        <v/>
      </c>
      <c r="Y44" s="34">
        <f>Y43*'נתונים והנחות'!$F$10</f>
        <v/>
      </c>
      <c r="Z44" s="34">
        <f>Z43*'נתונים והנחות'!$F$10</f>
        <v/>
      </c>
    </row>
    <row r="45">
      <c r="B45" s="6" t="inlineStr">
        <is>
          <t>פחת מואץ — משאבות חום (חימום מים)</t>
        </is>
      </c>
      <c r="C45" s="9" t="inlineStr">
        <is>
          <t>₪</t>
        </is>
      </c>
      <c r="D45" s="9" t="inlineStr">
        <is>
          <t>חישוב</t>
        </is>
      </c>
      <c r="E45" s="9">
        <f> CapEx יעיל × (פחת סטנדרטי × מכפיל) | תקופה = 1 ÷ שיעור מואץ</f>
        <v/>
      </c>
      <c r="F45" s="35" t="n">
        <v>0</v>
      </c>
      <c r="G45" s="35">
        <f>IF(ISNUMBER($F$25),IF(1&lt;=ROUND(1/(0.1*'נתונים והנחות'!$F$15),0),$F$25*0.1*'נתונים והנחות'!$F$15,0),0)</f>
        <v/>
      </c>
      <c r="H45" s="35">
        <f>IF(ISNUMBER($F$25),IF(2&lt;=ROUND(1/(0.1*'נתונים והנחות'!$F$15),0),$F$25*0.1*'נתונים והנחות'!$F$15,0),0)</f>
        <v/>
      </c>
      <c r="I45" s="35">
        <f>IF(ISNUMBER($F$25),IF(3&lt;=ROUND(1/(0.1*'נתונים והנחות'!$F$15),0),$F$25*0.1*'נתונים והנחות'!$F$15,0),0)</f>
        <v/>
      </c>
      <c r="J45" s="35">
        <f>IF(ISNUMBER($F$25),IF(4&lt;=ROUND(1/(0.1*'נתונים והנחות'!$F$15),0),$F$25*0.1*'נתונים והנחות'!$F$15,0),0)</f>
        <v/>
      </c>
      <c r="K45" s="35">
        <f>IF(ISNUMBER($F$25),IF(5&lt;=ROUND(1/(0.1*'נתונים והנחות'!$F$15),0),$F$25*0.1*'נתונים והנחות'!$F$15,0),0)</f>
        <v/>
      </c>
      <c r="L45" s="35">
        <f>IF(ISNUMBER($F$25),IF(6&lt;=ROUND(1/(0.1*'נתונים והנחות'!$F$15),0),$F$25*0.1*'נתונים והנחות'!$F$15,0),0)</f>
        <v/>
      </c>
      <c r="M45" s="35">
        <f>IF(ISNUMBER($F$25),IF(7&lt;=ROUND(1/(0.1*'נתונים והנחות'!$F$15),0),$F$25*0.1*'נתונים והנחות'!$F$15,0),0)</f>
        <v/>
      </c>
      <c r="N45" s="35">
        <f>IF(ISNUMBER($F$25),IF(8&lt;=ROUND(1/(0.1*'נתונים והנחות'!$F$15),0),$F$25*0.1*'נתונים והנחות'!$F$15,0),0)</f>
        <v/>
      </c>
      <c r="O45" s="35">
        <f>IF(ISNUMBER($F$25),IF(9&lt;=ROUND(1/(0.1*'נתונים והנחות'!$F$15),0),$F$25*0.1*'נתונים והנחות'!$F$15,0),0)</f>
        <v/>
      </c>
      <c r="P45" s="35">
        <f>IF(ISNUMBER($F$25),IF(10&lt;=ROUND(1/(0.1*'נתונים והנחות'!$F$15),0),$F$25*0.1*'נתונים והנחות'!$F$15,0),0)</f>
        <v/>
      </c>
      <c r="Q45" s="35">
        <f>IF(ISNUMBER($F$25),IF(11&lt;=ROUND(1/(0.1*'נתונים והנחות'!$F$15),0),$F$25*0.1*'נתונים והנחות'!$F$15,0),0)</f>
        <v/>
      </c>
      <c r="R45" s="35">
        <f>IF(ISNUMBER($F$25),IF(12&lt;=ROUND(1/(0.1*'נתונים והנחות'!$F$15),0),$F$25*0.1*'נתונים והנחות'!$F$15,0),0)</f>
        <v/>
      </c>
      <c r="S45" s="35">
        <f>IF(ISNUMBER($F$25),IF(13&lt;=ROUND(1/(0.1*'נתונים והנחות'!$F$15),0),$F$25*0.1*'נתונים והנחות'!$F$15,0),0)</f>
        <v/>
      </c>
      <c r="T45" s="35">
        <f>IF(ISNUMBER($F$25),IF(14&lt;=ROUND(1/(0.1*'נתונים והנחות'!$F$15),0),$F$25*0.1*'נתונים והנחות'!$F$15,0),0)</f>
        <v/>
      </c>
      <c r="U45" s="35">
        <f>IF(ISNUMBER($F$25),IF(15&lt;=ROUND(1/(0.1*'נתונים והנחות'!$F$15),0),$F$25*0.1*'נתונים והנחות'!$F$15,0),0)</f>
        <v/>
      </c>
      <c r="V45" s="35">
        <f>IF(ISNUMBER($F$25),IF(16&lt;=ROUND(1/(0.1*'נתונים והנחות'!$F$15),0),$F$25*0.1*'נתונים והנחות'!$F$15,0),0)</f>
        <v/>
      </c>
      <c r="W45" s="35">
        <f>IF(ISNUMBER($F$25),IF(17&lt;=ROUND(1/(0.1*'נתונים והנחות'!$F$15),0),$F$25*0.1*'נתונים והנחות'!$F$15,0),0)</f>
        <v/>
      </c>
      <c r="X45" s="35">
        <f>IF(ISNUMBER($F$25),IF(18&lt;=ROUND(1/(0.1*'נתונים והנחות'!$F$15),0),$F$25*0.1*'נתונים והנחות'!$F$15,0),0)</f>
        <v/>
      </c>
      <c r="Y45" s="35">
        <f>IF(ISNUMBER($F$25),IF(19&lt;=ROUND(1/(0.1*'נתונים והנחות'!$F$15),0),$F$25*0.1*'נתונים והנחות'!$F$15,0),0)</f>
        <v/>
      </c>
      <c r="Z45" s="35">
        <f>IF(ISNUMBER($F$25),IF(20&lt;=ROUND(1/(0.1*'נתונים והנחות'!$F$15),0),$F$25*0.1*'נתונים והנחות'!$F$15,0),0)</f>
        <v/>
      </c>
    </row>
    <row r="46">
      <c r="B46" s="6" t="inlineStr">
        <is>
          <t>מגן מס מואץ — משאבות חום (חימום מים)</t>
        </is>
      </c>
      <c r="C46" s="9" t="inlineStr">
        <is>
          <t>₪</t>
        </is>
      </c>
      <c r="D46" s="9" t="inlineStr">
        <is>
          <t>חישוב</t>
        </is>
      </c>
      <c r="E46" s="9">
        <f> פחת מואץ × שיעור מס</f>
        <v/>
      </c>
      <c r="F46" s="35" t="n">
        <v>0</v>
      </c>
      <c r="G46" s="35">
        <f>G45*'נתונים והנחות'!$F$10</f>
        <v/>
      </c>
      <c r="H46" s="35">
        <f>H45*'נתונים והנחות'!$F$10</f>
        <v/>
      </c>
      <c r="I46" s="35">
        <f>I45*'נתונים והנחות'!$F$10</f>
        <v/>
      </c>
      <c r="J46" s="35">
        <f>J45*'נתונים והנחות'!$F$10</f>
        <v/>
      </c>
      <c r="K46" s="35">
        <f>K45*'נתונים והנחות'!$F$10</f>
        <v/>
      </c>
      <c r="L46" s="35">
        <f>L45*'נתונים והנחות'!$F$10</f>
        <v/>
      </c>
      <c r="M46" s="35">
        <f>M45*'נתונים והנחות'!$F$10</f>
        <v/>
      </c>
      <c r="N46" s="35">
        <f>N45*'נתונים והנחות'!$F$10</f>
        <v/>
      </c>
      <c r="O46" s="35">
        <f>O45*'נתונים והנחות'!$F$10</f>
        <v/>
      </c>
      <c r="P46" s="35">
        <f>P45*'נתונים והנחות'!$F$10</f>
        <v/>
      </c>
      <c r="Q46" s="35">
        <f>Q45*'נתונים והנחות'!$F$10</f>
        <v/>
      </c>
      <c r="R46" s="35">
        <f>R45*'נתונים והנחות'!$F$10</f>
        <v/>
      </c>
      <c r="S46" s="35">
        <f>S45*'נתונים והנחות'!$F$10</f>
        <v/>
      </c>
      <c r="T46" s="35">
        <f>T45*'נתונים והנחות'!$F$10</f>
        <v/>
      </c>
      <c r="U46" s="35">
        <f>U45*'נתונים והנחות'!$F$10</f>
        <v/>
      </c>
      <c r="V46" s="35">
        <f>V45*'נתונים והנחות'!$F$10</f>
        <v/>
      </c>
      <c r="W46" s="35">
        <f>W45*'נתונים והנחות'!$F$10</f>
        <v/>
      </c>
      <c r="X46" s="35">
        <f>X45*'נתונים והנחות'!$F$10</f>
        <v/>
      </c>
      <c r="Y46" s="35">
        <f>Y45*'נתונים והנחות'!$F$10</f>
        <v/>
      </c>
      <c r="Z46" s="35">
        <f>Z45*'נתונים והנחות'!$F$10</f>
        <v/>
      </c>
    </row>
    <row r="48">
      <c r="B48" s="25" t="inlineStr">
        <is>
          <t>ג. ניתוח תזרים מזומנים — שלושה תרחישים</t>
        </is>
      </c>
    </row>
    <row r="49">
      <c r="B49" s="32" t="inlineStr">
        <is>
          <t>פרמטר</t>
        </is>
      </c>
      <c r="C49" s="32" t="inlineStr">
        <is>
          <t>יחידות</t>
        </is>
      </c>
      <c r="D49" s="32" t="inlineStr">
        <is>
          <t>מקור</t>
        </is>
      </c>
      <c r="E49" s="32" t="inlineStr">
        <is>
          <t>הערות</t>
        </is>
      </c>
      <c r="F49" s="32" t="inlineStr">
        <is>
          <t>שנה 0 (השקעה)</t>
        </is>
      </c>
      <c r="G49" s="32" t="inlineStr">
        <is>
          <t>שנה 1</t>
        </is>
      </c>
      <c r="H49" s="32" t="inlineStr">
        <is>
          <t>שנה 2</t>
        </is>
      </c>
      <c r="I49" s="32" t="inlineStr">
        <is>
          <t>שנה 3</t>
        </is>
      </c>
      <c r="J49" s="32" t="inlineStr">
        <is>
          <t>שנה 4</t>
        </is>
      </c>
      <c r="K49" s="32" t="inlineStr">
        <is>
          <t>שנה 5</t>
        </is>
      </c>
      <c r="L49" s="32" t="inlineStr">
        <is>
          <t>שנה 6</t>
        </is>
      </c>
      <c r="M49" s="32" t="inlineStr">
        <is>
          <t>שנה 7</t>
        </is>
      </c>
      <c r="N49" s="32" t="inlineStr">
        <is>
          <t>שנה 8</t>
        </is>
      </c>
      <c r="O49" s="32" t="inlineStr">
        <is>
          <t>שנה 9</t>
        </is>
      </c>
      <c r="P49" s="32" t="inlineStr">
        <is>
          <t>שנה 10</t>
        </is>
      </c>
      <c r="Q49" s="32" t="inlineStr">
        <is>
          <t>שנה 11</t>
        </is>
      </c>
      <c r="R49" s="32" t="inlineStr">
        <is>
          <t>שנה 12</t>
        </is>
      </c>
      <c r="S49" s="32" t="inlineStr">
        <is>
          <t>שנה 13</t>
        </is>
      </c>
      <c r="T49" s="32" t="inlineStr">
        <is>
          <t>שנה 14</t>
        </is>
      </c>
      <c r="U49" s="32" t="inlineStr">
        <is>
          <t>שנה 15</t>
        </is>
      </c>
      <c r="V49" s="32" t="inlineStr">
        <is>
          <t>שנה 16</t>
        </is>
      </c>
      <c r="W49" s="32" t="inlineStr">
        <is>
          <t>שנה 17</t>
        </is>
      </c>
      <c r="X49" s="32" t="inlineStr">
        <is>
          <t>שנה 18</t>
        </is>
      </c>
      <c r="Y49" s="32" t="inlineStr">
        <is>
          <t>שנה 19</t>
        </is>
      </c>
      <c r="Z49" s="32" t="inlineStr">
        <is>
          <t>שנה 20</t>
        </is>
      </c>
    </row>
    <row r="50">
      <c r="B50" s="36" t="inlineStr">
        <is>
          <t>תרחיש A — רכישת דוד חשמל קונבנציונלי (ציוד קיים / לא יעיל)</t>
        </is>
      </c>
    </row>
    <row r="51">
      <c r="B51" s="4" t="inlineStr">
        <is>
          <t>השקעה ראשונית</t>
        </is>
      </c>
      <c r="C51" s="9" t="inlineStr">
        <is>
          <t>₪</t>
        </is>
      </c>
      <c r="D51" s="9" t="inlineStr">
        <is>
          <t>חישוב</t>
        </is>
      </c>
      <c r="F51" s="33">
        <f>IF(ISNUMBER($F$24),-$F$24,"PENDING")</f>
        <v/>
      </c>
    </row>
    <row r="52">
      <c r="B52" s="4" t="inlineStr">
        <is>
          <t>OPEX אנרגיה</t>
        </is>
      </c>
      <c r="C52" s="9" t="inlineStr">
        <is>
          <t>₪</t>
        </is>
      </c>
      <c r="D52" s="9" t="inlineStr">
        <is>
          <t>חישוב</t>
        </is>
      </c>
      <c r="F52" s="33" t="n">
        <v>0</v>
      </c>
      <c r="G52" s="33">
        <f>IF(ISNUMBER($F$34),-$F$34,0)</f>
        <v/>
      </c>
      <c r="H52" s="33">
        <f>IF(ISNUMBER($F$34),-$F$34,0)</f>
        <v/>
      </c>
      <c r="I52" s="33">
        <f>IF(ISNUMBER($F$34),-$F$34,0)</f>
        <v/>
      </c>
      <c r="J52" s="33">
        <f>IF(ISNUMBER($F$34),-$F$34,0)</f>
        <v/>
      </c>
      <c r="K52" s="33">
        <f>IF(ISNUMBER($F$34),-$F$34,0)</f>
        <v/>
      </c>
      <c r="L52" s="33">
        <f>IF(ISNUMBER($F$34),-$F$34,0)</f>
        <v/>
      </c>
      <c r="M52" s="33">
        <f>IF(ISNUMBER($F$34),-$F$34,0)</f>
        <v/>
      </c>
      <c r="N52" s="33">
        <f>IF(ISNUMBER($F$34),-$F$34,0)</f>
        <v/>
      </c>
      <c r="O52" s="33">
        <f>IF(ISNUMBER($F$34),-$F$34,0)</f>
        <v/>
      </c>
      <c r="P52" s="33">
        <f>IF(ISNUMBER($F$34),-$F$34,0)</f>
        <v/>
      </c>
      <c r="Q52" s="33">
        <f>IF(ISNUMBER($F$34),-$F$34,0)</f>
        <v/>
      </c>
      <c r="R52" s="33">
        <f>IF(ISNUMBER($F$34),-$F$34,0)</f>
        <v/>
      </c>
      <c r="S52" s="33">
        <f>IF(ISNUMBER($F$34),-$F$34,0)</f>
        <v/>
      </c>
      <c r="T52" s="33">
        <f>IF(ISNUMBER($F$34),-$F$34,0)</f>
        <v/>
      </c>
      <c r="U52" s="33">
        <f>IF(ISNUMBER($F$34),-$F$34,0)</f>
        <v/>
      </c>
      <c r="V52" s="33">
        <f>0</f>
        <v/>
      </c>
      <c r="W52" s="33">
        <f>0</f>
        <v/>
      </c>
      <c r="X52" s="33">
        <f>0</f>
        <v/>
      </c>
      <c r="Y52" s="33">
        <f>0</f>
        <v/>
      </c>
      <c r="Z52" s="33">
        <f>0</f>
        <v/>
      </c>
    </row>
    <row r="53">
      <c r="B53" s="4" t="inlineStr">
        <is>
          <t>OPEX אחר (תחזוקה וכו')</t>
        </is>
      </c>
      <c r="C53" s="9" t="inlineStr">
        <is>
          <t>₪</t>
        </is>
      </c>
      <c r="D53" s="9" t="inlineStr">
        <is>
          <t>חישוב</t>
        </is>
      </c>
      <c r="F53" s="33" t="n">
        <v>0</v>
      </c>
      <c r="G53" s="33">
        <f>IF(ISNUMBER($F$36),-$F$36,0)</f>
        <v/>
      </c>
      <c r="H53" s="33">
        <f>IF(ISNUMBER($F$36),-$F$36,0)</f>
        <v/>
      </c>
      <c r="I53" s="33">
        <f>IF(ISNUMBER($F$36),-$F$36,0)</f>
        <v/>
      </c>
      <c r="J53" s="33">
        <f>IF(ISNUMBER($F$36),-$F$36,0)</f>
        <v/>
      </c>
      <c r="K53" s="33">
        <f>IF(ISNUMBER($F$36),-$F$36,0)</f>
        <v/>
      </c>
      <c r="L53" s="33">
        <f>IF(ISNUMBER($F$36),-$F$36,0)</f>
        <v/>
      </c>
      <c r="M53" s="33">
        <f>IF(ISNUMBER($F$36),-$F$36,0)</f>
        <v/>
      </c>
      <c r="N53" s="33">
        <f>IF(ISNUMBER($F$36),-$F$36,0)</f>
        <v/>
      </c>
      <c r="O53" s="33">
        <f>IF(ISNUMBER($F$36),-$F$36,0)</f>
        <v/>
      </c>
      <c r="P53" s="33">
        <f>IF(ISNUMBER($F$36),-$F$36,0)</f>
        <v/>
      </c>
      <c r="Q53" s="33">
        <f>IF(ISNUMBER($F$36),-$F$36,0)</f>
        <v/>
      </c>
      <c r="R53" s="33">
        <f>IF(ISNUMBER($F$36),-$F$36,0)</f>
        <v/>
      </c>
      <c r="S53" s="33">
        <f>IF(ISNUMBER($F$36),-$F$36,0)</f>
        <v/>
      </c>
      <c r="T53" s="33">
        <f>IF(ISNUMBER($F$36),-$F$36,0)</f>
        <v/>
      </c>
      <c r="U53" s="33">
        <f>IF(ISNUMBER($F$36),-$F$36,0)</f>
        <v/>
      </c>
      <c r="V53" s="33">
        <f>0</f>
        <v/>
      </c>
      <c r="W53" s="33">
        <f>0</f>
        <v/>
      </c>
      <c r="X53" s="33">
        <f>0</f>
        <v/>
      </c>
      <c r="Y53" s="33">
        <f>0</f>
        <v/>
      </c>
      <c r="Z53" s="33">
        <f>0</f>
        <v/>
      </c>
    </row>
    <row r="54">
      <c r="B54" s="4" t="inlineStr">
        <is>
          <t>תזרים נקי — תרחיש A</t>
        </is>
      </c>
      <c r="C54" s="9" t="inlineStr">
        <is>
          <t>₪</t>
        </is>
      </c>
      <c r="D54" s="9" t="inlineStr">
        <is>
          <t>חישוב</t>
        </is>
      </c>
      <c r="F54" s="33">
        <f>F51</f>
        <v/>
      </c>
      <c r="G54" s="33">
        <f>G52+G53+G42</f>
        <v/>
      </c>
      <c r="H54" s="33">
        <f>H52+H53+H42</f>
        <v/>
      </c>
      <c r="I54" s="33">
        <f>I52+I53+I42</f>
        <v/>
      </c>
      <c r="J54" s="33">
        <f>J52+J53+J42</f>
        <v/>
      </c>
      <c r="K54" s="33">
        <f>K52+K53+K42</f>
        <v/>
      </c>
      <c r="L54" s="33">
        <f>L52+L53+L42</f>
        <v/>
      </c>
      <c r="M54" s="33">
        <f>M52+M53+M42</f>
        <v/>
      </c>
      <c r="N54" s="33">
        <f>N52+N53+N42</f>
        <v/>
      </c>
      <c r="O54" s="33">
        <f>O52+O53+O42</f>
        <v/>
      </c>
      <c r="P54" s="33">
        <f>P52+P53+P42</f>
        <v/>
      </c>
      <c r="Q54" s="33">
        <f>Q52+Q53+Q42</f>
        <v/>
      </c>
      <c r="R54" s="33">
        <f>R52+R53+R42</f>
        <v/>
      </c>
      <c r="S54" s="33">
        <f>S52+S53+S42</f>
        <v/>
      </c>
      <c r="T54" s="33">
        <f>T52+T53+T42</f>
        <v/>
      </c>
      <c r="U54" s="33">
        <f>U52+U53+U42</f>
        <v/>
      </c>
      <c r="V54" s="33">
        <f>V52+V53+V42</f>
        <v/>
      </c>
      <c r="W54" s="33">
        <f>W52+W53+W42</f>
        <v/>
      </c>
      <c r="X54" s="33">
        <f>X52+X53+X42</f>
        <v/>
      </c>
      <c r="Y54" s="33">
        <f>Y52+Y53+Y42</f>
        <v/>
      </c>
      <c r="Z54" s="33">
        <f>Z52+Z53+Z42</f>
        <v/>
      </c>
    </row>
    <row r="55">
      <c r="B55" s="4" t="inlineStr">
        <is>
          <t>תזרים מהוון — תרחיש A</t>
        </is>
      </c>
      <c r="C55" s="9" t="inlineStr">
        <is>
          <t>₪</t>
        </is>
      </c>
      <c r="D55" s="9" t="inlineStr">
        <is>
          <t>חישוב</t>
        </is>
      </c>
      <c r="F55" s="33">
        <f>F54</f>
        <v/>
      </c>
      <c r="G55" s="33">
        <f>G54/(1+'נתונים והנחות'!$F$11)^1</f>
        <v/>
      </c>
      <c r="H55" s="33">
        <f>H54/(1+'נתונים והנחות'!$F$11)^2</f>
        <v/>
      </c>
      <c r="I55" s="33">
        <f>I54/(1+'נתונים והנחות'!$F$11)^3</f>
        <v/>
      </c>
      <c r="J55" s="33">
        <f>J54/(1+'נתונים והנחות'!$F$11)^4</f>
        <v/>
      </c>
      <c r="K55" s="33">
        <f>K54/(1+'נתונים והנחות'!$F$11)^5</f>
        <v/>
      </c>
      <c r="L55" s="33">
        <f>L54/(1+'נתונים והנחות'!$F$11)^6</f>
        <v/>
      </c>
      <c r="M55" s="33">
        <f>M54/(1+'נתונים והנחות'!$F$11)^7</f>
        <v/>
      </c>
      <c r="N55" s="33">
        <f>N54/(1+'נתונים והנחות'!$F$11)^8</f>
        <v/>
      </c>
      <c r="O55" s="33">
        <f>O54/(1+'נתונים והנחות'!$F$11)^9</f>
        <v/>
      </c>
      <c r="P55" s="33">
        <f>P54/(1+'נתונים והנחות'!$F$11)^10</f>
        <v/>
      </c>
      <c r="Q55" s="33">
        <f>Q54/(1+'נתונים והנחות'!$F$11)^11</f>
        <v/>
      </c>
      <c r="R55" s="33">
        <f>R54/(1+'נתונים והנחות'!$F$11)^12</f>
        <v/>
      </c>
      <c r="S55" s="33">
        <f>S54/(1+'נתונים והנחות'!$F$11)^13</f>
        <v/>
      </c>
      <c r="T55" s="33">
        <f>T54/(1+'נתונים והנחות'!$F$11)^14</f>
        <v/>
      </c>
      <c r="U55" s="33">
        <f>U54/(1+'נתונים והנחות'!$F$11)^15</f>
        <v/>
      </c>
      <c r="V55" s="33">
        <f>V54/(1+'נתונים והנחות'!$F$11)^16</f>
        <v/>
      </c>
      <c r="W55" s="33">
        <f>W54/(1+'נתונים והנחות'!$F$11)^17</f>
        <v/>
      </c>
      <c r="X55" s="33">
        <f>X54/(1+'נתונים והנחות'!$F$11)^18</f>
        <v/>
      </c>
      <c r="Y55" s="33">
        <f>Y54/(1+'נתונים והנחות'!$F$11)^19</f>
        <v/>
      </c>
      <c r="Z55" s="33">
        <f>Z54/(1+'נתונים והנחות'!$F$11)^20</f>
        <v/>
      </c>
    </row>
    <row r="56">
      <c r="B56" s="4" t="inlineStr">
        <is>
          <t>NPV מצטבר — תרחיש A</t>
        </is>
      </c>
      <c r="C56" s="9" t="inlineStr">
        <is>
          <t>₪</t>
        </is>
      </c>
      <c r="D56" s="9" t="inlineStr">
        <is>
          <t>חישוב</t>
        </is>
      </c>
      <c r="F56" s="33">
        <f>F55</f>
        <v/>
      </c>
      <c r="G56" s="33">
        <f>F56+G55</f>
        <v/>
      </c>
      <c r="H56" s="33">
        <f>G56+H55</f>
        <v/>
      </c>
      <c r="I56" s="33">
        <f>H56+I55</f>
        <v/>
      </c>
      <c r="J56" s="33">
        <f>I56+J55</f>
        <v/>
      </c>
      <c r="K56" s="33">
        <f>J56+K55</f>
        <v/>
      </c>
      <c r="L56" s="33">
        <f>K56+L55</f>
        <v/>
      </c>
      <c r="M56" s="33">
        <f>L56+M55</f>
        <v/>
      </c>
      <c r="N56" s="33">
        <f>M56+N55</f>
        <v/>
      </c>
      <c r="O56" s="33">
        <f>N56+O55</f>
        <v/>
      </c>
      <c r="P56" s="33">
        <f>O56+P55</f>
        <v/>
      </c>
      <c r="Q56" s="33">
        <f>P56+Q55</f>
        <v/>
      </c>
      <c r="R56" s="33">
        <f>Q56+R55</f>
        <v/>
      </c>
      <c r="S56" s="33">
        <f>R56+S55</f>
        <v/>
      </c>
      <c r="T56" s="33">
        <f>S56+T55</f>
        <v/>
      </c>
      <c r="U56" s="33">
        <f>T56+U55</f>
        <v/>
      </c>
      <c r="V56" s="33">
        <f>U56+V55</f>
        <v/>
      </c>
      <c r="W56" s="33">
        <f>V56+W55</f>
        <v/>
      </c>
      <c r="X56" s="33">
        <f>W56+X55</f>
        <v/>
      </c>
      <c r="Y56" s="33">
        <f>X56+Y55</f>
        <v/>
      </c>
      <c r="Z56" s="33">
        <f>Y56+Z55</f>
        <v/>
      </c>
    </row>
    <row r="58">
      <c r="B58" s="37" t="inlineStr">
        <is>
          <t>תרחיש B — רכישת משאבות חום (חימום מים) | פחת סטנדרטי (ללא תמריץ)</t>
        </is>
      </c>
    </row>
    <row r="59">
      <c r="B59" s="5" t="inlineStr">
        <is>
          <t>השקעה ראשונית</t>
        </is>
      </c>
      <c r="C59" s="9" t="inlineStr">
        <is>
          <t>₪</t>
        </is>
      </c>
      <c r="D59" s="9" t="inlineStr">
        <is>
          <t>חישוב</t>
        </is>
      </c>
      <c r="F59" s="34">
        <f>IF(ISNUMBER($F$25),-$F$25,"PENDING")</f>
        <v/>
      </c>
    </row>
    <row r="60">
      <c r="B60" s="5" t="inlineStr">
        <is>
          <t>OPEX אנרגיה (עם שחיקה שנתית)</t>
        </is>
      </c>
      <c r="C60" s="9" t="inlineStr">
        <is>
          <t>₪</t>
        </is>
      </c>
      <c r="D60" s="9" t="inlineStr">
        <is>
          <t>חישוב</t>
        </is>
      </c>
      <c r="F60" s="34" t="n">
        <v>0</v>
      </c>
      <c r="G60" s="34">
        <f>IF(ISNUMBER($F$35),-$F$35*(1-$F$32)^0,0)</f>
        <v/>
      </c>
      <c r="H60" s="34">
        <f>IF(ISNUMBER($F$35),-$F$35*(1-$F$32)^1,0)</f>
        <v/>
      </c>
      <c r="I60" s="34">
        <f>IF(ISNUMBER($F$35),-$F$35*(1-$F$32)^2,0)</f>
        <v/>
      </c>
      <c r="J60" s="34">
        <f>IF(ISNUMBER($F$35),-$F$35*(1-$F$32)^3,0)</f>
        <v/>
      </c>
      <c r="K60" s="34">
        <f>IF(ISNUMBER($F$35),-$F$35*(1-$F$32)^4,0)</f>
        <v/>
      </c>
      <c r="L60" s="34">
        <f>IF(ISNUMBER($F$35),-$F$35*(1-$F$32)^5,0)</f>
        <v/>
      </c>
      <c r="M60" s="34">
        <f>IF(ISNUMBER($F$35),-$F$35*(1-$F$32)^6,0)</f>
        <v/>
      </c>
      <c r="N60" s="34">
        <f>IF(ISNUMBER($F$35),-$F$35*(1-$F$32)^7,0)</f>
        <v/>
      </c>
      <c r="O60" s="34">
        <f>IF(ISNUMBER($F$35),-$F$35*(1-$F$32)^8,0)</f>
        <v/>
      </c>
      <c r="P60" s="34">
        <f>IF(ISNUMBER($F$35),-$F$35*(1-$F$32)^9,0)</f>
        <v/>
      </c>
      <c r="Q60" s="34">
        <f>0</f>
        <v/>
      </c>
      <c r="R60" s="34">
        <f>0</f>
        <v/>
      </c>
      <c r="S60" s="34">
        <f>0</f>
        <v/>
      </c>
      <c r="T60" s="34">
        <f>0</f>
        <v/>
      </c>
      <c r="U60" s="34">
        <f>0</f>
        <v/>
      </c>
      <c r="V60" s="34">
        <f>0</f>
        <v/>
      </c>
      <c r="W60" s="34">
        <f>0</f>
        <v/>
      </c>
      <c r="X60" s="34">
        <f>0</f>
        <v/>
      </c>
      <c r="Y60" s="34">
        <f>0</f>
        <v/>
      </c>
      <c r="Z60" s="34">
        <f>0</f>
        <v/>
      </c>
    </row>
    <row r="61">
      <c r="B61" s="5" t="inlineStr">
        <is>
          <t>OPEX אחר (תחזוקה וכו')</t>
        </is>
      </c>
      <c r="C61" s="9" t="inlineStr">
        <is>
          <t>₪</t>
        </is>
      </c>
      <c r="D61" s="9" t="inlineStr">
        <is>
          <t>חישוב</t>
        </is>
      </c>
      <c r="F61" s="34" t="n">
        <v>0</v>
      </c>
      <c r="G61" s="34">
        <f>IF(ISNUMBER($F$37),-$F$37,0)</f>
        <v/>
      </c>
      <c r="H61" s="34">
        <f>IF(ISNUMBER($F$37),-$F$37,0)</f>
        <v/>
      </c>
      <c r="I61" s="34">
        <f>IF(ISNUMBER($F$37),-$F$37,0)</f>
        <v/>
      </c>
      <c r="J61" s="34">
        <f>IF(ISNUMBER($F$37),-$F$37,0)</f>
        <v/>
      </c>
      <c r="K61" s="34">
        <f>IF(ISNUMBER($F$37),-$F$37,0)</f>
        <v/>
      </c>
      <c r="L61" s="34">
        <f>IF(ISNUMBER($F$37),-$F$37,0)</f>
        <v/>
      </c>
      <c r="M61" s="34">
        <f>IF(ISNUMBER($F$37),-$F$37,0)</f>
        <v/>
      </c>
      <c r="N61" s="34">
        <f>IF(ISNUMBER($F$37),-$F$37,0)</f>
        <v/>
      </c>
      <c r="O61" s="34">
        <f>IF(ISNUMBER($F$37),-$F$37,0)</f>
        <v/>
      </c>
      <c r="P61" s="34">
        <f>IF(ISNUMBER($F$37),-$F$37,0)</f>
        <v/>
      </c>
      <c r="Q61" s="34">
        <f>0</f>
        <v/>
      </c>
      <c r="R61" s="34">
        <f>0</f>
        <v/>
      </c>
      <c r="S61" s="34">
        <f>0</f>
        <v/>
      </c>
      <c r="T61" s="34">
        <f>0</f>
        <v/>
      </c>
      <c r="U61" s="34">
        <f>0</f>
        <v/>
      </c>
      <c r="V61" s="34">
        <f>0</f>
        <v/>
      </c>
      <c r="W61" s="34">
        <f>0</f>
        <v/>
      </c>
      <c r="X61" s="34">
        <f>0</f>
        <v/>
      </c>
      <c r="Y61" s="34">
        <f>0</f>
        <v/>
      </c>
      <c r="Z61" s="34">
        <f>0</f>
        <v/>
      </c>
    </row>
    <row r="62">
      <c r="B62" s="5" t="inlineStr">
        <is>
          <t>תזרים נקי — תרחיש B</t>
        </is>
      </c>
      <c r="C62" s="9" t="inlineStr">
        <is>
          <t>₪</t>
        </is>
      </c>
      <c r="D62" s="9" t="inlineStr">
        <is>
          <t>חישוב</t>
        </is>
      </c>
      <c r="F62" s="34">
        <f>F59</f>
        <v/>
      </c>
      <c r="G62" s="34">
        <f>G60+G61+G44</f>
        <v/>
      </c>
      <c r="H62" s="34">
        <f>H60+H61+H44</f>
        <v/>
      </c>
      <c r="I62" s="34">
        <f>I60+I61+I44</f>
        <v/>
      </c>
      <c r="J62" s="34">
        <f>J60+J61+J44</f>
        <v/>
      </c>
      <c r="K62" s="34">
        <f>K60+K61+K44</f>
        <v/>
      </c>
      <c r="L62" s="34">
        <f>L60+L61+L44</f>
        <v/>
      </c>
      <c r="M62" s="34">
        <f>M60+M61+M44</f>
        <v/>
      </c>
      <c r="N62" s="34">
        <f>N60+N61+N44</f>
        <v/>
      </c>
      <c r="O62" s="34">
        <f>O60+O61+O44</f>
        <v/>
      </c>
      <c r="P62" s="34">
        <f>P60+P61+P44</f>
        <v/>
      </c>
      <c r="Q62" s="34">
        <f>Q60+Q61+Q44</f>
        <v/>
      </c>
      <c r="R62" s="34">
        <f>R60+R61+R44</f>
        <v/>
      </c>
      <c r="S62" s="34">
        <f>S60+S61+S44</f>
        <v/>
      </c>
      <c r="T62" s="34">
        <f>T60+T61+T44</f>
        <v/>
      </c>
      <c r="U62" s="34">
        <f>U60+U61+U44</f>
        <v/>
      </c>
      <c r="V62" s="34">
        <f>V60+V61+V44</f>
        <v/>
      </c>
      <c r="W62" s="34">
        <f>W60+W61+W44</f>
        <v/>
      </c>
      <c r="X62" s="34">
        <f>X60+X61+X44</f>
        <v/>
      </c>
      <c r="Y62" s="34">
        <f>Y60+Y61+Y44</f>
        <v/>
      </c>
      <c r="Z62" s="34">
        <f>Z60+Z61+Z44</f>
        <v/>
      </c>
    </row>
    <row r="63">
      <c r="B63" s="5" t="inlineStr">
        <is>
          <t>תזרים מהוון — תרחיש B</t>
        </is>
      </c>
      <c r="C63" s="9" t="inlineStr">
        <is>
          <t>₪</t>
        </is>
      </c>
      <c r="D63" s="9" t="inlineStr">
        <is>
          <t>חישוב</t>
        </is>
      </c>
      <c r="F63" s="34">
        <f>F62</f>
        <v/>
      </c>
      <c r="G63" s="34">
        <f>G62/(1+'נתונים והנחות'!$F$11)^1</f>
        <v/>
      </c>
      <c r="H63" s="34">
        <f>H62/(1+'נתונים והנחות'!$F$11)^2</f>
        <v/>
      </c>
      <c r="I63" s="34">
        <f>I62/(1+'נתונים והנחות'!$F$11)^3</f>
        <v/>
      </c>
      <c r="J63" s="34">
        <f>J62/(1+'נתונים והנחות'!$F$11)^4</f>
        <v/>
      </c>
      <c r="K63" s="34">
        <f>K62/(1+'נתונים והנחות'!$F$11)^5</f>
        <v/>
      </c>
      <c r="L63" s="34">
        <f>L62/(1+'נתונים והנחות'!$F$11)^6</f>
        <v/>
      </c>
      <c r="M63" s="34">
        <f>M62/(1+'נתונים והנחות'!$F$11)^7</f>
        <v/>
      </c>
      <c r="N63" s="34">
        <f>N62/(1+'נתונים והנחות'!$F$11)^8</f>
        <v/>
      </c>
      <c r="O63" s="34">
        <f>O62/(1+'נתונים והנחות'!$F$11)^9</f>
        <v/>
      </c>
      <c r="P63" s="34">
        <f>P62/(1+'נתונים והנחות'!$F$11)^10</f>
        <v/>
      </c>
      <c r="Q63" s="34">
        <f>Q62/(1+'נתונים והנחות'!$F$11)^11</f>
        <v/>
      </c>
      <c r="R63" s="34">
        <f>R62/(1+'נתונים והנחות'!$F$11)^12</f>
        <v/>
      </c>
      <c r="S63" s="34">
        <f>S62/(1+'נתונים והנחות'!$F$11)^13</f>
        <v/>
      </c>
      <c r="T63" s="34">
        <f>T62/(1+'נתונים והנחות'!$F$11)^14</f>
        <v/>
      </c>
      <c r="U63" s="34">
        <f>U62/(1+'נתונים והנחות'!$F$11)^15</f>
        <v/>
      </c>
      <c r="V63" s="34">
        <f>V62/(1+'נתונים והנחות'!$F$11)^16</f>
        <v/>
      </c>
      <c r="W63" s="34">
        <f>W62/(1+'נתונים והנחות'!$F$11)^17</f>
        <v/>
      </c>
      <c r="X63" s="34">
        <f>X62/(1+'נתונים והנחות'!$F$11)^18</f>
        <v/>
      </c>
      <c r="Y63" s="34">
        <f>Y62/(1+'נתונים והנחות'!$F$11)^19</f>
        <v/>
      </c>
      <c r="Z63" s="34">
        <f>Z62/(1+'נתונים והנחות'!$F$11)^20</f>
        <v/>
      </c>
    </row>
    <row r="64">
      <c r="B64" s="5" t="inlineStr">
        <is>
          <t>NPV מצטבר — תרחיש B</t>
        </is>
      </c>
      <c r="C64" s="9" t="inlineStr">
        <is>
          <t>₪</t>
        </is>
      </c>
      <c r="D64" s="9" t="inlineStr">
        <is>
          <t>חישוב</t>
        </is>
      </c>
      <c r="F64" s="34">
        <f>F63</f>
        <v/>
      </c>
      <c r="G64" s="34">
        <f>F64+G63</f>
        <v/>
      </c>
      <c r="H64" s="34">
        <f>G64+H63</f>
        <v/>
      </c>
      <c r="I64" s="34">
        <f>H64+I63</f>
        <v/>
      </c>
      <c r="J64" s="34">
        <f>I64+J63</f>
        <v/>
      </c>
      <c r="K64" s="34">
        <f>J64+K63</f>
        <v/>
      </c>
      <c r="L64" s="34">
        <f>K64+L63</f>
        <v/>
      </c>
      <c r="M64" s="34">
        <f>L64+M63</f>
        <v/>
      </c>
      <c r="N64" s="34">
        <f>M64+N63</f>
        <v/>
      </c>
      <c r="O64" s="34">
        <f>N64+O63</f>
        <v/>
      </c>
      <c r="P64" s="34">
        <f>O64+P63</f>
        <v/>
      </c>
      <c r="Q64" s="34">
        <f>P64+Q63</f>
        <v/>
      </c>
      <c r="R64" s="34">
        <f>Q64+R63</f>
        <v/>
      </c>
      <c r="S64" s="34">
        <f>R64+S63</f>
        <v/>
      </c>
      <c r="T64" s="34">
        <f>S64+T63</f>
        <v/>
      </c>
      <c r="U64" s="34">
        <f>T64+U63</f>
        <v/>
      </c>
      <c r="V64" s="34">
        <f>U64+V63</f>
        <v/>
      </c>
      <c r="W64" s="34">
        <f>V64+W63</f>
        <v/>
      </c>
      <c r="X64" s="34">
        <f>W64+X63</f>
        <v/>
      </c>
      <c r="Y64" s="34">
        <f>X64+Y63</f>
        <v/>
      </c>
      <c r="Z64" s="34">
        <f>Y64+Z63</f>
        <v/>
      </c>
    </row>
    <row r="66">
      <c r="B66" s="38" t="inlineStr">
        <is>
          <t>תרחיש C — רכישת משאבות חום (חימום מים) | פחת מואץ (עם תמריץ)</t>
        </is>
      </c>
    </row>
    <row r="67">
      <c r="B67" s="23" t="inlineStr">
        <is>
          <t>* OPEX זהה לתרחיש B — ההבדל הוא מגן המס המואץ בלבד</t>
        </is>
      </c>
    </row>
    <row r="68">
      <c r="B68" s="6" t="inlineStr">
        <is>
          <t>תזרים נקי — תרחיש C</t>
        </is>
      </c>
      <c r="C68" s="9" t="inlineStr">
        <is>
          <t>₪</t>
        </is>
      </c>
      <c r="D68" s="9" t="inlineStr">
        <is>
          <t>חישוב</t>
        </is>
      </c>
      <c r="F68" s="35">
        <f>F59</f>
        <v/>
      </c>
      <c r="G68" s="35">
        <f>G60+G61+G46</f>
        <v/>
      </c>
      <c r="H68" s="35">
        <f>H60+H61+H46</f>
        <v/>
      </c>
      <c r="I68" s="35">
        <f>I60+I61+I46</f>
        <v/>
      </c>
      <c r="J68" s="35">
        <f>J60+J61+J46</f>
        <v/>
      </c>
      <c r="K68" s="35">
        <f>K60+K61+K46</f>
        <v/>
      </c>
      <c r="L68" s="35">
        <f>L60+L61+L46</f>
        <v/>
      </c>
      <c r="M68" s="35">
        <f>M60+M61+M46</f>
        <v/>
      </c>
      <c r="N68" s="35">
        <f>N60+N61+N46</f>
        <v/>
      </c>
      <c r="O68" s="35">
        <f>O60+O61+O46</f>
        <v/>
      </c>
      <c r="P68" s="35">
        <f>P60+P61+P46</f>
        <v/>
      </c>
      <c r="Q68" s="35">
        <f>Q60+Q61+Q46</f>
        <v/>
      </c>
      <c r="R68" s="35">
        <f>R60+R61+R46</f>
        <v/>
      </c>
      <c r="S68" s="35">
        <f>S60+S61+S46</f>
        <v/>
      </c>
      <c r="T68" s="35">
        <f>T60+T61+T46</f>
        <v/>
      </c>
      <c r="U68" s="35">
        <f>U60+U61+U46</f>
        <v/>
      </c>
      <c r="V68" s="35">
        <f>V60+V61+V46</f>
        <v/>
      </c>
      <c r="W68" s="35">
        <f>W60+W61+W46</f>
        <v/>
      </c>
      <c r="X68" s="35">
        <f>X60+X61+X46</f>
        <v/>
      </c>
      <c r="Y68" s="35">
        <f>Y60+Y61+Y46</f>
        <v/>
      </c>
      <c r="Z68" s="35">
        <f>Z60+Z61+Z46</f>
        <v/>
      </c>
    </row>
    <row r="69">
      <c r="B69" s="6" t="inlineStr">
        <is>
          <t>תזרים מהוון — תרחיש C</t>
        </is>
      </c>
      <c r="C69" s="9" t="inlineStr">
        <is>
          <t>₪</t>
        </is>
      </c>
      <c r="D69" s="9" t="inlineStr">
        <is>
          <t>חישוב</t>
        </is>
      </c>
      <c r="F69" s="35">
        <f>F68</f>
        <v/>
      </c>
      <c r="G69" s="35">
        <f>G68/(1+'נתונים והנחות'!$F$11)^1</f>
        <v/>
      </c>
      <c r="H69" s="35">
        <f>H68/(1+'נתונים והנחות'!$F$11)^2</f>
        <v/>
      </c>
      <c r="I69" s="35">
        <f>I68/(1+'נתונים והנחות'!$F$11)^3</f>
        <v/>
      </c>
      <c r="J69" s="35">
        <f>J68/(1+'נתונים והנחות'!$F$11)^4</f>
        <v/>
      </c>
      <c r="K69" s="35">
        <f>K68/(1+'נתונים והנחות'!$F$11)^5</f>
        <v/>
      </c>
      <c r="L69" s="35">
        <f>L68/(1+'נתונים והנחות'!$F$11)^6</f>
        <v/>
      </c>
      <c r="M69" s="35">
        <f>M68/(1+'נתונים והנחות'!$F$11)^7</f>
        <v/>
      </c>
      <c r="N69" s="35">
        <f>N68/(1+'נתונים והנחות'!$F$11)^8</f>
        <v/>
      </c>
      <c r="O69" s="35">
        <f>O68/(1+'נתונים והנחות'!$F$11)^9</f>
        <v/>
      </c>
      <c r="P69" s="35">
        <f>P68/(1+'נתונים והנחות'!$F$11)^10</f>
        <v/>
      </c>
      <c r="Q69" s="35">
        <f>Q68/(1+'נתונים והנחות'!$F$11)^11</f>
        <v/>
      </c>
      <c r="R69" s="35">
        <f>R68/(1+'נתונים והנחות'!$F$11)^12</f>
        <v/>
      </c>
      <c r="S69" s="35">
        <f>S68/(1+'נתונים והנחות'!$F$11)^13</f>
        <v/>
      </c>
      <c r="T69" s="35">
        <f>T68/(1+'נתונים והנחות'!$F$11)^14</f>
        <v/>
      </c>
      <c r="U69" s="35">
        <f>U68/(1+'נתונים והנחות'!$F$11)^15</f>
        <v/>
      </c>
      <c r="V69" s="35">
        <f>V68/(1+'נתונים והנחות'!$F$11)^16</f>
        <v/>
      </c>
      <c r="W69" s="35">
        <f>W68/(1+'נתונים והנחות'!$F$11)^17</f>
        <v/>
      </c>
      <c r="X69" s="35">
        <f>X68/(1+'נתונים והנחות'!$F$11)^18</f>
        <v/>
      </c>
      <c r="Y69" s="35">
        <f>Y68/(1+'נתונים והנחות'!$F$11)^19</f>
        <v/>
      </c>
      <c r="Z69" s="35">
        <f>Z68/(1+'נתונים והנחות'!$F$11)^20</f>
        <v/>
      </c>
    </row>
    <row r="70">
      <c r="B70" s="6" t="inlineStr">
        <is>
          <t>NPV מצטבר — תרחיש C</t>
        </is>
      </c>
      <c r="C70" s="9" t="inlineStr">
        <is>
          <t>₪</t>
        </is>
      </c>
      <c r="D70" s="9" t="inlineStr">
        <is>
          <t>חישוב</t>
        </is>
      </c>
      <c r="F70" s="35">
        <f>F69</f>
        <v/>
      </c>
      <c r="G70" s="35">
        <f>F70+G69</f>
        <v/>
      </c>
      <c r="H70" s="35">
        <f>G70+H69</f>
        <v/>
      </c>
      <c r="I70" s="35">
        <f>H70+I69</f>
        <v/>
      </c>
      <c r="J70" s="35">
        <f>I70+J69</f>
        <v/>
      </c>
      <c r="K70" s="35">
        <f>J70+K69</f>
        <v/>
      </c>
      <c r="L70" s="35">
        <f>K70+L69</f>
        <v/>
      </c>
      <c r="M70" s="35">
        <f>L70+M69</f>
        <v/>
      </c>
      <c r="N70" s="35">
        <f>M70+N69</f>
        <v/>
      </c>
      <c r="O70" s="35">
        <f>N70+O69</f>
        <v/>
      </c>
      <c r="P70" s="35">
        <f>O70+P69</f>
        <v/>
      </c>
      <c r="Q70" s="35">
        <f>P70+Q69</f>
        <v/>
      </c>
      <c r="R70" s="35">
        <f>Q70+R69</f>
        <v/>
      </c>
      <c r="S70" s="35">
        <f>R70+S69</f>
        <v/>
      </c>
      <c r="T70" s="35">
        <f>S70+T69</f>
        <v/>
      </c>
      <c r="U70" s="35">
        <f>T70+U69</f>
        <v/>
      </c>
      <c r="V70" s="35">
        <f>U70+V69</f>
        <v/>
      </c>
      <c r="W70" s="35">
        <f>V70+W69</f>
        <v/>
      </c>
      <c r="X70" s="35">
        <f>W70+X69</f>
        <v/>
      </c>
      <c r="Y70" s="35">
        <f>X70+Y69</f>
        <v/>
      </c>
      <c r="Z70" s="35">
        <f>Y70+Z69</f>
        <v/>
      </c>
    </row>
    <row r="72">
      <c r="B72" s="25" t="inlineStr">
        <is>
          <t>ד. תוצאות</t>
        </is>
      </c>
    </row>
    <row r="73">
      <c r="B73" s="39" t="inlineStr">
        <is>
          <t>NPV — תרחיש A (דוד חשמל קונבנציונלי)</t>
        </is>
      </c>
      <c r="C73" s="9" t="inlineStr">
        <is>
          <t>ש"ח</t>
        </is>
      </c>
      <c r="F73" s="33">
        <f>SUM(F55:Z55)</f>
        <v/>
      </c>
    </row>
    <row r="74">
      <c r="B74" s="40" t="inlineStr">
        <is>
          <t>NPV — תרחיש B (משאבות חום (חימום מים), ללא תמריץ)</t>
        </is>
      </c>
      <c r="C74" s="9" t="inlineStr">
        <is>
          <t>ש"ח</t>
        </is>
      </c>
      <c r="F74" s="34">
        <f>SUM(F63:Z63)</f>
        <v/>
      </c>
    </row>
    <row r="75">
      <c r="B75" s="41" t="inlineStr">
        <is>
          <t>NPV — תרחיש C (משאבות חום (חימום מים), עם תמריץ)</t>
        </is>
      </c>
      <c r="C75" s="9" t="inlineStr">
        <is>
          <t>ש"ח</t>
        </is>
      </c>
      <c r="F75" s="35">
        <f>SUM(F69:Z69)</f>
        <v/>
      </c>
    </row>
    <row r="77">
      <c r="B77" s="42" t="inlineStr">
        <is>
          <t>NPV מצטבר — הצדקת השדרוג (B−A)</t>
        </is>
      </c>
      <c r="C77" s="9" t="inlineStr">
        <is>
          <t>ש"ח</t>
        </is>
      </c>
      <c r="F77" s="43">
        <f>F74-F73</f>
        <v/>
      </c>
    </row>
    <row r="78">
      <c r="B78" s="44" t="inlineStr">
        <is>
          <t>ערך התמריץ — תועלת הפחת המואץ (C−B)</t>
        </is>
      </c>
      <c r="C78" s="9" t="inlineStr">
        <is>
          <t>ש"ח</t>
        </is>
      </c>
      <c r="F78" s="45">
        <f>F75-F74</f>
        <v/>
      </c>
    </row>
    <row r="80">
      <c r="B80" s="39" t="inlineStr">
        <is>
          <t>ROI — תרחיש A</t>
        </is>
      </c>
      <c r="C80" s="9" t="inlineStr">
        <is>
          <t>%</t>
        </is>
      </c>
      <c r="F80" s="46">
        <f>IF(ISNUMBER($F$24),(SUM(F55:Z55)+$F$24)/$F$24,"PENDING")</f>
        <v/>
      </c>
    </row>
    <row r="81">
      <c r="B81" s="40" t="inlineStr">
        <is>
          <t>ROI — תרחיש B</t>
        </is>
      </c>
      <c r="C81" s="9" t="inlineStr">
        <is>
          <t>%</t>
        </is>
      </c>
      <c r="F81" s="47">
        <f>IF(ISNUMBER($F$25),(SUM(F63:Z63)+$F$25)/$F$25,"PENDING")</f>
        <v/>
      </c>
    </row>
    <row r="82">
      <c r="B82" s="41" t="inlineStr">
        <is>
          <t>ROI — תרחיש C</t>
        </is>
      </c>
      <c r="C82" s="9" t="inlineStr">
        <is>
          <t>%</t>
        </is>
      </c>
      <c r="F82" s="48">
        <f>IF(ISNUMBER($F$25),(SUM(F69:Z69)+$F$25)/$F$25,"PENDING")</f>
        <v/>
      </c>
    </row>
    <row r="84">
      <c r="B84" s="42" t="inlineStr">
        <is>
          <t>תקופת החזר ΔCapEx ללא תמריץ (B−A)</t>
        </is>
      </c>
      <c r="C84" s="9" t="inlineStr">
        <is>
          <t>שנים</t>
        </is>
      </c>
      <c r="E84" s="23" t="inlineStr">
        <is>
          <t>זמן להחזר ההשקעה הנוספת | מחושב על ΔCF = CF_B − CF_A</t>
        </is>
      </c>
      <c r="F84" s="49">
        <f>IFERROR(MATCH(1,(F90:Z90&gt;0)*1,0)-2+ABS(INDEX(F90:Z90,MATCH(1,(F90:Z90&gt;0)*1,0)-1))/(INDEX(F90:Z90,MATCH(1,(F90:Z90&gt;0)*1,0))-INDEX(F90:Z90,MATCH(1,(F90:Z90&gt;0)*1,0)-1)),"לא מגיע לפירעון")</f>
        <v/>
      </c>
    </row>
    <row r="85">
      <c r="B85" s="50" t="inlineStr">
        <is>
          <t>תקופת החזר ΔCapEx עם תמריץ (C−A)</t>
        </is>
      </c>
      <c r="C85" s="51" t="inlineStr">
        <is>
          <t>שנים</t>
        </is>
      </c>
      <c r="E85" s="23" t="inlineStr">
        <is>
          <t>כולל יתרון מגן המס המואץ | מחושב על ΔCF = CF_C − CF_A</t>
        </is>
      </c>
      <c r="F85" s="52">
        <f>IFERROR(MATCH(1,(F91:Z91&gt;0)*1,0)-2+ABS(INDEX(F91:Z91,MATCH(1,(F91:Z91&gt;0)*1,0)-1))/(INDEX(F91:Z91,MATCH(1,(F91:Z91&gt;0)*1,0))-INDEX(F91:Z91,MATCH(1,(F91:Z91&gt;0)*1,0)-1)),"לא מגיע לפירעון")</f>
        <v/>
      </c>
    </row>
    <row r="88">
      <c r="B88" s="25" t="inlineStr">
        <is>
          <t>NPV מצטבר — מנקודת מבט ΔCapEx (לחישוב תקופת החזר על השקעה נוספת)</t>
        </is>
      </c>
    </row>
    <row r="89">
      <c r="B89" s="32" t="inlineStr">
        <is>
          <t>פרמטר</t>
        </is>
      </c>
      <c r="C89" s="32" t="inlineStr">
        <is>
          <t>יחידות</t>
        </is>
      </c>
      <c r="D89" s="32" t="inlineStr">
        <is>
          <t>מקור</t>
        </is>
      </c>
      <c r="E89" s="32" t="inlineStr">
        <is>
          <t>הערות</t>
        </is>
      </c>
      <c r="F89" s="32" t="inlineStr">
        <is>
          <t>שנה 0</t>
        </is>
      </c>
      <c r="G89" s="32" t="inlineStr">
        <is>
          <t>שנה 1</t>
        </is>
      </c>
      <c r="H89" s="32" t="inlineStr">
        <is>
          <t>שנה 2</t>
        </is>
      </c>
      <c r="I89" s="32" t="inlineStr">
        <is>
          <t>שנה 3</t>
        </is>
      </c>
      <c r="J89" s="32" t="inlineStr">
        <is>
          <t>שנה 4</t>
        </is>
      </c>
      <c r="K89" s="32" t="inlineStr">
        <is>
          <t>שנה 5</t>
        </is>
      </c>
      <c r="L89" s="32" t="inlineStr">
        <is>
          <t>שנה 6</t>
        </is>
      </c>
      <c r="M89" s="32" t="inlineStr">
        <is>
          <t>שנה 7</t>
        </is>
      </c>
      <c r="N89" s="32" t="inlineStr">
        <is>
          <t>שנה 8</t>
        </is>
      </c>
      <c r="O89" s="32" t="inlineStr">
        <is>
          <t>שנה 9</t>
        </is>
      </c>
      <c r="P89" s="32" t="inlineStr">
        <is>
          <t>שנה 10</t>
        </is>
      </c>
      <c r="Q89" s="32" t="inlineStr">
        <is>
          <t>שנה 11</t>
        </is>
      </c>
      <c r="R89" s="32" t="inlineStr">
        <is>
          <t>שנה 12</t>
        </is>
      </c>
      <c r="S89" s="32" t="inlineStr">
        <is>
          <t>שנה 13</t>
        </is>
      </c>
      <c r="T89" s="32" t="inlineStr">
        <is>
          <t>שנה 14</t>
        </is>
      </c>
      <c r="U89" s="32" t="inlineStr">
        <is>
          <t>שנה 15</t>
        </is>
      </c>
      <c r="V89" s="32" t="inlineStr">
        <is>
          <t>שנה 16</t>
        </is>
      </c>
      <c r="W89" s="32" t="inlineStr">
        <is>
          <t>שנה 17</t>
        </is>
      </c>
      <c r="X89" s="32" t="inlineStr">
        <is>
          <t>שנה 18</t>
        </is>
      </c>
      <c r="Y89" s="32" t="inlineStr">
        <is>
          <t>שנה 19</t>
        </is>
      </c>
      <c r="Z89" s="32" t="inlineStr">
        <is>
          <t>שנה 20</t>
        </is>
      </c>
    </row>
    <row r="90">
      <c r="B90" s="2" t="inlineStr">
        <is>
          <t>NPV מצטבר ΔCF — שדרוג ללא תמריץ (B−A)</t>
        </is>
      </c>
      <c r="C90" s="9" t="inlineStr">
        <is>
          <t>₪</t>
        </is>
      </c>
      <c r="D90" s="9" t="inlineStr">
        <is>
          <t>חישוב</t>
        </is>
      </c>
      <c r="F90" s="43">
        <f>IF(ISNUMBER($F$26),-$F$26,"PENDING")</f>
        <v/>
      </c>
      <c r="G90" s="43">
        <f>F90+(G63-G55)</f>
        <v/>
      </c>
      <c r="H90" s="43">
        <f>G90+(H63-H55)</f>
        <v/>
      </c>
      <c r="I90" s="43">
        <f>H90+(I63-I55)</f>
        <v/>
      </c>
      <c r="J90" s="43">
        <f>I90+(J63-J55)</f>
        <v/>
      </c>
      <c r="K90" s="43">
        <f>J90+(K63-K55)</f>
        <v/>
      </c>
      <c r="L90" s="43">
        <f>K90+(L63-L55)</f>
        <v/>
      </c>
      <c r="M90" s="43">
        <f>L90+(M63-M55)</f>
        <v/>
      </c>
      <c r="N90" s="43">
        <f>M90+(N63-N55)</f>
        <v/>
      </c>
      <c r="O90" s="43">
        <f>N90+(O63-O55)</f>
        <v/>
      </c>
      <c r="P90" s="43">
        <f>O90+(P63-P55)</f>
        <v/>
      </c>
      <c r="Q90" s="43">
        <f>P90+(Q63-Q55)</f>
        <v/>
      </c>
      <c r="R90" s="43">
        <f>Q90+(R63-R55)</f>
        <v/>
      </c>
      <c r="S90" s="43">
        <f>R90+(S63-S55)</f>
        <v/>
      </c>
      <c r="T90" s="43">
        <f>S90+(T63-T55)</f>
        <v/>
      </c>
      <c r="U90" s="43">
        <f>T90+(U63-U55)</f>
        <v/>
      </c>
      <c r="V90" s="43">
        <f>U90+(V63-V55)</f>
        <v/>
      </c>
      <c r="W90" s="43">
        <f>V90+(W63-W55)</f>
        <v/>
      </c>
      <c r="X90" s="43">
        <f>W90+(X63-X55)</f>
        <v/>
      </c>
      <c r="Y90" s="43">
        <f>X90+(Y63-Y55)</f>
        <v/>
      </c>
      <c r="Z90" s="43">
        <f>Y90+(Z63-Z55)</f>
        <v/>
      </c>
    </row>
    <row r="91">
      <c r="B91" s="7" t="inlineStr">
        <is>
          <t>NPV מצטבר ΔCF — שדרוג עם תמריץ (C−A)</t>
        </is>
      </c>
      <c r="C91" s="9" t="inlineStr">
        <is>
          <t>₪</t>
        </is>
      </c>
      <c r="D91" s="9" t="inlineStr">
        <is>
          <t>חישוב</t>
        </is>
      </c>
      <c r="F91" s="45">
        <f>IF(ISNUMBER($F$26),-$F$26,"PENDING")</f>
        <v/>
      </c>
      <c r="G91" s="45">
        <f>F91+(G69-G55)</f>
        <v/>
      </c>
      <c r="H91" s="45">
        <f>G91+(H69-H55)</f>
        <v/>
      </c>
      <c r="I91" s="45">
        <f>H91+(I69-I55)</f>
        <v/>
      </c>
      <c r="J91" s="45">
        <f>I91+(J69-J55)</f>
        <v/>
      </c>
      <c r="K91" s="45">
        <f>J91+(K69-K55)</f>
        <v/>
      </c>
      <c r="L91" s="45">
        <f>K91+(L69-L55)</f>
        <v/>
      </c>
      <c r="M91" s="45">
        <f>L91+(M69-M55)</f>
        <v/>
      </c>
      <c r="N91" s="45">
        <f>M91+(N69-N55)</f>
        <v/>
      </c>
      <c r="O91" s="45">
        <f>N91+(O69-O55)</f>
        <v/>
      </c>
      <c r="P91" s="45">
        <f>O91+(P69-P55)</f>
        <v/>
      </c>
      <c r="Q91" s="45">
        <f>P91+(Q69-Q55)</f>
        <v/>
      </c>
      <c r="R91" s="45">
        <f>Q91+(R69-R55)</f>
        <v/>
      </c>
      <c r="S91" s="45">
        <f>R91+(S69-S55)</f>
        <v/>
      </c>
      <c r="T91" s="45">
        <f>S91+(T69-T55)</f>
        <v/>
      </c>
      <c r="U91" s="45">
        <f>T91+(U69-U55)</f>
        <v/>
      </c>
      <c r="V91" s="45">
        <f>U91+(V69-V55)</f>
        <v/>
      </c>
      <c r="W91" s="45">
        <f>V91+(W69-W55)</f>
        <v/>
      </c>
      <c r="X91" s="45">
        <f>W91+(X69-X55)</f>
        <v/>
      </c>
      <c r="Y91" s="45">
        <f>X91+(Y69-Y55)</f>
        <v/>
      </c>
      <c r="Z91" s="45">
        <f>Y91+(Z69-Z55)</f>
        <v/>
      </c>
    </row>
    <row r="95">
      <c r="B95" s="24" t="inlineStr">
        <is>
          <t>3.2  צ'ילרים</t>
        </is>
      </c>
    </row>
    <row r="96">
      <c r="B96" s="23" t="inlineStr">
        <is>
          <t>* שדרוג מערכת קירור תעשייתית | חיסכון ~20% | אורך חיים: 17 vs 15 שנה</t>
        </is>
      </c>
    </row>
    <row r="97">
      <c r="B97" s="25" t="inlineStr">
        <is>
          <t>א. נתוני השקעה וציוד</t>
        </is>
      </c>
    </row>
    <row r="98">
      <c r="B98" s="18" t="inlineStr">
        <is>
          <t>CapEx — מערכת קירור קונבנציונלית</t>
        </is>
      </c>
      <c r="C98" s="9" t="inlineStr">
        <is>
          <t>₪</t>
        </is>
      </c>
      <c r="D98" s="9" t="inlineStr">
        <is>
          <t>נתוני רפי</t>
        </is>
      </c>
      <c r="E98" s="26" t="inlineStr">
        <is>
          <t>⚠ ממתין</t>
        </is>
      </c>
      <c r="F98" s="27" t="inlineStr">
        <is>
          <t>PENDING</t>
        </is>
      </c>
    </row>
    <row r="99">
      <c r="B99" s="18" t="inlineStr">
        <is>
          <t>CapEx — צ'ילרים</t>
        </is>
      </c>
      <c r="C99" s="9" t="inlineStr">
        <is>
          <t>₪</t>
        </is>
      </c>
      <c r="D99" s="9" t="inlineStr">
        <is>
          <t>נתוני רפי</t>
        </is>
      </c>
      <c r="E99" s="26" t="inlineStr">
        <is>
          <t>⚠ ממתין</t>
        </is>
      </c>
      <c r="F99" s="27" t="inlineStr">
        <is>
          <t>PENDING</t>
        </is>
      </c>
    </row>
    <row r="100">
      <c r="B100" s="18" t="inlineStr">
        <is>
          <t>ΔCapEx — השקעה נוספת</t>
        </is>
      </c>
      <c r="C100" s="9" t="inlineStr">
        <is>
          <t>₪</t>
        </is>
      </c>
      <c r="D100" s="9" t="inlineStr">
        <is>
          <t>חישוב</t>
        </is>
      </c>
      <c r="E100" s="9">
        <f> CapEx יעיל − CapEx בסיסי</f>
        <v/>
      </c>
      <c r="F100" s="28">
        <f>IF(ISNUMBER($F$99)*ISNUMBER($F$98),$F$99-$F$98,"PENDING")</f>
        <v/>
      </c>
    </row>
    <row r="101">
      <c r="B101" s="18" t="inlineStr">
        <is>
          <t>אורך חיי ציוד — מערכת קירור קונבנציונלית</t>
        </is>
      </c>
      <c r="C101" s="9" t="inlineStr">
        <is>
          <t>שנים</t>
        </is>
      </c>
      <c r="D101" s="9" t="inlineStr">
        <is>
          <t>ממצאי הנדסה</t>
        </is>
      </c>
      <c r="E101" s="9" t="inlineStr">
        <is>
          <t>ברירת מחדל: 15 שנה — לאשר מול רפי</t>
        </is>
      </c>
      <c r="F101" s="29" t="n">
        <v>15</v>
      </c>
    </row>
    <row r="102">
      <c r="B102" s="18" t="inlineStr">
        <is>
          <t>אורך חיי ציוד — צ'ילרים</t>
        </is>
      </c>
      <c r="C102" s="9" t="inlineStr">
        <is>
          <t>שנים</t>
        </is>
      </c>
      <c r="D102" s="9" t="inlineStr">
        <is>
          <t>ממצאי הנדסה</t>
        </is>
      </c>
      <c r="E102" s="9" t="inlineStr">
        <is>
          <t>ברירת מחדל: 17 שנה — לאשר מול רפי</t>
        </is>
      </c>
      <c r="F102" s="29" t="n">
        <v>17</v>
      </c>
    </row>
    <row r="103">
      <c r="B103" s="18" t="inlineStr">
        <is>
          <t>צריכת אנרגיה שנתית (ציוד בסיסי)</t>
        </is>
      </c>
      <c r="C103" s="9" t="inlineStr">
        <is>
          <t>קוט"ש/שנה</t>
        </is>
      </c>
      <c r="D103" s="9" t="inlineStr">
        <is>
          <t>נתוני רפי</t>
        </is>
      </c>
      <c r="E103" s="26" t="inlineStr">
        <is>
          <t>⚠ ממתין</t>
        </is>
      </c>
      <c r="F103" s="27" t="inlineStr">
        <is>
          <t>PENDING</t>
        </is>
      </c>
    </row>
    <row r="104">
      <c r="B104" s="18" t="inlineStr">
        <is>
          <t>חיסכון אנרגטי</t>
        </is>
      </c>
      <c r="C104" s="9" t="inlineStr">
        <is>
          <t>% מצריכה בסיסית</t>
        </is>
      </c>
      <c r="D104" s="9" t="inlineStr">
        <is>
          <t>ממצאי הנדסה</t>
        </is>
      </c>
      <c r="E104" s="9" t="inlineStr"/>
      <c r="F104" s="10" t="n">
        <v>0.2</v>
      </c>
    </row>
    <row r="105">
      <c r="B105" s="18" t="inlineStr">
        <is>
          <t>צריכת אנרגיה שנתית (ציוד יעיל)</t>
        </is>
      </c>
      <c r="C105" s="9" t="inlineStr">
        <is>
          <t>קוט"ש/שנה</t>
        </is>
      </c>
      <c r="D105" s="9" t="inlineStr">
        <is>
          <t>חישוב</t>
        </is>
      </c>
      <c r="E105" s="9">
        <f> צריכה בסיסית × (1 − חיסכון)</f>
        <v/>
      </c>
      <c r="F105" s="30">
        <f>IF(ISNUMBER($F$103),$F$103*(1-$F$104),"PENDING")</f>
        <v/>
      </c>
    </row>
    <row r="106">
      <c r="B106" s="18" t="inlineStr">
        <is>
          <t>גורם שחיקת ביצועים</t>
        </is>
      </c>
      <c r="C106" s="9" t="inlineStr">
        <is>
          <t>% לשנה</t>
        </is>
      </c>
      <c r="D106" s="9" t="inlineStr">
        <is>
          <t>הנחת עבודה</t>
        </is>
      </c>
      <c r="E106" s="9" t="inlineStr">
        <is>
          <t>ירידה שנתית בחיסכון האנרגטי | 0.5%-1.0%/שנה — לאשר מול רפי</t>
        </is>
      </c>
      <c r="F106" s="11" t="n">
        <v>0.005</v>
      </c>
    </row>
    <row r="107">
      <c r="B107" s="18" t="inlineStr">
        <is>
          <t>מחיר חשמל</t>
        </is>
      </c>
      <c r="C107" s="9" t="inlineStr">
        <is>
          <t>₪/קוט"ש</t>
        </is>
      </c>
      <c r="D107" s="9" t="inlineStr">
        <is>
          <t>גיליון הנחות</t>
        </is>
      </c>
      <c r="F107" s="31">
        <f>'נתונים והנחות'!$F$12/100</f>
        <v/>
      </c>
    </row>
    <row r="108">
      <c r="B108" s="18" t="inlineStr">
        <is>
          <t>OPEX אנרגיה — בסיסי (שנה 1)</t>
        </is>
      </c>
      <c r="C108" s="9" t="inlineStr">
        <is>
          <t>₪/שנה</t>
        </is>
      </c>
      <c r="D108" s="9" t="inlineStr">
        <is>
          <t>חישוב</t>
        </is>
      </c>
      <c r="E108" s="9">
        <f> kWh בסיסי × מחיר חשמל</f>
        <v/>
      </c>
      <c r="F108" s="28">
        <f>IF(ISNUMBER($F$103),$F$103*$F$107,"PENDING")</f>
        <v/>
      </c>
    </row>
    <row r="109">
      <c r="B109" s="18" t="inlineStr">
        <is>
          <t>OPEX אנרגיה — יעיל (שנה 1)</t>
        </is>
      </c>
      <c r="C109" s="9" t="inlineStr">
        <is>
          <t>₪/שנה</t>
        </is>
      </c>
      <c r="D109" s="9" t="inlineStr">
        <is>
          <t>חישוב</t>
        </is>
      </c>
      <c r="E109" s="9">
        <f> kWh יעיל × מחיר חשמל</f>
        <v/>
      </c>
      <c r="F109" s="28">
        <f>IF(ISNUMBER($F$105),$F$105*$F$107,"PENDING")</f>
        <v/>
      </c>
    </row>
    <row r="110">
      <c r="B110" s="18" t="inlineStr">
        <is>
          <t>OPEX אחר — בסיסי (תחזוקה, חלקים וכו')</t>
        </is>
      </c>
      <c r="C110" s="9" t="inlineStr">
        <is>
          <t>₪/שנה</t>
        </is>
      </c>
      <c r="D110" s="9" t="inlineStr">
        <is>
          <t>נתוני רפי</t>
        </is>
      </c>
      <c r="E110" s="26" t="inlineStr">
        <is>
          <t>⚠ ממתין — תחזוקה, חלפים, ביטוח</t>
        </is>
      </c>
      <c r="F110" s="27" t="inlineStr">
        <is>
          <t>PENDING</t>
        </is>
      </c>
    </row>
    <row r="111">
      <c r="B111" s="18" t="inlineStr">
        <is>
          <t>OPEX אחר — יעיל (תחזוקה, חלקים וכו')</t>
        </is>
      </c>
      <c r="C111" s="9" t="inlineStr">
        <is>
          <t>₪/שנה</t>
        </is>
      </c>
      <c r="D111" s="9" t="inlineStr">
        <is>
          <t>נתוני רפי</t>
        </is>
      </c>
      <c r="E111" s="26" t="inlineStr">
        <is>
          <t>⚠ ממתין — תחזוקה, חלפים, ביטוח</t>
        </is>
      </c>
      <c r="F111" s="27" t="inlineStr">
        <is>
          <t>PENDING</t>
        </is>
      </c>
    </row>
    <row r="113">
      <c r="B113" s="25" t="inlineStr">
        <is>
          <t>ב. לוחות פחת (ציוד בסיסי vs. יעיל)</t>
        </is>
      </c>
    </row>
    <row r="114">
      <c r="B114" s="32" t="inlineStr">
        <is>
          <t>פרמטר</t>
        </is>
      </c>
      <c r="C114" s="32" t="inlineStr">
        <is>
          <t>יחידות</t>
        </is>
      </c>
      <c r="D114" s="32" t="inlineStr">
        <is>
          <t>מקור</t>
        </is>
      </c>
      <c r="E114" s="32" t="inlineStr">
        <is>
          <t>הערות</t>
        </is>
      </c>
      <c r="F114" s="32" t="inlineStr">
        <is>
          <t>שנה 0 (השקעה)</t>
        </is>
      </c>
      <c r="G114" s="32" t="inlineStr">
        <is>
          <t>שנה 1</t>
        </is>
      </c>
      <c r="H114" s="32" t="inlineStr">
        <is>
          <t>שנה 2</t>
        </is>
      </c>
      <c r="I114" s="32" t="inlineStr">
        <is>
          <t>שנה 3</t>
        </is>
      </c>
      <c r="J114" s="32" t="inlineStr">
        <is>
          <t>שנה 4</t>
        </is>
      </c>
      <c r="K114" s="32" t="inlineStr">
        <is>
          <t>שנה 5</t>
        </is>
      </c>
      <c r="L114" s="32" t="inlineStr">
        <is>
          <t>שנה 6</t>
        </is>
      </c>
      <c r="M114" s="32" t="inlineStr">
        <is>
          <t>שנה 7</t>
        </is>
      </c>
      <c r="N114" s="32" t="inlineStr">
        <is>
          <t>שנה 8</t>
        </is>
      </c>
      <c r="O114" s="32" t="inlineStr">
        <is>
          <t>שנה 9</t>
        </is>
      </c>
      <c r="P114" s="32" t="inlineStr">
        <is>
          <t>שנה 10</t>
        </is>
      </c>
      <c r="Q114" s="32" t="inlineStr">
        <is>
          <t>שנה 11</t>
        </is>
      </c>
      <c r="R114" s="32" t="inlineStr">
        <is>
          <t>שנה 12</t>
        </is>
      </c>
      <c r="S114" s="32" t="inlineStr">
        <is>
          <t>שנה 13</t>
        </is>
      </c>
      <c r="T114" s="32" t="inlineStr">
        <is>
          <t>שנה 14</t>
        </is>
      </c>
      <c r="U114" s="32" t="inlineStr">
        <is>
          <t>שנה 15</t>
        </is>
      </c>
      <c r="V114" s="32" t="inlineStr">
        <is>
          <t>שנה 16</t>
        </is>
      </c>
      <c r="W114" s="32" t="inlineStr">
        <is>
          <t>שנה 17</t>
        </is>
      </c>
      <c r="X114" s="32" t="inlineStr">
        <is>
          <t>שנה 18</t>
        </is>
      </c>
      <c r="Y114" s="32" t="inlineStr">
        <is>
          <t>שנה 19</t>
        </is>
      </c>
      <c r="Z114" s="32" t="inlineStr">
        <is>
          <t>שנה 20</t>
        </is>
      </c>
    </row>
    <row r="115">
      <c r="B115" s="4" t="inlineStr">
        <is>
          <t>פחת סטנדרטי — מערכת קירור קונבנציונלית</t>
        </is>
      </c>
      <c r="C115" s="9" t="inlineStr">
        <is>
          <t>₪</t>
        </is>
      </c>
      <c r="D115" s="9" t="inlineStr">
        <is>
          <t>חישוב</t>
        </is>
      </c>
      <c r="E115" s="9" t="inlineStr">
        <is>
          <t>קו ישר | 10%/שנה | עד 10 שנים | CapEx בסיסי</t>
        </is>
      </c>
      <c r="F115" s="33" t="n">
        <v>0</v>
      </c>
      <c r="G115" s="33">
        <f>IF(ISNUMBER($F$98),$F$98*0.1,0)</f>
        <v/>
      </c>
      <c r="H115" s="33">
        <f>IF(ISNUMBER($F$98),$F$98*0.1,0)</f>
        <v/>
      </c>
      <c r="I115" s="33">
        <f>IF(ISNUMBER($F$98),$F$98*0.1,0)</f>
        <v/>
      </c>
      <c r="J115" s="33">
        <f>IF(ISNUMBER($F$98),$F$98*0.1,0)</f>
        <v/>
      </c>
      <c r="K115" s="33">
        <f>IF(ISNUMBER($F$98),$F$98*0.1,0)</f>
        <v/>
      </c>
      <c r="L115" s="33">
        <f>IF(ISNUMBER($F$98),$F$98*0.1,0)</f>
        <v/>
      </c>
      <c r="M115" s="33">
        <f>IF(ISNUMBER($F$98),$F$98*0.1,0)</f>
        <v/>
      </c>
      <c r="N115" s="33">
        <f>IF(ISNUMBER($F$98),$F$98*0.1,0)</f>
        <v/>
      </c>
      <c r="O115" s="33">
        <f>IF(ISNUMBER($F$98),$F$98*0.1,0)</f>
        <v/>
      </c>
      <c r="P115" s="33">
        <f>IF(ISNUMBER($F$98),$F$98*0.1,0)</f>
        <v/>
      </c>
      <c r="Q115" s="33">
        <f>0</f>
        <v/>
      </c>
      <c r="R115" s="33">
        <f>0</f>
        <v/>
      </c>
      <c r="S115" s="33">
        <f>0</f>
        <v/>
      </c>
      <c r="T115" s="33">
        <f>0</f>
        <v/>
      </c>
      <c r="U115" s="33">
        <f>0</f>
        <v/>
      </c>
      <c r="V115" s="33">
        <f>0</f>
        <v/>
      </c>
      <c r="W115" s="33">
        <f>0</f>
        <v/>
      </c>
      <c r="X115" s="33">
        <f>0</f>
        <v/>
      </c>
      <c r="Y115" s="33">
        <f>0</f>
        <v/>
      </c>
      <c r="Z115" s="33">
        <f>0</f>
        <v/>
      </c>
    </row>
    <row r="116">
      <c r="B116" s="4" t="inlineStr">
        <is>
          <t>מגן מס — מערכת קירור קונבנציונלית</t>
        </is>
      </c>
      <c r="C116" s="9" t="inlineStr">
        <is>
          <t>₪</t>
        </is>
      </c>
      <c r="D116" s="9" t="inlineStr">
        <is>
          <t>חישוב</t>
        </is>
      </c>
      <c r="E116" s="9">
        <f> פחת × שיעור מס</f>
        <v/>
      </c>
      <c r="F116" s="33" t="n">
        <v>0</v>
      </c>
      <c r="G116" s="33">
        <f>G115*'נתונים והנחות'!$F$10</f>
        <v/>
      </c>
      <c r="H116" s="33">
        <f>H115*'נתונים והנחות'!$F$10</f>
        <v/>
      </c>
      <c r="I116" s="33">
        <f>I115*'נתונים והנחות'!$F$10</f>
        <v/>
      </c>
      <c r="J116" s="33">
        <f>J115*'נתונים והנחות'!$F$10</f>
        <v/>
      </c>
      <c r="K116" s="33">
        <f>K115*'נתונים והנחות'!$F$10</f>
        <v/>
      </c>
      <c r="L116" s="33">
        <f>L115*'נתונים והנחות'!$F$10</f>
        <v/>
      </c>
      <c r="M116" s="33">
        <f>M115*'נתונים והנחות'!$F$10</f>
        <v/>
      </c>
      <c r="N116" s="33">
        <f>N115*'נתונים והנחות'!$F$10</f>
        <v/>
      </c>
      <c r="O116" s="33">
        <f>O115*'נתונים והנחות'!$F$10</f>
        <v/>
      </c>
      <c r="P116" s="33">
        <f>P115*'נתונים והנחות'!$F$10</f>
        <v/>
      </c>
      <c r="Q116" s="33">
        <f>Q115*'נתונים והנחות'!$F$10</f>
        <v/>
      </c>
      <c r="R116" s="33">
        <f>R115*'נתונים והנחות'!$F$10</f>
        <v/>
      </c>
      <c r="S116" s="33">
        <f>S115*'נתונים והנחות'!$F$10</f>
        <v/>
      </c>
      <c r="T116" s="33">
        <f>T115*'נתונים והנחות'!$F$10</f>
        <v/>
      </c>
      <c r="U116" s="33">
        <f>U115*'נתונים והנחות'!$F$10</f>
        <v/>
      </c>
      <c r="V116" s="33">
        <f>V115*'נתונים והנחות'!$F$10</f>
        <v/>
      </c>
      <c r="W116" s="33">
        <f>W115*'נתונים והנחות'!$F$10</f>
        <v/>
      </c>
      <c r="X116" s="33">
        <f>X115*'נתונים והנחות'!$F$10</f>
        <v/>
      </c>
      <c r="Y116" s="33">
        <f>Y115*'נתונים והנחות'!$F$10</f>
        <v/>
      </c>
      <c r="Z116" s="33">
        <f>Z115*'נתונים והנחות'!$F$10</f>
        <v/>
      </c>
    </row>
    <row r="117">
      <c r="B117" s="5" t="inlineStr">
        <is>
          <t>פחת סטנדרטי — צ'ילרים</t>
        </is>
      </c>
      <c r="C117" s="9" t="inlineStr">
        <is>
          <t>₪</t>
        </is>
      </c>
      <c r="D117" s="9" t="inlineStr">
        <is>
          <t>חישוב</t>
        </is>
      </c>
      <c r="E117" s="9" t="inlineStr">
        <is>
          <t>קו ישר | 10%/שנה | עד 10 שנים | CapEx יעיל</t>
        </is>
      </c>
      <c r="F117" s="34" t="n">
        <v>0</v>
      </c>
      <c r="G117" s="34">
        <f>IF(ISNUMBER($F$99),$F$99*0.1,0)</f>
        <v/>
      </c>
      <c r="H117" s="34">
        <f>IF(ISNUMBER($F$99),$F$99*0.1,0)</f>
        <v/>
      </c>
      <c r="I117" s="34">
        <f>IF(ISNUMBER($F$99),$F$99*0.1,0)</f>
        <v/>
      </c>
      <c r="J117" s="34">
        <f>IF(ISNUMBER($F$99),$F$99*0.1,0)</f>
        <v/>
      </c>
      <c r="K117" s="34">
        <f>IF(ISNUMBER($F$99),$F$99*0.1,0)</f>
        <v/>
      </c>
      <c r="L117" s="34">
        <f>IF(ISNUMBER($F$99),$F$99*0.1,0)</f>
        <v/>
      </c>
      <c r="M117" s="34">
        <f>IF(ISNUMBER($F$99),$F$99*0.1,0)</f>
        <v/>
      </c>
      <c r="N117" s="34">
        <f>IF(ISNUMBER($F$99),$F$99*0.1,0)</f>
        <v/>
      </c>
      <c r="O117" s="34">
        <f>IF(ISNUMBER($F$99),$F$99*0.1,0)</f>
        <v/>
      </c>
      <c r="P117" s="34">
        <f>IF(ISNUMBER($F$99),$F$99*0.1,0)</f>
        <v/>
      </c>
      <c r="Q117" s="34">
        <f>0</f>
        <v/>
      </c>
      <c r="R117" s="34">
        <f>0</f>
        <v/>
      </c>
      <c r="S117" s="34">
        <f>0</f>
        <v/>
      </c>
      <c r="T117" s="34">
        <f>0</f>
        <v/>
      </c>
      <c r="U117" s="34">
        <f>0</f>
        <v/>
      </c>
      <c r="V117" s="34">
        <f>0</f>
        <v/>
      </c>
      <c r="W117" s="34">
        <f>0</f>
        <v/>
      </c>
      <c r="X117" s="34">
        <f>0</f>
        <v/>
      </c>
      <c r="Y117" s="34">
        <f>0</f>
        <v/>
      </c>
      <c r="Z117" s="34">
        <f>0</f>
        <v/>
      </c>
    </row>
    <row r="118">
      <c r="B118" s="5" t="inlineStr">
        <is>
          <t>מגן מס סטנדרטי — צ'ילרים</t>
        </is>
      </c>
      <c r="C118" s="9" t="inlineStr">
        <is>
          <t>₪</t>
        </is>
      </c>
      <c r="D118" s="9" t="inlineStr">
        <is>
          <t>חישוב</t>
        </is>
      </c>
      <c r="E118" s="9">
        <f> פחת × שיעור מס</f>
        <v/>
      </c>
      <c r="F118" s="34" t="n">
        <v>0</v>
      </c>
      <c r="G118" s="34">
        <f>G117*'נתונים והנחות'!$F$10</f>
        <v/>
      </c>
      <c r="H118" s="34">
        <f>H117*'נתונים והנחות'!$F$10</f>
        <v/>
      </c>
      <c r="I118" s="34">
        <f>I117*'נתונים והנחות'!$F$10</f>
        <v/>
      </c>
      <c r="J118" s="34">
        <f>J117*'נתונים והנחות'!$F$10</f>
        <v/>
      </c>
      <c r="K118" s="34">
        <f>K117*'נתונים והנחות'!$F$10</f>
        <v/>
      </c>
      <c r="L118" s="34">
        <f>L117*'נתונים והנחות'!$F$10</f>
        <v/>
      </c>
      <c r="M118" s="34">
        <f>M117*'נתונים והנחות'!$F$10</f>
        <v/>
      </c>
      <c r="N118" s="34">
        <f>N117*'נתונים והנחות'!$F$10</f>
        <v/>
      </c>
      <c r="O118" s="34">
        <f>O117*'נתונים והנחות'!$F$10</f>
        <v/>
      </c>
      <c r="P118" s="34">
        <f>P117*'נתונים והנחות'!$F$10</f>
        <v/>
      </c>
      <c r="Q118" s="34">
        <f>Q117*'נתונים והנחות'!$F$10</f>
        <v/>
      </c>
      <c r="R118" s="34">
        <f>R117*'נתונים והנחות'!$F$10</f>
        <v/>
      </c>
      <c r="S118" s="34">
        <f>S117*'נתונים והנחות'!$F$10</f>
        <v/>
      </c>
      <c r="T118" s="34">
        <f>T117*'נתונים והנחות'!$F$10</f>
        <v/>
      </c>
      <c r="U118" s="34">
        <f>U117*'נתונים והנחות'!$F$10</f>
        <v/>
      </c>
      <c r="V118" s="34">
        <f>V117*'נתונים והנחות'!$F$10</f>
        <v/>
      </c>
      <c r="W118" s="34">
        <f>W117*'נתונים והנחות'!$F$10</f>
        <v/>
      </c>
      <c r="X118" s="34">
        <f>X117*'נתונים והנחות'!$F$10</f>
        <v/>
      </c>
      <c r="Y118" s="34">
        <f>Y117*'נתונים והנחות'!$F$10</f>
        <v/>
      </c>
      <c r="Z118" s="34">
        <f>Z117*'נתונים והנחות'!$F$10</f>
        <v/>
      </c>
    </row>
    <row r="119">
      <c r="B119" s="6" t="inlineStr">
        <is>
          <t>פחת מואץ — צ'ילרים</t>
        </is>
      </c>
      <c r="C119" s="9" t="inlineStr">
        <is>
          <t>₪</t>
        </is>
      </c>
      <c r="D119" s="9" t="inlineStr">
        <is>
          <t>חישוב</t>
        </is>
      </c>
      <c r="E119" s="9">
        <f> CapEx יעיל × (פחת סטנדרטי × מכפיל) | תקופה = 1 ÷ שיעור מואץ</f>
        <v/>
      </c>
      <c r="F119" s="35" t="n">
        <v>0</v>
      </c>
      <c r="G119" s="35">
        <f>IF(ISNUMBER($F$99),IF(1&lt;=ROUND(1/(0.1*'נתונים והנחות'!$F$15),0),$F$99*0.1*'נתונים והנחות'!$F$15,0),0)</f>
        <v/>
      </c>
      <c r="H119" s="35">
        <f>IF(ISNUMBER($F$99),IF(2&lt;=ROUND(1/(0.1*'נתונים והנחות'!$F$15),0),$F$99*0.1*'נתונים והנחות'!$F$15,0),0)</f>
        <v/>
      </c>
      <c r="I119" s="35">
        <f>IF(ISNUMBER($F$99),IF(3&lt;=ROUND(1/(0.1*'נתונים והנחות'!$F$15),0),$F$99*0.1*'נתונים והנחות'!$F$15,0),0)</f>
        <v/>
      </c>
      <c r="J119" s="35">
        <f>IF(ISNUMBER($F$99),IF(4&lt;=ROUND(1/(0.1*'נתונים והנחות'!$F$15),0),$F$99*0.1*'נתונים והנחות'!$F$15,0),0)</f>
        <v/>
      </c>
      <c r="K119" s="35">
        <f>IF(ISNUMBER($F$99),IF(5&lt;=ROUND(1/(0.1*'נתונים והנחות'!$F$15),0),$F$99*0.1*'נתונים והנחות'!$F$15,0),0)</f>
        <v/>
      </c>
      <c r="L119" s="35">
        <f>IF(ISNUMBER($F$99),IF(6&lt;=ROUND(1/(0.1*'נתונים והנחות'!$F$15),0),$F$99*0.1*'נתונים והנחות'!$F$15,0),0)</f>
        <v/>
      </c>
      <c r="M119" s="35">
        <f>IF(ISNUMBER($F$99),IF(7&lt;=ROUND(1/(0.1*'נתונים והנחות'!$F$15),0),$F$99*0.1*'נתונים והנחות'!$F$15,0),0)</f>
        <v/>
      </c>
      <c r="N119" s="35">
        <f>IF(ISNUMBER($F$99),IF(8&lt;=ROUND(1/(0.1*'נתונים והנחות'!$F$15),0),$F$99*0.1*'נתונים והנחות'!$F$15,0),0)</f>
        <v/>
      </c>
      <c r="O119" s="35">
        <f>IF(ISNUMBER($F$99),IF(9&lt;=ROUND(1/(0.1*'נתונים והנחות'!$F$15),0),$F$99*0.1*'נתונים והנחות'!$F$15,0),0)</f>
        <v/>
      </c>
      <c r="P119" s="35">
        <f>IF(ISNUMBER($F$99),IF(10&lt;=ROUND(1/(0.1*'נתונים והנחות'!$F$15),0),$F$99*0.1*'נתונים והנחות'!$F$15,0),0)</f>
        <v/>
      </c>
      <c r="Q119" s="35">
        <f>IF(ISNUMBER($F$99),IF(11&lt;=ROUND(1/(0.1*'נתונים והנחות'!$F$15),0),$F$99*0.1*'נתונים והנחות'!$F$15,0),0)</f>
        <v/>
      </c>
      <c r="R119" s="35">
        <f>IF(ISNUMBER($F$99),IF(12&lt;=ROUND(1/(0.1*'נתונים והנחות'!$F$15),0),$F$99*0.1*'נתונים והנחות'!$F$15,0),0)</f>
        <v/>
      </c>
      <c r="S119" s="35">
        <f>IF(ISNUMBER($F$99),IF(13&lt;=ROUND(1/(0.1*'נתונים והנחות'!$F$15),0),$F$99*0.1*'נתונים והנחות'!$F$15,0),0)</f>
        <v/>
      </c>
      <c r="T119" s="35">
        <f>IF(ISNUMBER($F$99),IF(14&lt;=ROUND(1/(0.1*'נתונים והנחות'!$F$15),0),$F$99*0.1*'נתונים והנחות'!$F$15,0),0)</f>
        <v/>
      </c>
      <c r="U119" s="35">
        <f>IF(ISNUMBER($F$99),IF(15&lt;=ROUND(1/(0.1*'נתונים והנחות'!$F$15),0),$F$99*0.1*'נתונים והנחות'!$F$15,0),0)</f>
        <v/>
      </c>
      <c r="V119" s="35">
        <f>IF(ISNUMBER($F$99),IF(16&lt;=ROUND(1/(0.1*'נתונים והנחות'!$F$15),0),$F$99*0.1*'נתונים והנחות'!$F$15,0),0)</f>
        <v/>
      </c>
      <c r="W119" s="35">
        <f>IF(ISNUMBER($F$99),IF(17&lt;=ROUND(1/(0.1*'נתונים והנחות'!$F$15),0),$F$99*0.1*'נתונים והנחות'!$F$15,0),0)</f>
        <v/>
      </c>
      <c r="X119" s="35">
        <f>IF(ISNUMBER($F$99),IF(18&lt;=ROUND(1/(0.1*'נתונים והנחות'!$F$15),0),$F$99*0.1*'נתונים והנחות'!$F$15,0),0)</f>
        <v/>
      </c>
      <c r="Y119" s="35">
        <f>IF(ISNUMBER($F$99),IF(19&lt;=ROUND(1/(0.1*'נתונים והנחות'!$F$15),0),$F$99*0.1*'נתונים והנחות'!$F$15,0),0)</f>
        <v/>
      </c>
      <c r="Z119" s="35">
        <f>IF(ISNUMBER($F$99),IF(20&lt;=ROUND(1/(0.1*'נתונים והנחות'!$F$15),0),$F$99*0.1*'נתונים והנחות'!$F$15,0),0)</f>
        <v/>
      </c>
    </row>
    <row r="120">
      <c r="B120" s="6" t="inlineStr">
        <is>
          <t>מגן מס מואץ — צ'ילרים</t>
        </is>
      </c>
      <c r="C120" s="9" t="inlineStr">
        <is>
          <t>₪</t>
        </is>
      </c>
      <c r="D120" s="9" t="inlineStr">
        <is>
          <t>חישוב</t>
        </is>
      </c>
      <c r="E120" s="9">
        <f> פחת מואץ × שיעור מס</f>
        <v/>
      </c>
      <c r="F120" s="35" t="n">
        <v>0</v>
      </c>
      <c r="G120" s="35">
        <f>G119*'נתונים והנחות'!$F$10</f>
        <v/>
      </c>
      <c r="H120" s="35">
        <f>H119*'נתונים והנחות'!$F$10</f>
        <v/>
      </c>
      <c r="I120" s="35">
        <f>I119*'נתונים והנחות'!$F$10</f>
        <v/>
      </c>
      <c r="J120" s="35">
        <f>J119*'נתונים והנחות'!$F$10</f>
        <v/>
      </c>
      <c r="K120" s="35">
        <f>K119*'נתונים והנחות'!$F$10</f>
        <v/>
      </c>
      <c r="L120" s="35">
        <f>L119*'נתונים והנחות'!$F$10</f>
        <v/>
      </c>
      <c r="M120" s="35">
        <f>M119*'נתונים והנחות'!$F$10</f>
        <v/>
      </c>
      <c r="N120" s="35">
        <f>N119*'נתונים והנחות'!$F$10</f>
        <v/>
      </c>
      <c r="O120" s="35">
        <f>O119*'נתונים והנחות'!$F$10</f>
        <v/>
      </c>
      <c r="P120" s="35">
        <f>P119*'נתונים והנחות'!$F$10</f>
        <v/>
      </c>
      <c r="Q120" s="35">
        <f>Q119*'נתונים והנחות'!$F$10</f>
        <v/>
      </c>
      <c r="R120" s="35">
        <f>R119*'נתונים והנחות'!$F$10</f>
        <v/>
      </c>
      <c r="S120" s="35">
        <f>S119*'נתונים והנחות'!$F$10</f>
        <v/>
      </c>
      <c r="T120" s="35">
        <f>T119*'נתונים והנחות'!$F$10</f>
        <v/>
      </c>
      <c r="U120" s="35">
        <f>U119*'נתונים והנחות'!$F$10</f>
        <v/>
      </c>
      <c r="V120" s="35">
        <f>V119*'נתונים והנחות'!$F$10</f>
        <v/>
      </c>
      <c r="W120" s="35">
        <f>W119*'נתונים והנחות'!$F$10</f>
        <v/>
      </c>
      <c r="X120" s="35">
        <f>X119*'נתונים והנחות'!$F$10</f>
        <v/>
      </c>
      <c r="Y120" s="35">
        <f>Y119*'נתונים והנחות'!$F$10</f>
        <v/>
      </c>
      <c r="Z120" s="35">
        <f>Z119*'נתונים והנחות'!$F$10</f>
        <v/>
      </c>
    </row>
    <row r="122">
      <c r="B122" s="25" t="inlineStr">
        <is>
          <t>ג. ניתוח תזרים מזומנים — שלושה תרחישים</t>
        </is>
      </c>
    </row>
    <row r="123">
      <c r="B123" s="32" t="inlineStr">
        <is>
          <t>פרמטר</t>
        </is>
      </c>
      <c r="C123" s="32" t="inlineStr">
        <is>
          <t>יחידות</t>
        </is>
      </c>
      <c r="D123" s="32" t="inlineStr">
        <is>
          <t>מקור</t>
        </is>
      </c>
      <c r="E123" s="32" t="inlineStr">
        <is>
          <t>הערות</t>
        </is>
      </c>
      <c r="F123" s="32" t="inlineStr">
        <is>
          <t>שנה 0 (השקעה)</t>
        </is>
      </c>
      <c r="G123" s="32" t="inlineStr">
        <is>
          <t>שנה 1</t>
        </is>
      </c>
      <c r="H123" s="32" t="inlineStr">
        <is>
          <t>שנה 2</t>
        </is>
      </c>
      <c r="I123" s="32" t="inlineStr">
        <is>
          <t>שנה 3</t>
        </is>
      </c>
      <c r="J123" s="32" t="inlineStr">
        <is>
          <t>שנה 4</t>
        </is>
      </c>
      <c r="K123" s="32" t="inlineStr">
        <is>
          <t>שנה 5</t>
        </is>
      </c>
      <c r="L123" s="32" t="inlineStr">
        <is>
          <t>שנה 6</t>
        </is>
      </c>
      <c r="M123" s="32" t="inlineStr">
        <is>
          <t>שנה 7</t>
        </is>
      </c>
      <c r="N123" s="32" t="inlineStr">
        <is>
          <t>שנה 8</t>
        </is>
      </c>
      <c r="O123" s="32" t="inlineStr">
        <is>
          <t>שנה 9</t>
        </is>
      </c>
      <c r="P123" s="32" t="inlineStr">
        <is>
          <t>שנה 10</t>
        </is>
      </c>
      <c r="Q123" s="32" t="inlineStr">
        <is>
          <t>שנה 11</t>
        </is>
      </c>
      <c r="R123" s="32" t="inlineStr">
        <is>
          <t>שנה 12</t>
        </is>
      </c>
      <c r="S123" s="32" t="inlineStr">
        <is>
          <t>שנה 13</t>
        </is>
      </c>
      <c r="T123" s="32" t="inlineStr">
        <is>
          <t>שנה 14</t>
        </is>
      </c>
      <c r="U123" s="32" t="inlineStr">
        <is>
          <t>שנה 15</t>
        </is>
      </c>
      <c r="V123" s="32" t="inlineStr">
        <is>
          <t>שנה 16</t>
        </is>
      </c>
      <c r="W123" s="32" t="inlineStr">
        <is>
          <t>שנה 17</t>
        </is>
      </c>
      <c r="X123" s="32" t="inlineStr">
        <is>
          <t>שנה 18</t>
        </is>
      </c>
      <c r="Y123" s="32" t="inlineStr">
        <is>
          <t>שנה 19</t>
        </is>
      </c>
      <c r="Z123" s="32" t="inlineStr">
        <is>
          <t>שנה 20</t>
        </is>
      </c>
    </row>
    <row r="124">
      <c r="B124" s="36" t="inlineStr">
        <is>
          <t>תרחיש A — רכישת מערכת קירור קונבנציונלית (ציוד קיים / לא יעיל)</t>
        </is>
      </c>
    </row>
    <row r="125">
      <c r="B125" s="4" t="inlineStr">
        <is>
          <t>השקעה ראשונית</t>
        </is>
      </c>
      <c r="C125" s="9" t="inlineStr">
        <is>
          <t>₪</t>
        </is>
      </c>
      <c r="D125" s="9" t="inlineStr">
        <is>
          <t>חישוב</t>
        </is>
      </c>
      <c r="F125" s="33">
        <f>IF(ISNUMBER($F$98),-$F$98,"PENDING")</f>
        <v/>
      </c>
    </row>
    <row r="126">
      <c r="B126" s="4" t="inlineStr">
        <is>
          <t>OPEX אנרגיה</t>
        </is>
      </c>
      <c r="C126" s="9" t="inlineStr">
        <is>
          <t>₪</t>
        </is>
      </c>
      <c r="D126" s="9" t="inlineStr">
        <is>
          <t>חישוב</t>
        </is>
      </c>
      <c r="F126" s="33" t="n">
        <v>0</v>
      </c>
      <c r="G126" s="33">
        <f>IF(ISNUMBER($F$108),-$F$108,0)</f>
        <v/>
      </c>
      <c r="H126" s="33">
        <f>IF(ISNUMBER($F$108),-$F$108,0)</f>
        <v/>
      </c>
      <c r="I126" s="33">
        <f>IF(ISNUMBER($F$108),-$F$108,0)</f>
        <v/>
      </c>
      <c r="J126" s="33">
        <f>IF(ISNUMBER($F$108),-$F$108,0)</f>
        <v/>
      </c>
      <c r="K126" s="33">
        <f>IF(ISNUMBER($F$108),-$F$108,0)</f>
        <v/>
      </c>
      <c r="L126" s="33">
        <f>IF(ISNUMBER($F$108),-$F$108,0)</f>
        <v/>
      </c>
      <c r="M126" s="33">
        <f>IF(ISNUMBER($F$108),-$F$108,0)</f>
        <v/>
      </c>
      <c r="N126" s="33">
        <f>IF(ISNUMBER($F$108),-$F$108,0)</f>
        <v/>
      </c>
      <c r="O126" s="33">
        <f>IF(ISNUMBER($F$108),-$F$108,0)</f>
        <v/>
      </c>
      <c r="P126" s="33">
        <f>IF(ISNUMBER($F$108),-$F$108,0)</f>
        <v/>
      </c>
      <c r="Q126" s="33">
        <f>IF(ISNUMBER($F$108),-$F$108,0)</f>
        <v/>
      </c>
      <c r="R126" s="33">
        <f>IF(ISNUMBER($F$108),-$F$108,0)</f>
        <v/>
      </c>
      <c r="S126" s="33">
        <f>IF(ISNUMBER($F$108),-$F$108,0)</f>
        <v/>
      </c>
      <c r="T126" s="33">
        <f>IF(ISNUMBER($F$108),-$F$108,0)</f>
        <v/>
      </c>
      <c r="U126" s="33">
        <f>IF(ISNUMBER($F$108),-$F$108,0)</f>
        <v/>
      </c>
      <c r="V126" s="33">
        <f>0</f>
        <v/>
      </c>
      <c r="W126" s="33">
        <f>0</f>
        <v/>
      </c>
      <c r="X126" s="33">
        <f>0</f>
        <v/>
      </c>
      <c r="Y126" s="33">
        <f>0</f>
        <v/>
      </c>
      <c r="Z126" s="33">
        <f>0</f>
        <v/>
      </c>
    </row>
    <row r="127">
      <c r="B127" s="4" t="inlineStr">
        <is>
          <t>OPEX אחר (תחזוקה וכו')</t>
        </is>
      </c>
      <c r="C127" s="9" t="inlineStr">
        <is>
          <t>₪</t>
        </is>
      </c>
      <c r="D127" s="9" t="inlineStr">
        <is>
          <t>חישוב</t>
        </is>
      </c>
      <c r="F127" s="33" t="n">
        <v>0</v>
      </c>
      <c r="G127" s="33">
        <f>IF(ISNUMBER($F$110),-$F$110,0)</f>
        <v/>
      </c>
      <c r="H127" s="33">
        <f>IF(ISNUMBER($F$110),-$F$110,0)</f>
        <v/>
      </c>
      <c r="I127" s="33">
        <f>IF(ISNUMBER($F$110),-$F$110,0)</f>
        <v/>
      </c>
      <c r="J127" s="33">
        <f>IF(ISNUMBER($F$110),-$F$110,0)</f>
        <v/>
      </c>
      <c r="K127" s="33">
        <f>IF(ISNUMBER($F$110),-$F$110,0)</f>
        <v/>
      </c>
      <c r="L127" s="33">
        <f>IF(ISNUMBER($F$110),-$F$110,0)</f>
        <v/>
      </c>
      <c r="M127" s="33">
        <f>IF(ISNUMBER($F$110),-$F$110,0)</f>
        <v/>
      </c>
      <c r="N127" s="33">
        <f>IF(ISNUMBER($F$110),-$F$110,0)</f>
        <v/>
      </c>
      <c r="O127" s="33">
        <f>IF(ISNUMBER($F$110),-$F$110,0)</f>
        <v/>
      </c>
      <c r="P127" s="33">
        <f>IF(ISNUMBER($F$110),-$F$110,0)</f>
        <v/>
      </c>
      <c r="Q127" s="33">
        <f>IF(ISNUMBER($F$110),-$F$110,0)</f>
        <v/>
      </c>
      <c r="R127" s="33">
        <f>IF(ISNUMBER($F$110),-$F$110,0)</f>
        <v/>
      </c>
      <c r="S127" s="33">
        <f>IF(ISNUMBER($F$110),-$F$110,0)</f>
        <v/>
      </c>
      <c r="T127" s="33">
        <f>IF(ISNUMBER($F$110),-$F$110,0)</f>
        <v/>
      </c>
      <c r="U127" s="33">
        <f>IF(ISNUMBER($F$110),-$F$110,0)</f>
        <v/>
      </c>
      <c r="V127" s="33">
        <f>0</f>
        <v/>
      </c>
      <c r="W127" s="33">
        <f>0</f>
        <v/>
      </c>
      <c r="X127" s="33">
        <f>0</f>
        <v/>
      </c>
      <c r="Y127" s="33">
        <f>0</f>
        <v/>
      </c>
      <c r="Z127" s="33">
        <f>0</f>
        <v/>
      </c>
    </row>
    <row r="128">
      <c r="B128" s="4" t="inlineStr">
        <is>
          <t>תזרים נקי — תרחיש A</t>
        </is>
      </c>
      <c r="C128" s="9" t="inlineStr">
        <is>
          <t>₪</t>
        </is>
      </c>
      <c r="D128" s="9" t="inlineStr">
        <is>
          <t>חישוב</t>
        </is>
      </c>
      <c r="F128" s="33">
        <f>F125</f>
        <v/>
      </c>
      <c r="G128" s="33">
        <f>G126+G127+G116</f>
        <v/>
      </c>
      <c r="H128" s="33">
        <f>H126+H127+H116</f>
        <v/>
      </c>
      <c r="I128" s="33">
        <f>I126+I127+I116</f>
        <v/>
      </c>
      <c r="J128" s="33">
        <f>J126+J127+J116</f>
        <v/>
      </c>
      <c r="K128" s="33">
        <f>K126+K127+K116</f>
        <v/>
      </c>
      <c r="L128" s="33">
        <f>L126+L127+L116</f>
        <v/>
      </c>
      <c r="M128" s="33">
        <f>M126+M127+M116</f>
        <v/>
      </c>
      <c r="N128" s="33">
        <f>N126+N127+N116</f>
        <v/>
      </c>
      <c r="O128" s="33">
        <f>O126+O127+O116</f>
        <v/>
      </c>
      <c r="P128" s="33">
        <f>P126+P127+P116</f>
        <v/>
      </c>
      <c r="Q128" s="33">
        <f>Q126+Q127+Q116</f>
        <v/>
      </c>
      <c r="R128" s="33">
        <f>R126+R127+R116</f>
        <v/>
      </c>
      <c r="S128" s="33">
        <f>S126+S127+S116</f>
        <v/>
      </c>
      <c r="T128" s="33">
        <f>T126+T127+T116</f>
        <v/>
      </c>
      <c r="U128" s="33">
        <f>U126+U127+U116</f>
        <v/>
      </c>
      <c r="V128" s="33">
        <f>V126+V127+V116</f>
        <v/>
      </c>
      <c r="W128" s="33">
        <f>W126+W127+W116</f>
        <v/>
      </c>
      <c r="X128" s="33">
        <f>X126+X127+X116</f>
        <v/>
      </c>
      <c r="Y128" s="33">
        <f>Y126+Y127+Y116</f>
        <v/>
      </c>
      <c r="Z128" s="33">
        <f>Z126+Z127+Z116</f>
        <v/>
      </c>
    </row>
    <row r="129">
      <c r="B129" s="4" t="inlineStr">
        <is>
          <t>תזרים מהוון — תרחיש A</t>
        </is>
      </c>
      <c r="C129" s="9" t="inlineStr">
        <is>
          <t>₪</t>
        </is>
      </c>
      <c r="D129" s="9" t="inlineStr">
        <is>
          <t>חישוב</t>
        </is>
      </c>
      <c r="F129" s="33">
        <f>F128</f>
        <v/>
      </c>
      <c r="G129" s="33">
        <f>G128/(1+'נתונים והנחות'!$F$11)^1</f>
        <v/>
      </c>
      <c r="H129" s="33">
        <f>H128/(1+'נתונים והנחות'!$F$11)^2</f>
        <v/>
      </c>
      <c r="I129" s="33">
        <f>I128/(1+'נתונים והנחות'!$F$11)^3</f>
        <v/>
      </c>
      <c r="J129" s="33">
        <f>J128/(1+'נתונים והנחות'!$F$11)^4</f>
        <v/>
      </c>
      <c r="K129" s="33">
        <f>K128/(1+'נתונים והנחות'!$F$11)^5</f>
        <v/>
      </c>
      <c r="L129" s="33">
        <f>L128/(1+'נתונים והנחות'!$F$11)^6</f>
        <v/>
      </c>
      <c r="M129" s="33">
        <f>M128/(1+'נתונים והנחות'!$F$11)^7</f>
        <v/>
      </c>
      <c r="N129" s="33">
        <f>N128/(1+'נתונים והנחות'!$F$11)^8</f>
        <v/>
      </c>
      <c r="O129" s="33">
        <f>O128/(1+'נתונים והנחות'!$F$11)^9</f>
        <v/>
      </c>
      <c r="P129" s="33">
        <f>P128/(1+'נתונים והנחות'!$F$11)^10</f>
        <v/>
      </c>
      <c r="Q129" s="33">
        <f>Q128/(1+'נתונים והנחות'!$F$11)^11</f>
        <v/>
      </c>
      <c r="R129" s="33">
        <f>R128/(1+'נתונים והנחות'!$F$11)^12</f>
        <v/>
      </c>
      <c r="S129" s="33">
        <f>S128/(1+'נתונים והנחות'!$F$11)^13</f>
        <v/>
      </c>
      <c r="T129" s="33">
        <f>T128/(1+'נתונים והנחות'!$F$11)^14</f>
        <v/>
      </c>
      <c r="U129" s="33">
        <f>U128/(1+'נתונים והנחות'!$F$11)^15</f>
        <v/>
      </c>
      <c r="V129" s="33">
        <f>V128/(1+'נתונים והנחות'!$F$11)^16</f>
        <v/>
      </c>
      <c r="W129" s="33">
        <f>W128/(1+'נתונים והנחות'!$F$11)^17</f>
        <v/>
      </c>
      <c r="X129" s="33">
        <f>X128/(1+'נתונים והנחות'!$F$11)^18</f>
        <v/>
      </c>
      <c r="Y129" s="33">
        <f>Y128/(1+'נתונים והנחות'!$F$11)^19</f>
        <v/>
      </c>
      <c r="Z129" s="33">
        <f>Z128/(1+'נתונים והנחות'!$F$11)^20</f>
        <v/>
      </c>
    </row>
    <row r="130">
      <c r="B130" s="4" t="inlineStr">
        <is>
          <t>NPV מצטבר — תרחיש A</t>
        </is>
      </c>
      <c r="C130" s="9" t="inlineStr">
        <is>
          <t>₪</t>
        </is>
      </c>
      <c r="D130" s="9" t="inlineStr">
        <is>
          <t>חישוב</t>
        </is>
      </c>
      <c r="F130" s="33">
        <f>F129</f>
        <v/>
      </c>
      <c r="G130" s="33">
        <f>F130+G129</f>
        <v/>
      </c>
      <c r="H130" s="33">
        <f>G130+H129</f>
        <v/>
      </c>
      <c r="I130" s="33">
        <f>H130+I129</f>
        <v/>
      </c>
      <c r="J130" s="33">
        <f>I130+J129</f>
        <v/>
      </c>
      <c r="K130" s="33">
        <f>J130+K129</f>
        <v/>
      </c>
      <c r="L130" s="33">
        <f>K130+L129</f>
        <v/>
      </c>
      <c r="M130" s="33">
        <f>L130+M129</f>
        <v/>
      </c>
      <c r="N130" s="33">
        <f>M130+N129</f>
        <v/>
      </c>
      <c r="O130" s="33">
        <f>N130+O129</f>
        <v/>
      </c>
      <c r="P130" s="33">
        <f>O130+P129</f>
        <v/>
      </c>
      <c r="Q130" s="33">
        <f>P130+Q129</f>
        <v/>
      </c>
      <c r="R130" s="33">
        <f>Q130+R129</f>
        <v/>
      </c>
      <c r="S130" s="33">
        <f>R130+S129</f>
        <v/>
      </c>
      <c r="T130" s="33">
        <f>S130+T129</f>
        <v/>
      </c>
      <c r="U130" s="33">
        <f>T130+U129</f>
        <v/>
      </c>
      <c r="V130" s="33">
        <f>U130+V129</f>
        <v/>
      </c>
      <c r="W130" s="33">
        <f>V130+W129</f>
        <v/>
      </c>
      <c r="X130" s="33">
        <f>W130+X129</f>
        <v/>
      </c>
      <c r="Y130" s="33">
        <f>X130+Y129</f>
        <v/>
      </c>
      <c r="Z130" s="33">
        <f>Y130+Z129</f>
        <v/>
      </c>
    </row>
    <row r="132">
      <c r="B132" s="37" t="inlineStr">
        <is>
          <t>תרחיש B — רכישת צ'ילרים | פחת סטנדרטי (ללא תמריץ)</t>
        </is>
      </c>
    </row>
    <row r="133">
      <c r="B133" s="5" t="inlineStr">
        <is>
          <t>השקעה ראשונית</t>
        </is>
      </c>
      <c r="C133" s="9" t="inlineStr">
        <is>
          <t>₪</t>
        </is>
      </c>
      <c r="D133" s="9" t="inlineStr">
        <is>
          <t>חישוב</t>
        </is>
      </c>
      <c r="F133" s="34">
        <f>IF(ISNUMBER($F$99),-$F$99,"PENDING")</f>
        <v/>
      </c>
    </row>
    <row r="134">
      <c r="B134" s="5" t="inlineStr">
        <is>
          <t>OPEX אנרגיה (עם שחיקה שנתית)</t>
        </is>
      </c>
      <c r="C134" s="9" t="inlineStr">
        <is>
          <t>₪</t>
        </is>
      </c>
      <c r="D134" s="9" t="inlineStr">
        <is>
          <t>חישוב</t>
        </is>
      </c>
      <c r="F134" s="34" t="n">
        <v>0</v>
      </c>
      <c r="G134" s="34">
        <f>IF(ISNUMBER($F$109),-$F$109*(1-$F$106)^0,0)</f>
        <v/>
      </c>
      <c r="H134" s="34">
        <f>IF(ISNUMBER($F$109),-$F$109*(1-$F$106)^1,0)</f>
        <v/>
      </c>
      <c r="I134" s="34">
        <f>IF(ISNUMBER($F$109),-$F$109*(1-$F$106)^2,0)</f>
        <v/>
      </c>
      <c r="J134" s="34">
        <f>IF(ISNUMBER($F$109),-$F$109*(1-$F$106)^3,0)</f>
        <v/>
      </c>
      <c r="K134" s="34">
        <f>IF(ISNUMBER($F$109),-$F$109*(1-$F$106)^4,0)</f>
        <v/>
      </c>
      <c r="L134" s="34">
        <f>IF(ISNUMBER($F$109),-$F$109*(1-$F$106)^5,0)</f>
        <v/>
      </c>
      <c r="M134" s="34">
        <f>IF(ISNUMBER($F$109),-$F$109*(1-$F$106)^6,0)</f>
        <v/>
      </c>
      <c r="N134" s="34">
        <f>IF(ISNUMBER($F$109),-$F$109*(1-$F$106)^7,0)</f>
        <v/>
      </c>
      <c r="O134" s="34">
        <f>IF(ISNUMBER($F$109),-$F$109*(1-$F$106)^8,0)</f>
        <v/>
      </c>
      <c r="P134" s="34">
        <f>IF(ISNUMBER($F$109),-$F$109*(1-$F$106)^9,0)</f>
        <v/>
      </c>
      <c r="Q134" s="34">
        <f>IF(ISNUMBER($F$109),-$F$109*(1-$F$106)^10,0)</f>
        <v/>
      </c>
      <c r="R134" s="34">
        <f>IF(ISNUMBER($F$109),-$F$109*(1-$F$106)^11,0)</f>
        <v/>
      </c>
      <c r="S134" s="34">
        <f>IF(ISNUMBER($F$109),-$F$109*(1-$F$106)^12,0)</f>
        <v/>
      </c>
      <c r="T134" s="34">
        <f>IF(ISNUMBER($F$109),-$F$109*(1-$F$106)^13,0)</f>
        <v/>
      </c>
      <c r="U134" s="34">
        <f>IF(ISNUMBER($F$109),-$F$109*(1-$F$106)^14,0)</f>
        <v/>
      </c>
      <c r="V134" s="34">
        <f>IF(ISNUMBER($F$109),-$F$109*(1-$F$106)^15,0)</f>
        <v/>
      </c>
      <c r="W134" s="34">
        <f>IF(ISNUMBER($F$109),-$F$109*(1-$F$106)^16,0)</f>
        <v/>
      </c>
      <c r="X134" s="34">
        <f>0</f>
        <v/>
      </c>
      <c r="Y134" s="34">
        <f>0</f>
        <v/>
      </c>
      <c r="Z134" s="34">
        <f>0</f>
        <v/>
      </c>
    </row>
    <row r="135">
      <c r="B135" s="5" t="inlineStr">
        <is>
          <t>OPEX אחר (תחזוקה וכו')</t>
        </is>
      </c>
      <c r="C135" s="9" t="inlineStr">
        <is>
          <t>₪</t>
        </is>
      </c>
      <c r="D135" s="9" t="inlineStr">
        <is>
          <t>חישוב</t>
        </is>
      </c>
      <c r="F135" s="34" t="n">
        <v>0</v>
      </c>
      <c r="G135" s="34">
        <f>IF(ISNUMBER($F$111),-$F$111,0)</f>
        <v/>
      </c>
      <c r="H135" s="34">
        <f>IF(ISNUMBER($F$111),-$F$111,0)</f>
        <v/>
      </c>
      <c r="I135" s="34">
        <f>IF(ISNUMBER($F$111),-$F$111,0)</f>
        <v/>
      </c>
      <c r="J135" s="34">
        <f>IF(ISNUMBER($F$111),-$F$111,0)</f>
        <v/>
      </c>
      <c r="K135" s="34">
        <f>IF(ISNUMBER($F$111),-$F$111,0)</f>
        <v/>
      </c>
      <c r="L135" s="34">
        <f>IF(ISNUMBER($F$111),-$F$111,0)</f>
        <v/>
      </c>
      <c r="M135" s="34">
        <f>IF(ISNUMBER($F$111),-$F$111,0)</f>
        <v/>
      </c>
      <c r="N135" s="34">
        <f>IF(ISNUMBER($F$111),-$F$111,0)</f>
        <v/>
      </c>
      <c r="O135" s="34">
        <f>IF(ISNUMBER($F$111),-$F$111,0)</f>
        <v/>
      </c>
      <c r="P135" s="34">
        <f>IF(ISNUMBER($F$111),-$F$111,0)</f>
        <v/>
      </c>
      <c r="Q135" s="34">
        <f>IF(ISNUMBER($F$111),-$F$111,0)</f>
        <v/>
      </c>
      <c r="R135" s="34">
        <f>IF(ISNUMBER($F$111),-$F$111,0)</f>
        <v/>
      </c>
      <c r="S135" s="34">
        <f>IF(ISNUMBER($F$111),-$F$111,0)</f>
        <v/>
      </c>
      <c r="T135" s="34">
        <f>IF(ISNUMBER($F$111),-$F$111,0)</f>
        <v/>
      </c>
      <c r="U135" s="34">
        <f>IF(ISNUMBER($F$111),-$F$111,0)</f>
        <v/>
      </c>
      <c r="V135" s="34">
        <f>IF(ISNUMBER($F$111),-$F$111,0)</f>
        <v/>
      </c>
      <c r="W135" s="34">
        <f>IF(ISNUMBER($F$111),-$F$111,0)</f>
        <v/>
      </c>
      <c r="X135" s="34">
        <f>0</f>
        <v/>
      </c>
      <c r="Y135" s="34">
        <f>0</f>
        <v/>
      </c>
      <c r="Z135" s="34">
        <f>0</f>
        <v/>
      </c>
    </row>
    <row r="136">
      <c r="B136" s="5" t="inlineStr">
        <is>
          <t>תזרים נקי — תרחיש B</t>
        </is>
      </c>
      <c r="C136" s="9" t="inlineStr">
        <is>
          <t>₪</t>
        </is>
      </c>
      <c r="D136" s="9" t="inlineStr">
        <is>
          <t>חישוב</t>
        </is>
      </c>
      <c r="F136" s="34">
        <f>F133</f>
        <v/>
      </c>
      <c r="G136" s="34">
        <f>G134+G135+G118</f>
        <v/>
      </c>
      <c r="H136" s="34">
        <f>H134+H135+H118</f>
        <v/>
      </c>
      <c r="I136" s="34">
        <f>I134+I135+I118</f>
        <v/>
      </c>
      <c r="J136" s="34">
        <f>J134+J135+J118</f>
        <v/>
      </c>
      <c r="K136" s="34">
        <f>K134+K135+K118</f>
        <v/>
      </c>
      <c r="L136" s="34">
        <f>L134+L135+L118</f>
        <v/>
      </c>
      <c r="M136" s="34">
        <f>M134+M135+M118</f>
        <v/>
      </c>
      <c r="N136" s="34">
        <f>N134+N135+N118</f>
        <v/>
      </c>
      <c r="O136" s="34">
        <f>O134+O135+O118</f>
        <v/>
      </c>
      <c r="P136" s="34">
        <f>P134+P135+P118</f>
        <v/>
      </c>
      <c r="Q136" s="34">
        <f>Q134+Q135+Q118</f>
        <v/>
      </c>
      <c r="R136" s="34">
        <f>R134+R135+R118</f>
        <v/>
      </c>
      <c r="S136" s="34">
        <f>S134+S135+S118</f>
        <v/>
      </c>
      <c r="T136" s="34">
        <f>T134+T135+T118</f>
        <v/>
      </c>
      <c r="U136" s="34">
        <f>U134+U135+U118</f>
        <v/>
      </c>
      <c r="V136" s="34">
        <f>V134+V135+V118</f>
        <v/>
      </c>
      <c r="W136" s="34">
        <f>W134+W135+W118</f>
        <v/>
      </c>
      <c r="X136" s="34">
        <f>X134+X135+X118</f>
        <v/>
      </c>
      <c r="Y136" s="34">
        <f>Y134+Y135+Y118</f>
        <v/>
      </c>
      <c r="Z136" s="34">
        <f>Z134+Z135+Z118</f>
        <v/>
      </c>
    </row>
    <row r="137">
      <c r="B137" s="5" t="inlineStr">
        <is>
          <t>תזרים מהוון — תרחיש B</t>
        </is>
      </c>
      <c r="C137" s="9" t="inlineStr">
        <is>
          <t>₪</t>
        </is>
      </c>
      <c r="D137" s="9" t="inlineStr">
        <is>
          <t>חישוב</t>
        </is>
      </c>
      <c r="F137" s="34">
        <f>F136</f>
        <v/>
      </c>
      <c r="G137" s="34">
        <f>G136/(1+'נתונים והנחות'!$F$11)^1</f>
        <v/>
      </c>
      <c r="H137" s="34">
        <f>H136/(1+'נתונים והנחות'!$F$11)^2</f>
        <v/>
      </c>
      <c r="I137" s="34">
        <f>I136/(1+'נתונים והנחות'!$F$11)^3</f>
        <v/>
      </c>
      <c r="J137" s="34">
        <f>J136/(1+'נתונים והנחות'!$F$11)^4</f>
        <v/>
      </c>
      <c r="K137" s="34">
        <f>K136/(1+'נתונים והנחות'!$F$11)^5</f>
        <v/>
      </c>
      <c r="L137" s="34">
        <f>L136/(1+'נתונים והנחות'!$F$11)^6</f>
        <v/>
      </c>
      <c r="M137" s="34">
        <f>M136/(1+'נתונים והנחות'!$F$11)^7</f>
        <v/>
      </c>
      <c r="N137" s="34">
        <f>N136/(1+'נתונים והנחות'!$F$11)^8</f>
        <v/>
      </c>
      <c r="O137" s="34">
        <f>O136/(1+'נתונים והנחות'!$F$11)^9</f>
        <v/>
      </c>
      <c r="P137" s="34">
        <f>P136/(1+'נתונים והנחות'!$F$11)^10</f>
        <v/>
      </c>
      <c r="Q137" s="34">
        <f>Q136/(1+'נתונים והנחות'!$F$11)^11</f>
        <v/>
      </c>
      <c r="R137" s="34">
        <f>R136/(1+'נתונים והנחות'!$F$11)^12</f>
        <v/>
      </c>
      <c r="S137" s="34">
        <f>S136/(1+'נתונים והנחות'!$F$11)^13</f>
        <v/>
      </c>
      <c r="T137" s="34">
        <f>T136/(1+'נתונים והנחות'!$F$11)^14</f>
        <v/>
      </c>
      <c r="U137" s="34">
        <f>U136/(1+'נתונים והנחות'!$F$11)^15</f>
        <v/>
      </c>
      <c r="V137" s="34">
        <f>V136/(1+'נתונים והנחות'!$F$11)^16</f>
        <v/>
      </c>
      <c r="W137" s="34">
        <f>W136/(1+'נתונים והנחות'!$F$11)^17</f>
        <v/>
      </c>
      <c r="X137" s="34">
        <f>X136/(1+'נתונים והנחות'!$F$11)^18</f>
        <v/>
      </c>
      <c r="Y137" s="34">
        <f>Y136/(1+'נתונים והנחות'!$F$11)^19</f>
        <v/>
      </c>
      <c r="Z137" s="34">
        <f>Z136/(1+'נתונים והנחות'!$F$11)^20</f>
        <v/>
      </c>
    </row>
    <row r="138">
      <c r="B138" s="5" t="inlineStr">
        <is>
          <t>NPV מצטבר — תרחיש B</t>
        </is>
      </c>
      <c r="C138" s="9" t="inlineStr">
        <is>
          <t>₪</t>
        </is>
      </c>
      <c r="D138" s="9" t="inlineStr">
        <is>
          <t>חישוב</t>
        </is>
      </c>
      <c r="F138" s="34">
        <f>F137</f>
        <v/>
      </c>
      <c r="G138" s="34">
        <f>F138+G137</f>
        <v/>
      </c>
      <c r="H138" s="34">
        <f>G138+H137</f>
        <v/>
      </c>
      <c r="I138" s="34">
        <f>H138+I137</f>
        <v/>
      </c>
      <c r="J138" s="34">
        <f>I138+J137</f>
        <v/>
      </c>
      <c r="K138" s="34">
        <f>J138+K137</f>
        <v/>
      </c>
      <c r="L138" s="34">
        <f>K138+L137</f>
        <v/>
      </c>
      <c r="M138" s="34">
        <f>L138+M137</f>
        <v/>
      </c>
      <c r="N138" s="34">
        <f>M138+N137</f>
        <v/>
      </c>
      <c r="O138" s="34">
        <f>N138+O137</f>
        <v/>
      </c>
      <c r="P138" s="34">
        <f>O138+P137</f>
        <v/>
      </c>
      <c r="Q138" s="34">
        <f>P138+Q137</f>
        <v/>
      </c>
      <c r="R138" s="34">
        <f>Q138+R137</f>
        <v/>
      </c>
      <c r="S138" s="34">
        <f>R138+S137</f>
        <v/>
      </c>
      <c r="T138" s="34">
        <f>S138+T137</f>
        <v/>
      </c>
      <c r="U138" s="34">
        <f>T138+U137</f>
        <v/>
      </c>
      <c r="V138" s="34">
        <f>U138+V137</f>
        <v/>
      </c>
      <c r="W138" s="34">
        <f>V138+W137</f>
        <v/>
      </c>
      <c r="X138" s="34">
        <f>W138+X137</f>
        <v/>
      </c>
      <c r="Y138" s="34">
        <f>X138+Y137</f>
        <v/>
      </c>
      <c r="Z138" s="34">
        <f>Y138+Z137</f>
        <v/>
      </c>
    </row>
    <row r="140">
      <c r="B140" s="38" t="inlineStr">
        <is>
          <t>תרחיש C — רכישת צ'ילרים | פחת מואץ (עם תמריץ)</t>
        </is>
      </c>
    </row>
    <row r="141">
      <c r="B141" s="23" t="inlineStr">
        <is>
          <t>* OPEX זהה לתרחיש B — ההבדל הוא מגן המס המואץ בלבד</t>
        </is>
      </c>
    </row>
    <row r="142">
      <c r="B142" s="6" t="inlineStr">
        <is>
          <t>תזרים נקי — תרחיש C</t>
        </is>
      </c>
      <c r="C142" s="9" t="inlineStr">
        <is>
          <t>₪</t>
        </is>
      </c>
      <c r="D142" s="9" t="inlineStr">
        <is>
          <t>חישוב</t>
        </is>
      </c>
      <c r="F142" s="35">
        <f>F133</f>
        <v/>
      </c>
      <c r="G142" s="35">
        <f>G134+G135+G120</f>
        <v/>
      </c>
      <c r="H142" s="35">
        <f>H134+H135+H120</f>
        <v/>
      </c>
      <c r="I142" s="35">
        <f>I134+I135+I120</f>
        <v/>
      </c>
      <c r="J142" s="35">
        <f>J134+J135+J120</f>
        <v/>
      </c>
      <c r="K142" s="35">
        <f>K134+K135+K120</f>
        <v/>
      </c>
      <c r="L142" s="35">
        <f>L134+L135+L120</f>
        <v/>
      </c>
      <c r="M142" s="35">
        <f>M134+M135+M120</f>
        <v/>
      </c>
      <c r="N142" s="35">
        <f>N134+N135+N120</f>
        <v/>
      </c>
      <c r="O142" s="35">
        <f>O134+O135+O120</f>
        <v/>
      </c>
      <c r="P142" s="35">
        <f>P134+P135+P120</f>
        <v/>
      </c>
      <c r="Q142" s="35">
        <f>Q134+Q135+Q120</f>
        <v/>
      </c>
      <c r="R142" s="35">
        <f>R134+R135+R120</f>
        <v/>
      </c>
      <c r="S142" s="35">
        <f>S134+S135+S120</f>
        <v/>
      </c>
      <c r="T142" s="35">
        <f>T134+T135+T120</f>
        <v/>
      </c>
      <c r="U142" s="35">
        <f>U134+U135+U120</f>
        <v/>
      </c>
      <c r="V142" s="35">
        <f>V134+V135+V120</f>
        <v/>
      </c>
      <c r="W142" s="35">
        <f>W134+W135+W120</f>
        <v/>
      </c>
      <c r="X142" s="35">
        <f>X134+X135+X120</f>
        <v/>
      </c>
      <c r="Y142" s="35">
        <f>Y134+Y135+Y120</f>
        <v/>
      </c>
      <c r="Z142" s="35">
        <f>Z134+Z135+Z120</f>
        <v/>
      </c>
    </row>
    <row r="143">
      <c r="B143" s="6" t="inlineStr">
        <is>
          <t>תזרים מהוון — תרחיש C</t>
        </is>
      </c>
      <c r="C143" s="9" t="inlineStr">
        <is>
          <t>₪</t>
        </is>
      </c>
      <c r="D143" s="9" t="inlineStr">
        <is>
          <t>חישוב</t>
        </is>
      </c>
      <c r="F143" s="35">
        <f>F142</f>
        <v/>
      </c>
      <c r="G143" s="35">
        <f>G142/(1+'נתונים והנחות'!$F$11)^1</f>
        <v/>
      </c>
      <c r="H143" s="35">
        <f>H142/(1+'נתונים והנחות'!$F$11)^2</f>
        <v/>
      </c>
      <c r="I143" s="35">
        <f>I142/(1+'נתונים והנחות'!$F$11)^3</f>
        <v/>
      </c>
      <c r="J143" s="35">
        <f>J142/(1+'נתונים והנחות'!$F$11)^4</f>
        <v/>
      </c>
      <c r="K143" s="35">
        <f>K142/(1+'נתונים והנחות'!$F$11)^5</f>
        <v/>
      </c>
      <c r="L143" s="35">
        <f>L142/(1+'נתונים והנחות'!$F$11)^6</f>
        <v/>
      </c>
      <c r="M143" s="35">
        <f>M142/(1+'נתונים והנחות'!$F$11)^7</f>
        <v/>
      </c>
      <c r="N143" s="35">
        <f>N142/(1+'נתונים והנחות'!$F$11)^8</f>
        <v/>
      </c>
      <c r="O143" s="35">
        <f>O142/(1+'נתונים והנחות'!$F$11)^9</f>
        <v/>
      </c>
      <c r="P143" s="35">
        <f>P142/(1+'נתונים והנחות'!$F$11)^10</f>
        <v/>
      </c>
      <c r="Q143" s="35">
        <f>Q142/(1+'נתונים והנחות'!$F$11)^11</f>
        <v/>
      </c>
      <c r="R143" s="35">
        <f>R142/(1+'נתונים והנחות'!$F$11)^12</f>
        <v/>
      </c>
      <c r="S143" s="35">
        <f>S142/(1+'נתונים והנחות'!$F$11)^13</f>
        <v/>
      </c>
      <c r="T143" s="35">
        <f>T142/(1+'נתונים והנחות'!$F$11)^14</f>
        <v/>
      </c>
      <c r="U143" s="35">
        <f>U142/(1+'נתונים והנחות'!$F$11)^15</f>
        <v/>
      </c>
      <c r="V143" s="35">
        <f>V142/(1+'נתונים והנחות'!$F$11)^16</f>
        <v/>
      </c>
      <c r="W143" s="35">
        <f>W142/(1+'נתונים והנחות'!$F$11)^17</f>
        <v/>
      </c>
      <c r="X143" s="35">
        <f>X142/(1+'נתונים והנחות'!$F$11)^18</f>
        <v/>
      </c>
      <c r="Y143" s="35">
        <f>Y142/(1+'נתונים והנחות'!$F$11)^19</f>
        <v/>
      </c>
      <c r="Z143" s="35">
        <f>Z142/(1+'נתונים והנחות'!$F$11)^20</f>
        <v/>
      </c>
    </row>
    <row r="144">
      <c r="B144" s="6" t="inlineStr">
        <is>
          <t>NPV מצטבר — תרחיש C</t>
        </is>
      </c>
      <c r="C144" s="9" t="inlineStr">
        <is>
          <t>₪</t>
        </is>
      </c>
      <c r="D144" s="9" t="inlineStr">
        <is>
          <t>חישוב</t>
        </is>
      </c>
      <c r="F144" s="35">
        <f>F143</f>
        <v/>
      </c>
      <c r="G144" s="35">
        <f>F144+G143</f>
        <v/>
      </c>
      <c r="H144" s="35">
        <f>G144+H143</f>
        <v/>
      </c>
      <c r="I144" s="35">
        <f>H144+I143</f>
        <v/>
      </c>
      <c r="J144" s="35">
        <f>I144+J143</f>
        <v/>
      </c>
      <c r="K144" s="35">
        <f>J144+K143</f>
        <v/>
      </c>
      <c r="L144" s="35">
        <f>K144+L143</f>
        <v/>
      </c>
      <c r="M144" s="35">
        <f>L144+M143</f>
        <v/>
      </c>
      <c r="N144" s="35">
        <f>M144+N143</f>
        <v/>
      </c>
      <c r="O144" s="35">
        <f>N144+O143</f>
        <v/>
      </c>
      <c r="P144" s="35">
        <f>O144+P143</f>
        <v/>
      </c>
      <c r="Q144" s="35">
        <f>P144+Q143</f>
        <v/>
      </c>
      <c r="R144" s="35">
        <f>Q144+R143</f>
        <v/>
      </c>
      <c r="S144" s="35">
        <f>R144+S143</f>
        <v/>
      </c>
      <c r="T144" s="35">
        <f>S144+T143</f>
        <v/>
      </c>
      <c r="U144" s="35">
        <f>T144+U143</f>
        <v/>
      </c>
      <c r="V144" s="35">
        <f>U144+V143</f>
        <v/>
      </c>
      <c r="W144" s="35">
        <f>V144+W143</f>
        <v/>
      </c>
      <c r="X144" s="35">
        <f>W144+X143</f>
        <v/>
      </c>
      <c r="Y144" s="35">
        <f>X144+Y143</f>
        <v/>
      </c>
      <c r="Z144" s="35">
        <f>Y144+Z143</f>
        <v/>
      </c>
    </row>
    <row r="146">
      <c r="B146" s="25" t="inlineStr">
        <is>
          <t>ד. תוצאות</t>
        </is>
      </c>
    </row>
    <row r="147">
      <c r="B147" s="39" t="inlineStr">
        <is>
          <t>NPV — תרחיש A (מערכת קירור קונבנציונלית)</t>
        </is>
      </c>
      <c r="C147" s="9" t="inlineStr">
        <is>
          <t>ש"ח</t>
        </is>
      </c>
      <c r="F147" s="33">
        <f>SUM(F129:Z129)</f>
        <v/>
      </c>
    </row>
    <row r="148">
      <c r="B148" s="40" t="inlineStr">
        <is>
          <t>NPV — תרחיש B (צ'ילרים, ללא תמריץ)</t>
        </is>
      </c>
      <c r="C148" s="9" t="inlineStr">
        <is>
          <t>ש"ח</t>
        </is>
      </c>
      <c r="F148" s="34">
        <f>SUM(F137:Z137)</f>
        <v/>
      </c>
    </row>
    <row r="149">
      <c r="B149" s="41" t="inlineStr">
        <is>
          <t>NPV — תרחיש C (צ'ילרים, עם תמריץ)</t>
        </is>
      </c>
      <c r="C149" s="9" t="inlineStr">
        <is>
          <t>ש"ח</t>
        </is>
      </c>
      <c r="F149" s="35">
        <f>SUM(F143:Z143)</f>
        <v/>
      </c>
    </row>
    <row r="151">
      <c r="B151" s="42" t="inlineStr">
        <is>
          <t>NPV מצטבר — הצדקת השדרוג (B−A)</t>
        </is>
      </c>
      <c r="C151" s="9" t="inlineStr">
        <is>
          <t>ש"ח</t>
        </is>
      </c>
      <c r="F151" s="43">
        <f>F148-F147</f>
        <v/>
      </c>
    </row>
    <row r="152">
      <c r="B152" s="44" t="inlineStr">
        <is>
          <t>ערך התמריץ — תועלת הפחת המואץ (C−B)</t>
        </is>
      </c>
      <c r="C152" s="9" t="inlineStr">
        <is>
          <t>ש"ח</t>
        </is>
      </c>
      <c r="F152" s="45">
        <f>F149-F148</f>
        <v/>
      </c>
    </row>
    <row r="154">
      <c r="B154" s="39" t="inlineStr">
        <is>
          <t>ROI — תרחיש A</t>
        </is>
      </c>
      <c r="C154" s="9" t="inlineStr">
        <is>
          <t>%</t>
        </is>
      </c>
      <c r="F154" s="46">
        <f>IF(ISNUMBER($F$98),(SUM(F129:Z129)+$F$98)/$F$98,"PENDING")</f>
        <v/>
      </c>
    </row>
    <row r="155">
      <c r="B155" s="40" t="inlineStr">
        <is>
          <t>ROI — תרחיש B</t>
        </is>
      </c>
      <c r="C155" s="9" t="inlineStr">
        <is>
          <t>%</t>
        </is>
      </c>
      <c r="F155" s="47">
        <f>IF(ISNUMBER($F$99),(SUM(F137:Z137)+$F$99)/$F$99,"PENDING")</f>
        <v/>
      </c>
    </row>
    <row r="156">
      <c r="B156" s="41" t="inlineStr">
        <is>
          <t>ROI — תרחיש C</t>
        </is>
      </c>
      <c r="C156" s="9" t="inlineStr">
        <is>
          <t>%</t>
        </is>
      </c>
      <c r="F156" s="48">
        <f>IF(ISNUMBER($F$99),(SUM(F143:Z143)+$F$99)/$F$99,"PENDING")</f>
        <v/>
      </c>
    </row>
    <row r="158">
      <c r="B158" s="42" t="inlineStr">
        <is>
          <t>תקופת החזר ΔCapEx ללא תמריץ (B−A)</t>
        </is>
      </c>
      <c r="C158" s="9" t="inlineStr">
        <is>
          <t>שנים</t>
        </is>
      </c>
      <c r="E158" s="23" t="inlineStr">
        <is>
          <t>זמן להחזר ההשקעה הנוספת | מחושב על ΔCF = CF_B − CF_A</t>
        </is>
      </c>
      <c r="F158" s="49">
        <f>IFERROR(MATCH(1,(F164:Z164&gt;0)*1,0)-2+ABS(INDEX(F164:Z164,MATCH(1,(F164:Z164&gt;0)*1,0)-1))/(INDEX(F164:Z164,MATCH(1,(F164:Z164&gt;0)*1,0))-INDEX(F164:Z164,MATCH(1,(F164:Z164&gt;0)*1,0)-1)),"לא מגיע לפירעון")</f>
        <v/>
      </c>
    </row>
    <row r="159">
      <c r="B159" s="50" t="inlineStr">
        <is>
          <t>תקופת החזר ΔCapEx עם תמריץ (C−A)</t>
        </is>
      </c>
      <c r="C159" s="51" t="inlineStr">
        <is>
          <t>שנים</t>
        </is>
      </c>
      <c r="E159" s="23" t="inlineStr">
        <is>
          <t>כולל יתרון מגן המס המואץ | מחושב על ΔCF = CF_C − CF_A</t>
        </is>
      </c>
      <c r="F159" s="52">
        <f>IFERROR(MATCH(1,(F165:Z165&gt;0)*1,0)-2+ABS(INDEX(F165:Z165,MATCH(1,(F165:Z165&gt;0)*1,0)-1))/(INDEX(F165:Z165,MATCH(1,(F165:Z165&gt;0)*1,0))-INDEX(F165:Z165,MATCH(1,(F165:Z165&gt;0)*1,0)-1)),"לא מגיע לפירעון")</f>
        <v/>
      </c>
    </row>
    <row r="162">
      <c r="B162" s="25" t="inlineStr">
        <is>
          <t>NPV מצטבר — מנקודת מבט ΔCapEx (לחישוב תקופת החזר על השקעה נוספת)</t>
        </is>
      </c>
    </row>
    <row r="163">
      <c r="B163" s="32" t="inlineStr">
        <is>
          <t>פרמטר</t>
        </is>
      </c>
      <c r="C163" s="32" t="inlineStr">
        <is>
          <t>יחידות</t>
        </is>
      </c>
      <c r="D163" s="32" t="inlineStr">
        <is>
          <t>מקור</t>
        </is>
      </c>
      <c r="E163" s="32" t="inlineStr">
        <is>
          <t>הערות</t>
        </is>
      </c>
      <c r="F163" s="32" t="inlineStr">
        <is>
          <t>שנה 0</t>
        </is>
      </c>
      <c r="G163" s="32" t="inlineStr">
        <is>
          <t>שנה 1</t>
        </is>
      </c>
      <c r="H163" s="32" t="inlineStr">
        <is>
          <t>שנה 2</t>
        </is>
      </c>
      <c r="I163" s="32" t="inlineStr">
        <is>
          <t>שנה 3</t>
        </is>
      </c>
      <c r="J163" s="32" t="inlineStr">
        <is>
          <t>שנה 4</t>
        </is>
      </c>
      <c r="K163" s="32" t="inlineStr">
        <is>
          <t>שנה 5</t>
        </is>
      </c>
      <c r="L163" s="32" t="inlineStr">
        <is>
          <t>שנה 6</t>
        </is>
      </c>
      <c r="M163" s="32" t="inlineStr">
        <is>
          <t>שנה 7</t>
        </is>
      </c>
      <c r="N163" s="32" t="inlineStr">
        <is>
          <t>שנה 8</t>
        </is>
      </c>
      <c r="O163" s="32" t="inlineStr">
        <is>
          <t>שנה 9</t>
        </is>
      </c>
      <c r="P163" s="32" t="inlineStr">
        <is>
          <t>שנה 10</t>
        </is>
      </c>
      <c r="Q163" s="32" t="inlineStr">
        <is>
          <t>שנה 11</t>
        </is>
      </c>
      <c r="R163" s="32" t="inlineStr">
        <is>
          <t>שנה 12</t>
        </is>
      </c>
      <c r="S163" s="32" t="inlineStr">
        <is>
          <t>שנה 13</t>
        </is>
      </c>
      <c r="T163" s="32" t="inlineStr">
        <is>
          <t>שנה 14</t>
        </is>
      </c>
      <c r="U163" s="32" t="inlineStr">
        <is>
          <t>שנה 15</t>
        </is>
      </c>
      <c r="V163" s="32" t="inlineStr">
        <is>
          <t>שנה 16</t>
        </is>
      </c>
      <c r="W163" s="32" t="inlineStr">
        <is>
          <t>שנה 17</t>
        </is>
      </c>
      <c r="X163" s="32" t="inlineStr">
        <is>
          <t>שנה 18</t>
        </is>
      </c>
      <c r="Y163" s="32" t="inlineStr">
        <is>
          <t>שנה 19</t>
        </is>
      </c>
      <c r="Z163" s="32" t="inlineStr">
        <is>
          <t>שנה 20</t>
        </is>
      </c>
    </row>
    <row r="164">
      <c r="B164" s="2" t="inlineStr">
        <is>
          <t>NPV מצטבר ΔCF — שדרוג ללא תמריץ (B−A)</t>
        </is>
      </c>
      <c r="C164" s="9" t="inlineStr">
        <is>
          <t>₪</t>
        </is>
      </c>
      <c r="D164" s="9" t="inlineStr">
        <is>
          <t>חישוב</t>
        </is>
      </c>
      <c r="F164" s="43">
        <f>IF(ISNUMBER($F$100),-$F$100,"PENDING")</f>
        <v/>
      </c>
      <c r="G164" s="43">
        <f>F164+(G137-G129)</f>
        <v/>
      </c>
      <c r="H164" s="43">
        <f>G164+(H137-H129)</f>
        <v/>
      </c>
      <c r="I164" s="43">
        <f>H164+(I137-I129)</f>
        <v/>
      </c>
      <c r="J164" s="43">
        <f>I164+(J137-J129)</f>
        <v/>
      </c>
      <c r="K164" s="43">
        <f>J164+(K137-K129)</f>
        <v/>
      </c>
      <c r="L164" s="43">
        <f>K164+(L137-L129)</f>
        <v/>
      </c>
      <c r="M164" s="43">
        <f>L164+(M137-M129)</f>
        <v/>
      </c>
      <c r="N164" s="43">
        <f>M164+(N137-N129)</f>
        <v/>
      </c>
      <c r="O164" s="43">
        <f>N164+(O137-O129)</f>
        <v/>
      </c>
      <c r="P164" s="43">
        <f>O164+(P137-P129)</f>
        <v/>
      </c>
      <c r="Q164" s="43">
        <f>P164+(Q137-Q129)</f>
        <v/>
      </c>
      <c r="R164" s="43">
        <f>Q164+(R137-R129)</f>
        <v/>
      </c>
      <c r="S164" s="43">
        <f>R164+(S137-S129)</f>
        <v/>
      </c>
      <c r="T164" s="43">
        <f>S164+(T137-T129)</f>
        <v/>
      </c>
      <c r="U164" s="43">
        <f>T164+(U137-U129)</f>
        <v/>
      </c>
      <c r="V164" s="43">
        <f>U164+(V137-V129)</f>
        <v/>
      </c>
      <c r="W164" s="43">
        <f>V164+(W137-W129)</f>
        <v/>
      </c>
      <c r="X164" s="43">
        <f>W164+(X137-X129)</f>
        <v/>
      </c>
      <c r="Y164" s="43">
        <f>X164+(Y137-Y129)</f>
        <v/>
      </c>
      <c r="Z164" s="43">
        <f>Y164+(Z137-Z129)</f>
        <v/>
      </c>
    </row>
    <row r="165">
      <c r="B165" s="7" t="inlineStr">
        <is>
          <t>NPV מצטבר ΔCF — שדרוג עם תמריץ (C−A)</t>
        </is>
      </c>
      <c r="C165" s="9" t="inlineStr">
        <is>
          <t>₪</t>
        </is>
      </c>
      <c r="D165" s="9" t="inlineStr">
        <is>
          <t>חישוב</t>
        </is>
      </c>
      <c r="F165" s="45">
        <f>IF(ISNUMBER($F$100),-$F$100,"PENDING")</f>
        <v/>
      </c>
      <c r="G165" s="45">
        <f>F165+(G143-G129)</f>
        <v/>
      </c>
      <c r="H165" s="45">
        <f>G165+(H143-H129)</f>
        <v/>
      </c>
      <c r="I165" s="45">
        <f>H165+(I143-I129)</f>
        <v/>
      </c>
      <c r="J165" s="45">
        <f>I165+(J143-J129)</f>
        <v/>
      </c>
      <c r="K165" s="45">
        <f>J165+(K143-K129)</f>
        <v/>
      </c>
      <c r="L165" s="45">
        <f>K165+(L143-L129)</f>
        <v/>
      </c>
      <c r="M165" s="45">
        <f>L165+(M143-M129)</f>
        <v/>
      </c>
      <c r="N165" s="45">
        <f>M165+(N143-N129)</f>
        <v/>
      </c>
      <c r="O165" s="45">
        <f>N165+(O143-O129)</f>
        <v/>
      </c>
      <c r="P165" s="45">
        <f>O165+(P143-P129)</f>
        <v/>
      </c>
      <c r="Q165" s="45">
        <f>P165+(Q143-Q129)</f>
        <v/>
      </c>
      <c r="R165" s="45">
        <f>Q165+(R143-R129)</f>
        <v/>
      </c>
      <c r="S165" s="45">
        <f>R165+(S143-S129)</f>
        <v/>
      </c>
      <c r="T165" s="45">
        <f>S165+(T143-T129)</f>
        <v/>
      </c>
      <c r="U165" s="45">
        <f>T165+(U143-U129)</f>
        <v/>
      </c>
      <c r="V165" s="45">
        <f>U165+(V143-V129)</f>
        <v/>
      </c>
      <c r="W165" s="45">
        <f>V165+(W143-W129)</f>
        <v/>
      </c>
      <c r="X165" s="45">
        <f>W165+(X143-X129)</f>
        <v/>
      </c>
      <c r="Y165" s="45">
        <f>X165+(Y143-Y129)</f>
        <v/>
      </c>
      <c r="Z165" s="45">
        <f>Y165+(Z143-Z129)</f>
        <v/>
      </c>
    </row>
    <row r="169">
      <c r="B169" s="24" t="inlineStr">
        <is>
          <t>3.3  מדחסי VSD</t>
        </is>
      </c>
    </row>
    <row r="170">
      <c r="B170" s="23" t="inlineStr">
        <is>
          <t>* מדחסי אוויר עם בקרת מהירות משתנה | חיסכון ~20% | אורך חיים: 12 שנה</t>
        </is>
      </c>
    </row>
    <row r="171">
      <c r="B171" s="25" t="inlineStr">
        <is>
          <t>א. נתוני השקעה וציוד</t>
        </is>
      </c>
    </row>
    <row r="172">
      <c r="B172" s="18" t="inlineStr">
        <is>
          <t>CapEx — מדחס מהירות קבועה</t>
        </is>
      </c>
      <c r="C172" s="9" t="inlineStr">
        <is>
          <t>₪</t>
        </is>
      </c>
      <c r="D172" s="9" t="inlineStr">
        <is>
          <t>נתוני רפי</t>
        </is>
      </c>
      <c r="E172" s="26" t="inlineStr">
        <is>
          <t>⚠ ממתין</t>
        </is>
      </c>
      <c r="F172" s="27" t="inlineStr">
        <is>
          <t>PENDING</t>
        </is>
      </c>
    </row>
    <row r="173">
      <c r="B173" s="18" t="inlineStr">
        <is>
          <t>CapEx — מדחסי VSD</t>
        </is>
      </c>
      <c r="C173" s="9" t="inlineStr">
        <is>
          <t>₪</t>
        </is>
      </c>
      <c r="D173" s="9" t="inlineStr">
        <is>
          <t>נתוני רפי</t>
        </is>
      </c>
      <c r="E173" s="26" t="inlineStr">
        <is>
          <t>⚠ ממתין</t>
        </is>
      </c>
      <c r="F173" s="27" t="inlineStr">
        <is>
          <t>PENDING</t>
        </is>
      </c>
    </row>
    <row r="174">
      <c r="B174" s="18" t="inlineStr">
        <is>
          <t>ΔCapEx — השקעה נוספת</t>
        </is>
      </c>
      <c r="C174" s="9" t="inlineStr">
        <is>
          <t>₪</t>
        </is>
      </c>
      <c r="D174" s="9" t="inlineStr">
        <is>
          <t>חישוב</t>
        </is>
      </c>
      <c r="E174" s="9">
        <f> CapEx יעיל − CapEx בסיסי</f>
        <v/>
      </c>
      <c r="F174" s="28">
        <f>IF(ISNUMBER($F$173)*ISNUMBER($F$172),$F$173-$F$172,"PENDING")</f>
        <v/>
      </c>
    </row>
    <row r="175">
      <c r="B175" s="18" t="inlineStr">
        <is>
          <t>אורך חיי ציוד — מדחס מהירות קבועה</t>
        </is>
      </c>
      <c r="C175" s="9" t="inlineStr">
        <is>
          <t>שנים</t>
        </is>
      </c>
      <c r="D175" s="9" t="inlineStr">
        <is>
          <t>ממצאי הנדסה</t>
        </is>
      </c>
      <c r="E175" s="9" t="inlineStr">
        <is>
          <t>ברירת מחדל: 12 שנה — לאשר מול רפי</t>
        </is>
      </c>
      <c r="F175" s="29" t="n">
        <v>12</v>
      </c>
    </row>
    <row r="176">
      <c r="B176" s="18" t="inlineStr">
        <is>
          <t>אורך חיי ציוד — מדחסי VSD</t>
        </is>
      </c>
      <c r="C176" s="9" t="inlineStr">
        <is>
          <t>שנים</t>
        </is>
      </c>
      <c r="D176" s="9" t="inlineStr">
        <is>
          <t>ממצאי הנדסה</t>
        </is>
      </c>
      <c r="E176" s="9" t="inlineStr">
        <is>
          <t>ברירת מחדל: 12 שנה — לאשר מול רפי</t>
        </is>
      </c>
      <c r="F176" s="29" t="n">
        <v>12</v>
      </c>
    </row>
    <row r="177">
      <c r="B177" s="18" t="inlineStr">
        <is>
          <t>צריכת אנרגיה שנתית (ציוד בסיסי)</t>
        </is>
      </c>
      <c r="C177" s="9" t="inlineStr">
        <is>
          <t>קוט"ש/שנה</t>
        </is>
      </c>
      <c r="D177" s="9" t="inlineStr">
        <is>
          <t>נתוני רפי</t>
        </is>
      </c>
      <c r="E177" s="26" t="inlineStr">
        <is>
          <t>⚠ ממתין</t>
        </is>
      </c>
      <c r="F177" s="27" t="inlineStr">
        <is>
          <t>PENDING</t>
        </is>
      </c>
    </row>
    <row r="178">
      <c r="B178" s="18" t="inlineStr">
        <is>
          <t>חיסכון אנרגטי</t>
        </is>
      </c>
      <c r="C178" s="9" t="inlineStr">
        <is>
          <t>% מצריכה בסיסית</t>
        </is>
      </c>
      <c r="D178" s="9" t="inlineStr">
        <is>
          <t>ממצאי הנדסה</t>
        </is>
      </c>
      <c r="E178" s="9" t="inlineStr"/>
      <c r="F178" s="10" t="n">
        <v>0.2</v>
      </c>
    </row>
    <row r="179">
      <c r="B179" s="18" t="inlineStr">
        <is>
          <t>צריכת אנרגיה שנתית (ציוד יעיל)</t>
        </is>
      </c>
      <c r="C179" s="9" t="inlineStr">
        <is>
          <t>קוט"ש/שנה</t>
        </is>
      </c>
      <c r="D179" s="9" t="inlineStr">
        <is>
          <t>חישוב</t>
        </is>
      </c>
      <c r="E179" s="9">
        <f> צריכה בסיסית × (1 − חיסכון)</f>
        <v/>
      </c>
      <c r="F179" s="30">
        <f>IF(ISNUMBER($F$177),$F$177*(1-$F$178),"PENDING")</f>
        <v/>
      </c>
    </row>
    <row r="180">
      <c r="B180" s="18" t="inlineStr">
        <is>
          <t>גורם שחיקת ביצועים</t>
        </is>
      </c>
      <c r="C180" s="9" t="inlineStr">
        <is>
          <t>% לשנה</t>
        </is>
      </c>
      <c r="D180" s="9" t="inlineStr">
        <is>
          <t>הנחת עבודה</t>
        </is>
      </c>
      <c r="E180" s="9" t="inlineStr">
        <is>
          <t>ירידה שנתית בחיסכון האנרגטי | 0.5%-1.0%/שנה — לאשר מול רפי</t>
        </is>
      </c>
      <c r="F180" s="11" t="n">
        <v>0.005</v>
      </c>
    </row>
    <row r="181">
      <c r="B181" s="18" t="inlineStr">
        <is>
          <t>מחיר חשמל</t>
        </is>
      </c>
      <c r="C181" s="9" t="inlineStr">
        <is>
          <t>₪/קוט"ש</t>
        </is>
      </c>
      <c r="D181" s="9" t="inlineStr">
        <is>
          <t>גיליון הנחות</t>
        </is>
      </c>
      <c r="F181" s="31">
        <f>'נתונים והנחות'!$F$12/100</f>
        <v/>
      </c>
    </row>
    <row r="182">
      <c r="B182" s="18" t="inlineStr">
        <is>
          <t>OPEX אנרגיה — בסיסי (שנה 1)</t>
        </is>
      </c>
      <c r="C182" s="9" t="inlineStr">
        <is>
          <t>₪/שנה</t>
        </is>
      </c>
      <c r="D182" s="9" t="inlineStr">
        <is>
          <t>חישוב</t>
        </is>
      </c>
      <c r="E182" s="9">
        <f> kWh בסיסי × מחיר חשמל</f>
        <v/>
      </c>
      <c r="F182" s="28">
        <f>IF(ISNUMBER($F$177),$F$177*$F$181,"PENDING")</f>
        <v/>
      </c>
    </row>
    <row r="183">
      <c r="B183" s="18" t="inlineStr">
        <is>
          <t>OPEX אנרגיה — יעיל (שנה 1)</t>
        </is>
      </c>
      <c r="C183" s="9" t="inlineStr">
        <is>
          <t>₪/שנה</t>
        </is>
      </c>
      <c r="D183" s="9" t="inlineStr">
        <is>
          <t>חישוב</t>
        </is>
      </c>
      <c r="E183" s="9">
        <f> kWh יעיל × מחיר חשמל</f>
        <v/>
      </c>
      <c r="F183" s="28">
        <f>IF(ISNUMBER($F$179),$F$179*$F$181,"PENDING")</f>
        <v/>
      </c>
    </row>
    <row r="184">
      <c r="B184" s="18" t="inlineStr">
        <is>
          <t>OPEX אחר — בסיסי (תחזוקה, חלקים וכו')</t>
        </is>
      </c>
      <c r="C184" s="9" t="inlineStr">
        <is>
          <t>₪/שנה</t>
        </is>
      </c>
      <c r="D184" s="9" t="inlineStr">
        <is>
          <t>נתוני רפי</t>
        </is>
      </c>
      <c r="E184" s="26" t="inlineStr">
        <is>
          <t>⚠ ממתין — תחזוקה, חלפים, ביטוח</t>
        </is>
      </c>
      <c r="F184" s="27" t="inlineStr">
        <is>
          <t>PENDING</t>
        </is>
      </c>
    </row>
    <row r="185">
      <c r="B185" s="18" t="inlineStr">
        <is>
          <t>OPEX אחר — יעיל (תחזוקה, חלקים וכו')</t>
        </is>
      </c>
      <c r="C185" s="9" t="inlineStr">
        <is>
          <t>₪/שנה</t>
        </is>
      </c>
      <c r="D185" s="9" t="inlineStr">
        <is>
          <t>נתוני רפי</t>
        </is>
      </c>
      <c r="E185" s="26" t="inlineStr">
        <is>
          <t>⚠ ממתין — תחזוקה, חלפים, ביטוח</t>
        </is>
      </c>
      <c r="F185" s="27" t="inlineStr">
        <is>
          <t>PENDING</t>
        </is>
      </c>
    </row>
    <row r="187">
      <c r="B187" s="25" t="inlineStr">
        <is>
          <t>ב. לוחות פחת (ציוד בסיסי vs. יעיל)</t>
        </is>
      </c>
    </row>
    <row r="188">
      <c r="B188" s="32" t="inlineStr">
        <is>
          <t>פרמטר</t>
        </is>
      </c>
      <c r="C188" s="32" t="inlineStr">
        <is>
          <t>יחידות</t>
        </is>
      </c>
      <c r="D188" s="32" t="inlineStr">
        <is>
          <t>מקור</t>
        </is>
      </c>
      <c r="E188" s="32" t="inlineStr">
        <is>
          <t>הערות</t>
        </is>
      </c>
      <c r="F188" s="32" t="inlineStr">
        <is>
          <t>שנה 0 (השקעה)</t>
        </is>
      </c>
      <c r="G188" s="32" t="inlineStr">
        <is>
          <t>שנה 1</t>
        </is>
      </c>
      <c r="H188" s="32" t="inlineStr">
        <is>
          <t>שנה 2</t>
        </is>
      </c>
      <c r="I188" s="32" t="inlineStr">
        <is>
          <t>שנה 3</t>
        </is>
      </c>
      <c r="J188" s="32" t="inlineStr">
        <is>
          <t>שנה 4</t>
        </is>
      </c>
      <c r="K188" s="32" t="inlineStr">
        <is>
          <t>שנה 5</t>
        </is>
      </c>
      <c r="L188" s="32" t="inlineStr">
        <is>
          <t>שנה 6</t>
        </is>
      </c>
      <c r="M188" s="32" t="inlineStr">
        <is>
          <t>שנה 7</t>
        </is>
      </c>
      <c r="N188" s="32" t="inlineStr">
        <is>
          <t>שנה 8</t>
        </is>
      </c>
      <c r="O188" s="32" t="inlineStr">
        <is>
          <t>שנה 9</t>
        </is>
      </c>
      <c r="P188" s="32" t="inlineStr">
        <is>
          <t>שנה 10</t>
        </is>
      </c>
      <c r="Q188" s="32" t="inlineStr">
        <is>
          <t>שנה 11</t>
        </is>
      </c>
      <c r="R188" s="32" t="inlineStr">
        <is>
          <t>שנה 12</t>
        </is>
      </c>
      <c r="S188" s="32" t="inlineStr">
        <is>
          <t>שנה 13</t>
        </is>
      </c>
      <c r="T188" s="32" t="inlineStr">
        <is>
          <t>שנה 14</t>
        </is>
      </c>
      <c r="U188" s="32" t="inlineStr">
        <is>
          <t>שנה 15</t>
        </is>
      </c>
      <c r="V188" s="32" t="inlineStr">
        <is>
          <t>שנה 16</t>
        </is>
      </c>
      <c r="W188" s="32" t="inlineStr">
        <is>
          <t>שנה 17</t>
        </is>
      </c>
      <c r="X188" s="32" t="inlineStr">
        <is>
          <t>שנה 18</t>
        </is>
      </c>
      <c r="Y188" s="32" t="inlineStr">
        <is>
          <t>שנה 19</t>
        </is>
      </c>
      <c r="Z188" s="32" t="inlineStr">
        <is>
          <t>שנה 20</t>
        </is>
      </c>
    </row>
    <row r="189">
      <c r="B189" s="4" t="inlineStr">
        <is>
          <t>פחת סטנדרטי — מדחס מהירות קבועה</t>
        </is>
      </c>
      <c r="C189" s="9" t="inlineStr">
        <is>
          <t>₪</t>
        </is>
      </c>
      <c r="D189" s="9" t="inlineStr">
        <is>
          <t>חישוב</t>
        </is>
      </c>
      <c r="E189" s="9" t="inlineStr">
        <is>
          <t>קו ישר | 10%/שנה | עד 10 שנים | CapEx בסיסי</t>
        </is>
      </c>
      <c r="F189" s="33" t="n">
        <v>0</v>
      </c>
      <c r="G189" s="33">
        <f>IF(ISNUMBER($F$172),$F$172*0.1,0)</f>
        <v/>
      </c>
      <c r="H189" s="33">
        <f>IF(ISNUMBER($F$172),$F$172*0.1,0)</f>
        <v/>
      </c>
      <c r="I189" s="33">
        <f>IF(ISNUMBER($F$172),$F$172*0.1,0)</f>
        <v/>
      </c>
      <c r="J189" s="33">
        <f>IF(ISNUMBER($F$172),$F$172*0.1,0)</f>
        <v/>
      </c>
      <c r="K189" s="33">
        <f>IF(ISNUMBER($F$172),$F$172*0.1,0)</f>
        <v/>
      </c>
      <c r="L189" s="33">
        <f>IF(ISNUMBER($F$172),$F$172*0.1,0)</f>
        <v/>
      </c>
      <c r="M189" s="33">
        <f>IF(ISNUMBER($F$172),$F$172*0.1,0)</f>
        <v/>
      </c>
      <c r="N189" s="33">
        <f>IF(ISNUMBER($F$172),$F$172*0.1,0)</f>
        <v/>
      </c>
      <c r="O189" s="33">
        <f>IF(ISNUMBER($F$172),$F$172*0.1,0)</f>
        <v/>
      </c>
      <c r="P189" s="33">
        <f>IF(ISNUMBER($F$172),$F$172*0.1,0)</f>
        <v/>
      </c>
      <c r="Q189" s="33">
        <f>0</f>
        <v/>
      </c>
      <c r="R189" s="33">
        <f>0</f>
        <v/>
      </c>
      <c r="S189" s="33">
        <f>0</f>
        <v/>
      </c>
      <c r="T189" s="33">
        <f>0</f>
        <v/>
      </c>
      <c r="U189" s="33">
        <f>0</f>
        <v/>
      </c>
      <c r="V189" s="33">
        <f>0</f>
        <v/>
      </c>
      <c r="W189" s="33">
        <f>0</f>
        <v/>
      </c>
      <c r="X189" s="33">
        <f>0</f>
        <v/>
      </c>
      <c r="Y189" s="33">
        <f>0</f>
        <v/>
      </c>
      <c r="Z189" s="33">
        <f>0</f>
        <v/>
      </c>
    </row>
    <row r="190">
      <c r="B190" s="4" t="inlineStr">
        <is>
          <t>מגן מס — מדחס מהירות קבועה</t>
        </is>
      </c>
      <c r="C190" s="9" t="inlineStr">
        <is>
          <t>₪</t>
        </is>
      </c>
      <c r="D190" s="9" t="inlineStr">
        <is>
          <t>חישוב</t>
        </is>
      </c>
      <c r="E190" s="9">
        <f> פחת × שיעור מס</f>
        <v/>
      </c>
      <c r="F190" s="33" t="n">
        <v>0</v>
      </c>
      <c r="G190" s="33">
        <f>G189*'נתונים והנחות'!$F$10</f>
        <v/>
      </c>
      <c r="H190" s="33">
        <f>H189*'נתונים והנחות'!$F$10</f>
        <v/>
      </c>
      <c r="I190" s="33">
        <f>I189*'נתונים והנחות'!$F$10</f>
        <v/>
      </c>
      <c r="J190" s="33">
        <f>J189*'נתונים והנחות'!$F$10</f>
        <v/>
      </c>
      <c r="K190" s="33">
        <f>K189*'נתונים והנחות'!$F$10</f>
        <v/>
      </c>
      <c r="L190" s="33">
        <f>L189*'נתונים והנחות'!$F$10</f>
        <v/>
      </c>
      <c r="M190" s="33">
        <f>M189*'נתונים והנחות'!$F$10</f>
        <v/>
      </c>
      <c r="N190" s="33">
        <f>N189*'נתונים והנחות'!$F$10</f>
        <v/>
      </c>
      <c r="O190" s="33">
        <f>O189*'נתונים והנחות'!$F$10</f>
        <v/>
      </c>
      <c r="P190" s="33">
        <f>P189*'נתונים והנחות'!$F$10</f>
        <v/>
      </c>
      <c r="Q190" s="33">
        <f>Q189*'נתונים והנחות'!$F$10</f>
        <v/>
      </c>
      <c r="R190" s="33">
        <f>R189*'נתונים והנחות'!$F$10</f>
        <v/>
      </c>
      <c r="S190" s="33">
        <f>S189*'נתונים והנחות'!$F$10</f>
        <v/>
      </c>
      <c r="T190" s="33">
        <f>T189*'נתונים והנחות'!$F$10</f>
        <v/>
      </c>
      <c r="U190" s="33">
        <f>U189*'נתונים והנחות'!$F$10</f>
        <v/>
      </c>
      <c r="V190" s="33">
        <f>V189*'נתונים והנחות'!$F$10</f>
        <v/>
      </c>
      <c r="W190" s="33">
        <f>W189*'נתונים והנחות'!$F$10</f>
        <v/>
      </c>
      <c r="X190" s="33">
        <f>X189*'נתונים והנחות'!$F$10</f>
        <v/>
      </c>
      <c r="Y190" s="33">
        <f>Y189*'נתונים והנחות'!$F$10</f>
        <v/>
      </c>
      <c r="Z190" s="33">
        <f>Z189*'נתונים והנחות'!$F$10</f>
        <v/>
      </c>
    </row>
    <row r="191">
      <c r="B191" s="5" t="inlineStr">
        <is>
          <t>פחת סטנדרטי — מדחסי VSD</t>
        </is>
      </c>
      <c r="C191" s="9" t="inlineStr">
        <is>
          <t>₪</t>
        </is>
      </c>
      <c r="D191" s="9" t="inlineStr">
        <is>
          <t>חישוב</t>
        </is>
      </c>
      <c r="E191" s="9" t="inlineStr">
        <is>
          <t>קו ישר | 10%/שנה | עד 10 שנים | CapEx יעיל</t>
        </is>
      </c>
      <c r="F191" s="34" t="n">
        <v>0</v>
      </c>
      <c r="G191" s="34">
        <f>IF(ISNUMBER($F$173),$F$173*0.1,0)</f>
        <v/>
      </c>
      <c r="H191" s="34">
        <f>IF(ISNUMBER($F$173),$F$173*0.1,0)</f>
        <v/>
      </c>
      <c r="I191" s="34">
        <f>IF(ISNUMBER($F$173),$F$173*0.1,0)</f>
        <v/>
      </c>
      <c r="J191" s="34">
        <f>IF(ISNUMBER($F$173),$F$173*0.1,0)</f>
        <v/>
      </c>
      <c r="K191" s="34">
        <f>IF(ISNUMBER($F$173),$F$173*0.1,0)</f>
        <v/>
      </c>
      <c r="L191" s="34">
        <f>IF(ISNUMBER($F$173),$F$173*0.1,0)</f>
        <v/>
      </c>
      <c r="M191" s="34">
        <f>IF(ISNUMBER($F$173),$F$173*0.1,0)</f>
        <v/>
      </c>
      <c r="N191" s="34">
        <f>IF(ISNUMBER($F$173),$F$173*0.1,0)</f>
        <v/>
      </c>
      <c r="O191" s="34">
        <f>IF(ISNUMBER($F$173),$F$173*0.1,0)</f>
        <v/>
      </c>
      <c r="P191" s="34">
        <f>IF(ISNUMBER($F$173),$F$173*0.1,0)</f>
        <v/>
      </c>
      <c r="Q191" s="34">
        <f>0</f>
        <v/>
      </c>
      <c r="R191" s="34">
        <f>0</f>
        <v/>
      </c>
      <c r="S191" s="34">
        <f>0</f>
        <v/>
      </c>
      <c r="T191" s="34">
        <f>0</f>
        <v/>
      </c>
      <c r="U191" s="34">
        <f>0</f>
        <v/>
      </c>
      <c r="V191" s="34">
        <f>0</f>
        <v/>
      </c>
      <c r="W191" s="34">
        <f>0</f>
        <v/>
      </c>
      <c r="X191" s="34">
        <f>0</f>
        <v/>
      </c>
      <c r="Y191" s="34">
        <f>0</f>
        <v/>
      </c>
      <c r="Z191" s="34">
        <f>0</f>
        <v/>
      </c>
    </row>
    <row r="192">
      <c r="B192" s="5" t="inlineStr">
        <is>
          <t>מגן מס סטנדרטי — מדחסי VSD</t>
        </is>
      </c>
      <c r="C192" s="9" t="inlineStr">
        <is>
          <t>₪</t>
        </is>
      </c>
      <c r="D192" s="9" t="inlineStr">
        <is>
          <t>חישוב</t>
        </is>
      </c>
      <c r="E192" s="9">
        <f> פחת × שיעור מס</f>
        <v/>
      </c>
      <c r="F192" s="34" t="n">
        <v>0</v>
      </c>
      <c r="G192" s="34">
        <f>G191*'נתונים והנחות'!$F$10</f>
        <v/>
      </c>
      <c r="H192" s="34">
        <f>H191*'נתונים והנחות'!$F$10</f>
        <v/>
      </c>
      <c r="I192" s="34">
        <f>I191*'נתונים והנחות'!$F$10</f>
        <v/>
      </c>
      <c r="J192" s="34">
        <f>J191*'נתונים והנחות'!$F$10</f>
        <v/>
      </c>
      <c r="K192" s="34">
        <f>K191*'נתונים והנחות'!$F$10</f>
        <v/>
      </c>
      <c r="L192" s="34">
        <f>L191*'נתונים והנחות'!$F$10</f>
        <v/>
      </c>
      <c r="M192" s="34">
        <f>M191*'נתונים והנחות'!$F$10</f>
        <v/>
      </c>
      <c r="N192" s="34">
        <f>N191*'נתונים והנחות'!$F$10</f>
        <v/>
      </c>
      <c r="O192" s="34">
        <f>O191*'נתונים והנחות'!$F$10</f>
        <v/>
      </c>
      <c r="P192" s="34">
        <f>P191*'נתונים והנחות'!$F$10</f>
        <v/>
      </c>
      <c r="Q192" s="34">
        <f>Q191*'נתונים והנחות'!$F$10</f>
        <v/>
      </c>
      <c r="R192" s="34">
        <f>R191*'נתונים והנחות'!$F$10</f>
        <v/>
      </c>
      <c r="S192" s="34">
        <f>S191*'נתונים והנחות'!$F$10</f>
        <v/>
      </c>
      <c r="T192" s="34">
        <f>T191*'נתונים והנחות'!$F$10</f>
        <v/>
      </c>
      <c r="U192" s="34">
        <f>U191*'נתונים והנחות'!$F$10</f>
        <v/>
      </c>
      <c r="V192" s="34">
        <f>V191*'נתונים והנחות'!$F$10</f>
        <v/>
      </c>
      <c r="W192" s="34">
        <f>W191*'נתונים והנחות'!$F$10</f>
        <v/>
      </c>
      <c r="X192" s="34">
        <f>X191*'נתונים והנחות'!$F$10</f>
        <v/>
      </c>
      <c r="Y192" s="34">
        <f>Y191*'נתונים והנחות'!$F$10</f>
        <v/>
      </c>
      <c r="Z192" s="34">
        <f>Z191*'נתונים והנחות'!$F$10</f>
        <v/>
      </c>
    </row>
    <row r="193">
      <c r="B193" s="6" t="inlineStr">
        <is>
          <t>פחת מואץ — מדחסי VSD</t>
        </is>
      </c>
      <c r="C193" s="9" t="inlineStr">
        <is>
          <t>₪</t>
        </is>
      </c>
      <c r="D193" s="9" t="inlineStr">
        <is>
          <t>חישוב</t>
        </is>
      </c>
      <c r="E193" s="9">
        <f> CapEx יעיל × (פחת סטנדרטי × מכפיל) | תקופה = 1 ÷ שיעור מואץ</f>
        <v/>
      </c>
      <c r="F193" s="35" t="n">
        <v>0</v>
      </c>
      <c r="G193" s="35">
        <f>IF(ISNUMBER($F$173),IF(1&lt;=ROUND(1/(0.1*'נתונים והנחות'!$F$15),0),$F$173*0.1*'נתונים והנחות'!$F$15,0),0)</f>
        <v/>
      </c>
      <c r="H193" s="35">
        <f>IF(ISNUMBER($F$173),IF(2&lt;=ROUND(1/(0.1*'נתונים והנחות'!$F$15),0),$F$173*0.1*'נתונים והנחות'!$F$15,0),0)</f>
        <v/>
      </c>
      <c r="I193" s="35">
        <f>IF(ISNUMBER($F$173),IF(3&lt;=ROUND(1/(0.1*'נתונים והנחות'!$F$15),0),$F$173*0.1*'נתונים והנחות'!$F$15,0),0)</f>
        <v/>
      </c>
      <c r="J193" s="35">
        <f>IF(ISNUMBER($F$173),IF(4&lt;=ROUND(1/(0.1*'נתונים והנחות'!$F$15),0),$F$173*0.1*'נתונים והנחות'!$F$15,0),0)</f>
        <v/>
      </c>
      <c r="K193" s="35">
        <f>IF(ISNUMBER($F$173),IF(5&lt;=ROUND(1/(0.1*'נתונים והנחות'!$F$15),0),$F$173*0.1*'נתונים והנחות'!$F$15,0),0)</f>
        <v/>
      </c>
      <c r="L193" s="35">
        <f>IF(ISNUMBER($F$173),IF(6&lt;=ROUND(1/(0.1*'נתונים והנחות'!$F$15),0),$F$173*0.1*'נתונים והנחות'!$F$15,0),0)</f>
        <v/>
      </c>
      <c r="M193" s="35">
        <f>IF(ISNUMBER($F$173),IF(7&lt;=ROUND(1/(0.1*'נתונים והנחות'!$F$15),0),$F$173*0.1*'נתונים והנחות'!$F$15,0),0)</f>
        <v/>
      </c>
      <c r="N193" s="35">
        <f>IF(ISNUMBER($F$173),IF(8&lt;=ROUND(1/(0.1*'נתונים והנחות'!$F$15),0),$F$173*0.1*'נתונים והנחות'!$F$15,0),0)</f>
        <v/>
      </c>
      <c r="O193" s="35">
        <f>IF(ISNUMBER($F$173),IF(9&lt;=ROUND(1/(0.1*'נתונים והנחות'!$F$15),0),$F$173*0.1*'נתונים והנחות'!$F$15,0),0)</f>
        <v/>
      </c>
      <c r="P193" s="35">
        <f>IF(ISNUMBER($F$173),IF(10&lt;=ROUND(1/(0.1*'נתונים והנחות'!$F$15),0),$F$173*0.1*'נתונים והנחות'!$F$15,0),0)</f>
        <v/>
      </c>
      <c r="Q193" s="35">
        <f>IF(ISNUMBER($F$173),IF(11&lt;=ROUND(1/(0.1*'נתונים והנחות'!$F$15),0),$F$173*0.1*'נתונים והנחות'!$F$15,0),0)</f>
        <v/>
      </c>
      <c r="R193" s="35">
        <f>IF(ISNUMBER($F$173),IF(12&lt;=ROUND(1/(0.1*'נתונים והנחות'!$F$15),0),$F$173*0.1*'נתונים והנחות'!$F$15,0),0)</f>
        <v/>
      </c>
      <c r="S193" s="35">
        <f>IF(ISNUMBER($F$173),IF(13&lt;=ROUND(1/(0.1*'נתונים והנחות'!$F$15),0),$F$173*0.1*'נתונים והנחות'!$F$15,0),0)</f>
        <v/>
      </c>
      <c r="T193" s="35">
        <f>IF(ISNUMBER($F$173),IF(14&lt;=ROUND(1/(0.1*'נתונים והנחות'!$F$15),0),$F$173*0.1*'נתונים והנחות'!$F$15,0),0)</f>
        <v/>
      </c>
      <c r="U193" s="35">
        <f>IF(ISNUMBER($F$173),IF(15&lt;=ROUND(1/(0.1*'נתונים והנחות'!$F$15),0),$F$173*0.1*'נתונים והנחות'!$F$15,0),0)</f>
        <v/>
      </c>
      <c r="V193" s="35">
        <f>IF(ISNUMBER($F$173),IF(16&lt;=ROUND(1/(0.1*'נתונים והנחות'!$F$15),0),$F$173*0.1*'נתונים והנחות'!$F$15,0),0)</f>
        <v/>
      </c>
      <c r="W193" s="35">
        <f>IF(ISNUMBER($F$173),IF(17&lt;=ROUND(1/(0.1*'נתונים והנחות'!$F$15),0),$F$173*0.1*'נתונים והנחות'!$F$15,0),0)</f>
        <v/>
      </c>
      <c r="X193" s="35">
        <f>IF(ISNUMBER($F$173),IF(18&lt;=ROUND(1/(0.1*'נתונים והנחות'!$F$15),0),$F$173*0.1*'נתונים והנחות'!$F$15,0),0)</f>
        <v/>
      </c>
      <c r="Y193" s="35">
        <f>IF(ISNUMBER($F$173),IF(19&lt;=ROUND(1/(0.1*'נתונים והנחות'!$F$15),0),$F$173*0.1*'נתונים והנחות'!$F$15,0),0)</f>
        <v/>
      </c>
      <c r="Z193" s="35">
        <f>IF(ISNUMBER($F$173),IF(20&lt;=ROUND(1/(0.1*'נתונים והנחות'!$F$15),0),$F$173*0.1*'נתונים והנחות'!$F$15,0),0)</f>
        <v/>
      </c>
    </row>
    <row r="194">
      <c r="B194" s="6" t="inlineStr">
        <is>
          <t>מגן מס מואץ — מדחסי VSD</t>
        </is>
      </c>
      <c r="C194" s="9" t="inlineStr">
        <is>
          <t>₪</t>
        </is>
      </c>
      <c r="D194" s="9" t="inlineStr">
        <is>
          <t>חישוב</t>
        </is>
      </c>
      <c r="E194" s="9">
        <f> פחת מואץ × שיעור מס</f>
        <v/>
      </c>
      <c r="F194" s="35" t="n">
        <v>0</v>
      </c>
      <c r="G194" s="35">
        <f>G193*'נתונים והנחות'!$F$10</f>
        <v/>
      </c>
      <c r="H194" s="35">
        <f>H193*'נתונים והנחות'!$F$10</f>
        <v/>
      </c>
      <c r="I194" s="35">
        <f>I193*'נתונים והנחות'!$F$10</f>
        <v/>
      </c>
      <c r="J194" s="35">
        <f>J193*'נתונים והנחות'!$F$10</f>
        <v/>
      </c>
      <c r="K194" s="35">
        <f>K193*'נתונים והנחות'!$F$10</f>
        <v/>
      </c>
      <c r="L194" s="35">
        <f>L193*'נתונים והנחות'!$F$10</f>
        <v/>
      </c>
      <c r="M194" s="35">
        <f>M193*'נתונים והנחות'!$F$10</f>
        <v/>
      </c>
      <c r="N194" s="35">
        <f>N193*'נתונים והנחות'!$F$10</f>
        <v/>
      </c>
      <c r="O194" s="35">
        <f>O193*'נתונים והנחות'!$F$10</f>
        <v/>
      </c>
      <c r="P194" s="35">
        <f>P193*'נתונים והנחות'!$F$10</f>
        <v/>
      </c>
      <c r="Q194" s="35">
        <f>Q193*'נתונים והנחות'!$F$10</f>
        <v/>
      </c>
      <c r="R194" s="35">
        <f>R193*'נתונים והנחות'!$F$10</f>
        <v/>
      </c>
      <c r="S194" s="35">
        <f>S193*'נתונים והנחות'!$F$10</f>
        <v/>
      </c>
      <c r="T194" s="35">
        <f>T193*'נתונים והנחות'!$F$10</f>
        <v/>
      </c>
      <c r="U194" s="35">
        <f>U193*'נתונים והנחות'!$F$10</f>
        <v/>
      </c>
      <c r="V194" s="35">
        <f>V193*'נתונים והנחות'!$F$10</f>
        <v/>
      </c>
      <c r="W194" s="35">
        <f>W193*'נתונים והנחות'!$F$10</f>
        <v/>
      </c>
      <c r="X194" s="35">
        <f>X193*'נתונים והנחות'!$F$10</f>
        <v/>
      </c>
      <c r="Y194" s="35">
        <f>Y193*'נתונים והנחות'!$F$10</f>
        <v/>
      </c>
      <c r="Z194" s="35">
        <f>Z193*'נתונים והנחות'!$F$10</f>
        <v/>
      </c>
    </row>
    <row r="196">
      <c r="B196" s="25" t="inlineStr">
        <is>
          <t>ג. ניתוח תזרים מזומנים — שלושה תרחישים</t>
        </is>
      </c>
    </row>
    <row r="197">
      <c r="B197" s="32" t="inlineStr">
        <is>
          <t>פרמטר</t>
        </is>
      </c>
      <c r="C197" s="32" t="inlineStr">
        <is>
          <t>יחידות</t>
        </is>
      </c>
      <c r="D197" s="32" t="inlineStr">
        <is>
          <t>מקור</t>
        </is>
      </c>
      <c r="E197" s="32" t="inlineStr">
        <is>
          <t>הערות</t>
        </is>
      </c>
      <c r="F197" s="32" t="inlineStr">
        <is>
          <t>שנה 0 (השקעה)</t>
        </is>
      </c>
      <c r="G197" s="32" t="inlineStr">
        <is>
          <t>שנה 1</t>
        </is>
      </c>
      <c r="H197" s="32" t="inlineStr">
        <is>
          <t>שנה 2</t>
        </is>
      </c>
      <c r="I197" s="32" t="inlineStr">
        <is>
          <t>שנה 3</t>
        </is>
      </c>
      <c r="J197" s="32" t="inlineStr">
        <is>
          <t>שנה 4</t>
        </is>
      </c>
      <c r="K197" s="32" t="inlineStr">
        <is>
          <t>שנה 5</t>
        </is>
      </c>
      <c r="L197" s="32" t="inlineStr">
        <is>
          <t>שנה 6</t>
        </is>
      </c>
      <c r="M197" s="32" t="inlineStr">
        <is>
          <t>שנה 7</t>
        </is>
      </c>
      <c r="N197" s="32" t="inlineStr">
        <is>
          <t>שנה 8</t>
        </is>
      </c>
      <c r="O197" s="32" t="inlineStr">
        <is>
          <t>שנה 9</t>
        </is>
      </c>
      <c r="P197" s="32" t="inlineStr">
        <is>
          <t>שנה 10</t>
        </is>
      </c>
      <c r="Q197" s="32" t="inlineStr">
        <is>
          <t>שנה 11</t>
        </is>
      </c>
      <c r="R197" s="32" t="inlineStr">
        <is>
          <t>שנה 12</t>
        </is>
      </c>
      <c r="S197" s="32" t="inlineStr">
        <is>
          <t>שנה 13</t>
        </is>
      </c>
      <c r="T197" s="32" t="inlineStr">
        <is>
          <t>שנה 14</t>
        </is>
      </c>
      <c r="U197" s="32" t="inlineStr">
        <is>
          <t>שנה 15</t>
        </is>
      </c>
      <c r="V197" s="32" t="inlineStr">
        <is>
          <t>שנה 16</t>
        </is>
      </c>
      <c r="W197" s="32" t="inlineStr">
        <is>
          <t>שנה 17</t>
        </is>
      </c>
      <c r="X197" s="32" t="inlineStr">
        <is>
          <t>שנה 18</t>
        </is>
      </c>
      <c r="Y197" s="32" t="inlineStr">
        <is>
          <t>שנה 19</t>
        </is>
      </c>
      <c r="Z197" s="32" t="inlineStr">
        <is>
          <t>שנה 20</t>
        </is>
      </c>
    </row>
    <row r="198">
      <c r="B198" s="36" t="inlineStr">
        <is>
          <t>תרחיש A — רכישת מדחס מהירות קבועה (ציוד קיים / לא יעיל)</t>
        </is>
      </c>
    </row>
    <row r="199">
      <c r="B199" s="4" t="inlineStr">
        <is>
          <t>השקעה ראשונית</t>
        </is>
      </c>
      <c r="C199" s="9" t="inlineStr">
        <is>
          <t>₪</t>
        </is>
      </c>
      <c r="D199" s="9" t="inlineStr">
        <is>
          <t>חישוב</t>
        </is>
      </c>
      <c r="F199" s="33">
        <f>IF(ISNUMBER($F$172),-$F$172,"PENDING")</f>
        <v/>
      </c>
    </row>
    <row r="200">
      <c r="B200" s="4" t="inlineStr">
        <is>
          <t>OPEX אנרגיה</t>
        </is>
      </c>
      <c r="C200" s="9" t="inlineStr">
        <is>
          <t>₪</t>
        </is>
      </c>
      <c r="D200" s="9" t="inlineStr">
        <is>
          <t>חישוב</t>
        </is>
      </c>
      <c r="F200" s="33" t="n">
        <v>0</v>
      </c>
      <c r="G200" s="33">
        <f>IF(ISNUMBER($F$182),-$F$182,0)</f>
        <v/>
      </c>
      <c r="H200" s="33">
        <f>IF(ISNUMBER($F$182),-$F$182,0)</f>
        <v/>
      </c>
      <c r="I200" s="33">
        <f>IF(ISNUMBER($F$182),-$F$182,0)</f>
        <v/>
      </c>
      <c r="J200" s="33">
        <f>IF(ISNUMBER($F$182),-$F$182,0)</f>
        <v/>
      </c>
      <c r="K200" s="33">
        <f>IF(ISNUMBER($F$182),-$F$182,0)</f>
        <v/>
      </c>
      <c r="L200" s="33">
        <f>IF(ISNUMBER($F$182),-$F$182,0)</f>
        <v/>
      </c>
      <c r="M200" s="33">
        <f>IF(ISNUMBER($F$182),-$F$182,0)</f>
        <v/>
      </c>
      <c r="N200" s="33">
        <f>IF(ISNUMBER($F$182),-$F$182,0)</f>
        <v/>
      </c>
      <c r="O200" s="33">
        <f>IF(ISNUMBER($F$182),-$F$182,0)</f>
        <v/>
      </c>
      <c r="P200" s="33">
        <f>IF(ISNUMBER($F$182),-$F$182,0)</f>
        <v/>
      </c>
      <c r="Q200" s="33">
        <f>IF(ISNUMBER($F$182),-$F$182,0)</f>
        <v/>
      </c>
      <c r="R200" s="33">
        <f>IF(ISNUMBER($F$182),-$F$182,0)</f>
        <v/>
      </c>
      <c r="S200" s="33">
        <f>0</f>
        <v/>
      </c>
      <c r="T200" s="33">
        <f>0</f>
        <v/>
      </c>
      <c r="U200" s="33">
        <f>0</f>
        <v/>
      </c>
      <c r="V200" s="33">
        <f>0</f>
        <v/>
      </c>
      <c r="W200" s="33">
        <f>0</f>
        <v/>
      </c>
      <c r="X200" s="33">
        <f>0</f>
        <v/>
      </c>
      <c r="Y200" s="33">
        <f>0</f>
        <v/>
      </c>
      <c r="Z200" s="33">
        <f>0</f>
        <v/>
      </c>
    </row>
    <row r="201">
      <c r="B201" s="4" t="inlineStr">
        <is>
          <t>OPEX אחר (תחזוקה וכו')</t>
        </is>
      </c>
      <c r="C201" s="9" t="inlineStr">
        <is>
          <t>₪</t>
        </is>
      </c>
      <c r="D201" s="9" t="inlineStr">
        <is>
          <t>חישוב</t>
        </is>
      </c>
      <c r="F201" s="33" t="n">
        <v>0</v>
      </c>
      <c r="G201" s="33">
        <f>IF(ISNUMBER($F$184),-$F$184,0)</f>
        <v/>
      </c>
      <c r="H201" s="33">
        <f>IF(ISNUMBER($F$184),-$F$184,0)</f>
        <v/>
      </c>
      <c r="I201" s="33">
        <f>IF(ISNUMBER($F$184),-$F$184,0)</f>
        <v/>
      </c>
      <c r="J201" s="33">
        <f>IF(ISNUMBER($F$184),-$F$184,0)</f>
        <v/>
      </c>
      <c r="K201" s="33">
        <f>IF(ISNUMBER($F$184),-$F$184,0)</f>
        <v/>
      </c>
      <c r="L201" s="33">
        <f>IF(ISNUMBER($F$184),-$F$184,0)</f>
        <v/>
      </c>
      <c r="M201" s="33">
        <f>IF(ISNUMBER($F$184),-$F$184,0)</f>
        <v/>
      </c>
      <c r="N201" s="33">
        <f>IF(ISNUMBER($F$184),-$F$184,0)</f>
        <v/>
      </c>
      <c r="O201" s="33">
        <f>IF(ISNUMBER($F$184),-$F$184,0)</f>
        <v/>
      </c>
      <c r="P201" s="33">
        <f>IF(ISNUMBER($F$184),-$F$184,0)</f>
        <v/>
      </c>
      <c r="Q201" s="33">
        <f>IF(ISNUMBER($F$184),-$F$184,0)</f>
        <v/>
      </c>
      <c r="R201" s="33">
        <f>IF(ISNUMBER($F$184),-$F$184,0)</f>
        <v/>
      </c>
      <c r="S201" s="33">
        <f>0</f>
        <v/>
      </c>
      <c r="T201" s="33">
        <f>0</f>
        <v/>
      </c>
      <c r="U201" s="33">
        <f>0</f>
        <v/>
      </c>
      <c r="V201" s="33">
        <f>0</f>
        <v/>
      </c>
      <c r="W201" s="33">
        <f>0</f>
        <v/>
      </c>
      <c r="X201" s="33">
        <f>0</f>
        <v/>
      </c>
      <c r="Y201" s="33">
        <f>0</f>
        <v/>
      </c>
      <c r="Z201" s="33">
        <f>0</f>
        <v/>
      </c>
    </row>
    <row r="202">
      <c r="B202" s="4" t="inlineStr">
        <is>
          <t>תזרים נקי — תרחיש A</t>
        </is>
      </c>
      <c r="C202" s="9" t="inlineStr">
        <is>
          <t>₪</t>
        </is>
      </c>
      <c r="D202" s="9" t="inlineStr">
        <is>
          <t>חישוב</t>
        </is>
      </c>
      <c r="F202" s="33">
        <f>F199</f>
        <v/>
      </c>
      <c r="G202" s="33">
        <f>G200+G201+G190</f>
        <v/>
      </c>
      <c r="H202" s="33">
        <f>H200+H201+H190</f>
        <v/>
      </c>
      <c r="I202" s="33">
        <f>I200+I201+I190</f>
        <v/>
      </c>
      <c r="J202" s="33">
        <f>J200+J201+J190</f>
        <v/>
      </c>
      <c r="K202" s="33">
        <f>K200+K201+K190</f>
        <v/>
      </c>
      <c r="L202" s="33">
        <f>L200+L201+L190</f>
        <v/>
      </c>
      <c r="M202" s="33">
        <f>M200+M201+M190</f>
        <v/>
      </c>
      <c r="N202" s="33">
        <f>N200+N201+N190</f>
        <v/>
      </c>
      <c r="O202" s="33">
        <f>O200+O201+O190</f>
        <v/>
      </c>
      <c r="P202" s="33">
        <f>P200+P201+P190</f>
        <v/>
      </c>
      <c r="Q202" s="33">
        <f>Q200+Q201+Q190</f>
        <v/>
      </c>
      <c r="R202" s="33">
        <f>R200+R201+R190</f>
        <v/>
      </c>
      <c r="S202" s="33">
        <f>S200+S201+S190</f>
        <v/>
      </c>
      <c r="T202" s="33">
        <f>T200+T201+T190</f>
        <v/>
      </c>
      <c r="U202" s="33">
        <f>U200+U201+U190</f>
        <v/>
      </c>
      <c r="V202" s="33">
        <f>V200+V201+V190</f>
        <v/>
      </c>
      <c r="W202" s="33">
        <f>W200+W201+W190</f>
        <v/>
      </c>
      <c r="X202" s="33">
        <f>X200+X201+X190</f>
        <v/>
      </c>
      <c r="Y202" s="33">
        <f>Y200+Y201+Y190</f>
        <v/>
      </c>
      <c r="Z202" s="33">
        <f>Z200+Z201+Z190</f>
        <v/>
      </c>
    </row>
    <row r="203">
      <c r="B203" s="4" t="inlineStr">
        <is>
          <t>תזרים מהוון — תרחיש A</t>
        </is>
      </c>
      <c r="C203" s="9" t="inlineStr">
        <is>
          <t>₪</t>
        </is>
      </c>
      <c r="D203" s="9" t="inlineStr">
        <is>
          <t>חישוב</t>
        </is>
      </c>
      <c r="F203" s="33">
        <f>F202</f>
        <v/>
      </c>
      <c r="G203" s="33">
        <f>G202/(1+'נתונים והנחות'!$F$11)^1</f>
        <v/>
      </c>
      <c r="H203" s="33">
        <f>H202/(1+'נתונים והנחות'!$F$11)^2</f>
        <v/>
      </c>
      <c r="I203" s="33">
        <f>I202/(1+'נתונים והנחות'!$F$11)^3</f>
        <v/>
      </c>
      <c r="J203" s="33">
        <f>J202/(1+'נתונים והנחות'!$F$11)^4</f>
        <v/>
      </c>
      <c r="K203" s="33">
        <f>K202/(1+'נתונים והנחות'!$F$11)^5</f>
        <v/>
      </c>
      <c r="L203" s="33">
        <f>L202/(1+'נתונים והנחות'!$F$11)^6</f>
        <v/>
      </c>
      <c r="M203" s="33">
        <f>M202/(1+'נתונים והנחות'!$F$11)^7</f>
        <v/>
      </c>
      <c r="N203" s="33">
        <f>N202/(1+'נתונים והנחות'!$F$11)^8</f>
        <v/>
      </c>
      <c r="O203" s="33">
        <f>O202/(1+'נתונים והנחות'!$F$11)^9</f>
        <v/>
      </c>
      <c r="P203" s="33">
        <f>P202/(1+'נתונים והנחות'!$F$11)^10</f>
        <v/>
      </c>
      <c r="Q203" s="33">
        <f>Q202/(1+'נתונים והנחות'!$F$11)^11</f>
        <v/>
      </c>
      <c r="R203" s="33">
        <f>R202/(1+'נתונים והנחות'!$F$11)^12</f>
        <v/>
      </c>
      <c r="S203" s="33">
        <f>S202/(1+'נתונים והנחות'!$F$11)^13</f>
        <v/>
      </c>
      <c r="T203" s="33">
        <f>T202/(1+'נתונים והנחות'!$F$11)^14</f>
        <v/>
      </c>
      <c r="U203" s="33">
        <f>U202/(1+'נתונים והנחות'!$F$11)^15</f>
        <v/>
      </c>
      <c r="V203" s="33">
        <f>V202/(1+'נתונים והנחות'!$F$11)^16</f>
        <v/>
      </c>
      <c r="W203" s="33">
        <f>W202/(1+'נתונים והנחות'!$F$11)^17</f>
        <v/>
      </c>
      <c r="X203" s="33">
        <f>X202/(1+'נתונים והנחות'!$F$11)^18</f>
        <v/>
      </c>
      <c r="Y203" s="33">
        <f>Y202/(1+'נתונים והנחות'!$F$11)^19</f>
        <v/>
      </c>
      <c r="Z203" s="33">
        <f>Z202/(1+'נתונים והנחות'!$F$11)^20</f>
        <v/>
      </c>
    </row>
    <row r="204">
      <c r="B204" s="4" t="inlineStr">
        <is>
          <t>NPV מצטבר — תרחיש A</t>
        </is>
      </c>
      <c r="C204" s="9" t="inlineStr">
        <is>
          <t>₪</t>
        </is>
      </c>
      <c r="D204" s="9" t="inlineStr">
        <is>
          <t>חישוב</t>
        </is>
      </c>
      <c r="F204" s="33">
        <f>F203</f>
        <v/>
      </c>
      <c r="G204" s="33">
        <f>F204+G203</f>
        <v/>
      </c>
      <c r="H204" s="33">
        <f>G204+H203</f>
        <v/>
      </c>
      <c r="I204" s="33">
        <f>H204+I203</f>
        <v/>
      </c>
      <c r="J204" s="33">
        <f>I204+J203</f>
        <v/>
      </c>
      <c r="K204" s="33">
        <f>J204+K203</f>
        <v/>
      </c>
      <c r="L204" s="33">
        <f>K204+L203</f>
        <v/>
      </c>
      <c r="M204" s="33">
        <f>L204+M203</f>
        <v/>
      </c>
      <c r="N204" s="33">
        <f>M204+N203</f>
        <v/>
      </c>
      <c r="O204" s="33">
        <f>N204+O203</f>
        <v/>
      </c>
      <c r="P204" s="33">
        <f>O204+P203</f>
        <v/>
      </c>
      <c r="Q204" s="33">
        <f>P204+Q203</f>
        <v/>
      </c>
      <c r="R204" s="33">
        <f>Q204+R203</f>
        <v/>
      </c>
      <c r="S204" s="33">
        <f>R204+S203</f>
        <v/>
      </c>
      <c r="T204" s="33">
        <f>S204+T203</f>
        <v/>
      </c>
      <c r="U204" s="33">
        <f>T204+U203</f>
        <v/>
      </c>
      <c r="V204" s="33">
        <f>U204+V203</f>
        <v/>
      </c>
      <c r="W204" s="33">
        <f>V204+W203</f>
        <v/>
      </c>
      <c r="X204" s="33">
        <f>W204+X203</f>
        <v/>
      </c>
      <c r="Y204" s="33">
        <f>X204+Y203</f>
        <v/>
      </c>
      <c r="Z204" s="33">
        <f>Y204+Z203</f>
        <v/>
      </c>
    </row>
    <row r="206">
      <c r="B206" s="37" t="inlineStr">
        <is>
          <t>תרחיש B — רכישת מדחסי VSD | פחת סטנדרטי (ללא תמריץ)</t>
        </is>
      </c>
    </row>
    <row r="207">
      <c r="B207" s="5" t="inlineStr">
        <is>
          <t>השקעה ראשונית</t>
        </is>
      </c>
      <c r="C207" s="9" t="inlineStr">
        <is>
          <t>₪</t>
        </is>
      </c>
      <c r="D207" s="9" t="inlineStr">
        <is>
          <t>חישוב</t>
        </is>
      </c>
      <c r="F207" s="34">
        <f>IF(ISNUMBER($F$173),-$F$173,"PENDING")</f>
        <v/>
      </c>
    </row>
    <row r="208">
      <c r="B208" s="5" t="inlineStr">
        <is>
          <t>OPEX אנרגיה (עם שחיקה שנתית)</t>
        </is>
      </c>
      <c r="C208" s="9" t="inlineStr">
        <is>
          <t>₪</t>
        </is>
      </c>
      <c r="D208" s="9" t="inlineStr">
        <is>
          <t>חישוב</t>
        </is>
      </c>
      <c r="F208" s="34" t="n">
        <v>0</v>
      </c>
      <c r="G208" s="34">
        <f>IF(ISNUMBER($F$183),-$F$183*(1-$F$180)^0,0)</f>
        <v/>
      </c>
      <c r="H208" s="34">
        <f>IF(ISNUMBER($F$183),-$F$183*(1-$F$180)^1,0)</f>
        <v/>
      </c>
      <c r="I208" s="34">
        <f>IF(ISNUMBER($F$183),-$F$183*(1-$F$180)^2,0)</f>
        <v/>
      </c>
      <c r="J208" s="34">
        <f>IF(ISNUMBER($F$183),-$F$183*(1-$F$180)^3,0)</f>
        <v/>
      </c>
      <c r="K208" s="34">
        <f>IF(ISNUMBER($F$183),-$F$183*(1-$F$180)^4,0)</f>
        <v/>
      </c>
      <c r="L208" s="34">
        <f>IF(ISNUMBER($F$183),-$F$183*(1-$F$180)^5,0)</f>
        <v/>
      </c>
      <c r="M208" s="34">
        <f>IF(ISNUMBER($F$183),-$F$183*(1-$F$180)^6,0)</f>
        <v/>
      </c>
      <c r="N208" s="34">
        <f>IF(ISNUMBER($F$183),-$F$183*(1-$F$180)^7,0)</f>
        <v/>
      </c>
      <c r="O208" s="34">
        <f>IF(ISNUMBER($F$183),-$F$183*(1-$F$180)^8,0)</f>
        <v/>
      </c>
      <c r="P208" s="34">
        <f>IF(ISNUMBER($F$183),-$F$183*(1-$F$180)^9,0)</f>
        <v/>
      </c>
      <c r="Q208" s="34">
        <f>IF(ISNUMBER($F$183),-$F$183*(1-$F$180)^10,0)</f>
        <v/>
      </c>
      <c r="R208" s="34">
        <f>IF(ISNUMBER($F$183),-$F$183*(1-$F$180)^11,0)</f>
        <v/>
      </c>
      <c r="S208" s="34">
        <f>0</f>
        <v/>
      </c>
      <c r="T208" s="34">
        <f>0</f>
        <v/>
      </c>
      <c r="U208" s="34">
        <f>0</f>
        <v/>
      </c>
      <c r="V208" s="34">
        <f>0</f>
        <v/>
      </c>
      <c r="W208" s="34">
        <f>0</f>
        <v/>
      </c>
      <c r="X208" s="34">
        <f>0</f>
        <v/>
      </c>
      <c r="Y208" s="34">
        <f>0</f>
        <v/>
      </c>
      <c r="Z208" s="34">
        <f>0</f>
        <v/>
      </c>
    </row>
    <row r="209">
      <c r="B209" s="5" t="inlineStr">
        <is>
          <t>OPEX אחר (תחזוקה וכו')</t>
        </is>
      </c>
      <c r="C209" s="9" t="inlineStr">
        <is>
          <t>₪</t>
        </is>
      </c>
      <c r="D209" s="9" t="inlineStr">
        <is>
          <t>חישוב</t>
        </is>
      </c>
      <c r="F209" s="34" t="n">
        <v>0</v>
      </c>
      <c r="G209" s="34">
        <f>IF(ISNUMBER($F$185),-$F$185,0)</f>
        <v/>
      </c>
      <c r="H209" s="34">
        <f>IF(ISNUMBER($F$185),-$F$185,0)</f>
        <v/>
      </c>
      <c r="I209" s="34">
        <f>IF(ISNUMBER($F$185),-$F$185,0)</f>
        <v/>
      </c>
      <c r="J209" s="34">
        <f>IF(ISNUMBER($F$185),-$F$185,0)</f>
        <v/>
      </c>
      <c r="K209" s="34">
        <f>IF(ISNUMBER($F$185),-$F$185,0)</f>
        <v/>
      </c>
      <c r="L209" s="34">
        <f>IF(ISNUMBER($F$185),-$F$185,0)</f>
        <v/>
      </c>
      <c r="M209" s="34">
        <f>IF(ISNUMBER($F$185),-$F$185,0)</f>
        <v/>
      </c>
      <c r="N209" s="34">
        <f>IF(ISNUMBER($F$185),-$F$185,0)</f>
        <v/>
      </c>
      <c r="O209" s="34">
        <f>IF(ISNUMBER($F$185),-$F$185,0)</f>
        <v/>
      </c>
      <c r="P209" s="34">
        <f>IF(ISNUMBER($F$185),-$F$185,0)</f>
        <v/>
      </c>
      <c r="Q209" s="34">
        <f>IF(ISNUMBER($F$185),-$F$185,0)</f>
        <v/>
      </c>
      <c r="R209" s="34">
        <f>IF(ISNUMBER($F$185),-$F$185,0)</f>
        <v/>
      </c>
      <c r="S209" s="34">
        <f>0</f>
        <v/>
      </c>
      <c r="T209" s="34">
        <f>0</f>
        <v/>
      </c>
      <c r="U209" s="34">
        <f>0</f>
        <v/>
      </c>
      <c r="V209" s="34">
        <f>0</f>
        <v/>
      </c>
      <c r="W209" s="34">
        <f>0</f>
        <v/>
      </c>
      <c r="X209" s="34">
        <f>0</f>
        <v/>
      </c>
      <c r="Y209" s="34">
        <f>0</f>
        <v/>
      </c>
      <c r="Z209" s="34">
        <f>0</f>
        <v/>
      </c>
    </row>
    <row r="210">
      <c r="B210" s="5" t="inlineStr">
        <is>
          <t>תזרים נקי — תרחיש B</t>
        </is>
      </c>
      <c r="C210" s="9" t="inlineStr">
        <is>
          <t>₪</t>
        </is>
      </c>
      <c r="D210" s="9" t="inlineStr">
        <is>
          <t>חישוב</t>
        </is>
      </c>
      <c r="F210" s="34">
        <f>F207</f>
        <v/>
      </c>
      <c r="G210" s="34">
        <f>G208+G209+G192</f>
        <v/>
      </c>
      <c r="H210" s="34">
        <f>H208+H209+H192</f>
        <v/>
      </c>
      <c r="I210" s="34">
        <f>I208+I209+I192</f>
        <v/>
      </c>
      <c r="J210" s="34">
        <f>J208+J209+J192</f>
        <v/>
      </c>
      <c r="K210" s="34">
        <f>K208+K209+K192</f>
        <v/>
      </c>
      <c r="L210" s="34">
        <f>L208+L209+L192</f>
        <v/>
      </c>
      <c r="M210" s="34">
        <f>M208+M209+M192</f>
        <v/>
      </c>
      <c r="N210" s="34">
        <f>N208+N209+N192</f>
        <v/>
      </c>
      <c r="O210" s="34">
        <f>O208+O209+O192</f>
        <v/>
      </c>
      <c r="P210" s="34">
        <f>P208+P209+P192</f>
        <v/>
      </c>
      <c r="Q210" s="34">
        <f>Q208+Q209+Q192</f>
        <v/>
      </c>
      <c r="R210" s="34">
        <f>R208+R209+R192</f>
        <v/>
      </c>
      <c r="S210" s="34">
        <f>S208+S209+S192</f>
        <v/>
      </c>
      <c r="T210" s="34">
        <f>T208+T209+T192</f>
        <v/>
      </c>
      <c r="U210" s="34">
        <f>U208+U209+U192</f>
        <v/>
      </c>
      <c r="V210" s="34">
        <f>V208+V209+V192</f>
        <v/>
      </c>
      <c r="W210" s="34">
        <f>W208+W209+W192</f>
        <v/>
      </c>
      <c r="X210" s="34">
        <f>X208+X209+X192</f>
        <v/>
      </c>
      <c r="Y210" s="34">
        <f>Y208+Y209+Y192</f>
        <v/>
      </c>
      <c r="Z210" s="34">
        <f>Z208+Z209+Z192</f>
        <v/>
      </c>
    </row>
    <row r="211">
      <c r="B211" s="5" t="inlineStr">
        <is>
          <t>תזרים מהוון — תרחיש B</t>
        </is>
      </c>
      <c r="C211" s="9" t="inlineStr">
        <is>
          <t>₪</t>
        </is>
      </c>
      <c r="D211" s="9" t="inlineStr">
        <is>
          <t>חישוב</t>
        </is>
      </c>
      <c r="F211" s="34">
        <f>F210</f>
        <v/>
      </c>
      <c r="G211" s="34">
        <f>G210/(1+'נתונים והנחות'!$F$11)^1</f>
        <v/>
      </c>
      <c r="H211" s="34">
        <f>H210/(1+'נתונים והנחות'!$F$11)^2</f>
        <v/>
      </c>
      <c r="I211" s="34">
        <f>I210/(1+'נתונים והנחות'!$F$11)^3</f>
        <v/>
      </c>
      <c r="J211" s="34">
        <f>J210/(1+'נתונים והנחות'!$F$11)^4</f>
        <v/>
      </c>
      <c r="K211" s="34">
        <f>K210/(1+'נתונים והנחות'!$F$11)^5</f>
        <v/>
      </c>
      <c r="L211" s="34">
        <f>L210/(1+'נתונים והנחות'!$F$11)^6</f>
        <v/>
      </c>
      <c r="M211" s="34">
        <f>M210/(1+'נתונים והנחות'!$F$11)^7</f>
        <v/>
      </c>
      <c r="N211" s="34">
        <f>N210/(1+'נתונים והנחות'!$F$11)^8</f>
        <v/>
      </c>
      <c r="O211" s="34">
        <f>O210/(1+'נתונים והנחות'!$F$11)^9</f>
        <v/>
      </c>
      <c r="P211" s="34">
        <f>P210/(1+'נתונים והנחות'!$F$11)^10</f>
        <v/>
      </c>
      <c r="Q211" s="34">
        <f>Q210/(1+'נתונים והנחות'!$F$11)^11</f>
        <v/>
      </c>
      <c r="R211" s="34">
        <f>R210/(1+'נתונים והנחות'!$F$11)^12</f>
        <v/>
      </c>
      <c r="S211" s="34">
        <f>S210/(1+'נתונים והנחות'!$F$11)^13</f>
        <v/>
      </c>
      <c r="T211" s="34">
        <f>T210/(1+'נתונים והנחות'!$F$11)^14</f>
        <v/>
      </c>
      <c r="U211" s="34">
        <f>U210/(1+'נתונים והנחות'!$F$11)^15</f>
        <v/>
      </c>
      <c r="V211" s="34">
        <f>V210/(1+'נתונים והנחות'!$F$11)^16</f>
        <v/>
      </c>
      <c r="W211" s="34">
        <f>W210/(1+'נתונים והנחות'!$F$11)^17</f>
        <v/>
      </c>
      <c r="X211" s="34">
        <f>X210/(1+'נתונים והנחות'!$F$11)^18</f>
        <v/>
      </c>
      <c r="Y211" s="34">
        <f>Y210/(1+'נתונים והנחות'!$F$11)^19</f>
        <v/>
      </c>
      <c r="Z211" s="34">
        <f>Z210/(1+'נתונים והנחות'!$F$11)^20</f>
        <v/>
      </c>
    </row>
    <row r="212">
      <c r="B212" s="5" t="inlineStr">
        <is>
          <t>NPV מצטבר — תרחיש B</t>
        </is>
      </c>
      <c r="C212" s="9" t="inlineStr">
        <is>
          <t>₪</t>
        </is>
      </c>
      <c r="D212" s="9" t="inlineStr">
        <is>
          <t>חישוב</t>
        </is>
      </c>
      <c r="F212" s="34">
        <f>F211</f>
        <v/>
      </c>
      <c r="G212" s="34">
        <f>F212+G211</f>
        <v/>
      </c>
      <c r="H212" s="34">
        <f>G212+H211</f>
        <v/>
      </c>
      <c r="I212" s="34">
        <f>H212+I211</f>
        <v/>
      </c>
      <c r="J212" s="34">
        <f>I212+J211</f>
        <v/>
      </c>
      <c r="K212" s="34">
        <f>J212+K211</f>
        <v/>
      </c>
      <c r="L212" s="34">
        <f>K212+L211</f>
        <v/>
      </c>
      <c r="M212" s="34">
        <f>L212+M211</f>
        <v/>
      </c>
      <c r="N212" s="34">
        <f>M212+N211</f>
        <v/>
      </c>
      <c r="O212" s="34">
        <f>N212+O211</f>
        <v/>
      </c>
      <c r="P212" s="34">
        <f>O212+P211</f>
        <v/>
      </c>
      <c r="Q212" s="34">
        <f>P212+Q211</f>
        <v/>
      </c>
      <c r="R212" s="34">
        <f>Q212+R211</f>
        <v/>
      </c>
      <c r="S212" s="34">
        <f>R212+S211</f>
        <v/>
      </c>
      <c r="T212" s="34">
        <f>S212+T211</f>
        <v/>
      </c>
      <c r="U212" s="34">
        <f>T212+U211</f>
        <v/>
      </c>
      <c r="V212" s="34">
        <f>U212+V211</f>
        <v/>
      </c>
      <c r="W212" s="34">
        <f>V212+W211</f>
        <v/>
      </c>
      <c r="X212" s="34">
        <f>W212+X211</f>
        <v/>
      </c>
      <c r="Y212" s="34">
        <f>X212+Y211</f>
        <v/>
      </c>
      <c r="Z212" s="34">
        <f>Y212+Z211</f>
        <v/>
      </c>
    </row>
    <row r="214">
      <c r="B214" s="38" t="inlineStr">
        <is>
          <t>תרחיש C — רכישת מדחסי VSD | פחת מואץ (עם תמריץ)</t>
        </is>
      </c>
    </row>
    <row r="215">
      <c r="B215" s="23" t="inlineStr">
        <is>
          <t>* OPEX זהה לתרחיש B — ההבדל הוא מגן המס המואץ בלבד</t>
        </is>
      </c>
    </row>
    <row r="216">
      <c r="B216" s="6" t="inlineStr">
        <is>
          <t>תזרים נקי — תרחיש C</t>
        </is>
      </c>
      <c r="C216" s="9" t="inlineStr">
        <is>
          <t>₪</t>
        </is>
      </c>
      <c r="D216" s="9" t="inlineStr">
        <is>
          <t>חישוב</t>
        </is>
      </c>
      <c r="F216" s="35">
        <f>F207</f>
        <v/>
      </c>
      <c r="G216" s="35">
        <f>G208+G209+G194</f>
        <v/>
      </c>
      <c r="H216" s="35">
        <f>H208+H209+H194</f>
        <v/>
      </c>
      <c r="I216" s="35">
        <f>I208+I209+I194</f>
        <v/>
      </c>
      <c r="J216" s="35">
        <f>J208+J209+J194</f>
        <v/>
      </c>
      <c r="K216" s="35">
        <f>K208+K209+K194</f>
        <v/>
      </c>
      <c r="L216" s="35">
        <f>L208+L209+L194</f>
        <v/>
      </c>
      <c r="M216" s="35">
        <f>M208+M209+M194</f>
        <v/>
      </c>
      <c r="N216" s="35">
        <f>N208+N209+N194</f>
        <v/>
      </c>
      <c r="O216" s="35">
        <f>O208+O209+O194</f>
        <v/>
      </c>
      <c r="P216" s="35">
        <f>P208+P209+P194</f>
        <v/>
      </c>
      <c r="Q216" s="35">
        <f>Q208+Q209+Q194</f>
        <v/>
      </c>
      <c r="R216" s="35">
        <f>R208+R209+R194</f>
        <v/>
      </c>
      <c r="S216" s="35">
        <f>S208+S209+S194</f>
        <v/>
      </c>
      <c r="T216" s="35">
        <f>T208+T209+T194</f>
        <v/>
      </c>
      <c r="U216" s="35">
        <f>U208+U209+U194</f>
        <v/>
      </c>
      <c r="V216" s="35">
        <f>V208+V209+V194</f>
        <v/>
      </c>
      <c r="W216" s="35">
        <f>W208+W209+W194</f>
        <v/>
      </c>
      <c r="X216" s="35">
        <f>X208+X209+X194</f>
        <v/>
      </c>
      <c r="Y216" s="35">
        <f>Y208+Y209+Y194</f>
        <v/>
      </c>
      <c r="Z216" s="35">
        <f>Z208+Z209+Z194</f>
        <v/>
      </c>
    </row>
    <row r="217">
      <c r="B217" s="6" t="inlineStr">
        <is>
          <t>תזרים מהוון — תרחיש C</t>
        </is>
      </c>
      <c r="C217" s="9" t="inlineStr">
        <is>
          <t>₪</t>
        </is>
      </c>
      <c r="D217" s="9" t="inlineStr">
        <is>
          <t>חישוב</t>
        </is>
      </c>
      <c r="F217" s="35">
        <f>F216</f>
        <v/>
      </c>
      <c r="G217" s="35">
        <f>G216/(1+'נתונים והנחות'!$F$11)^1</f>
        <v/>
      </c>
      <c r="H217" s="35">
        <f>H216/(1+'נתונים והנחות'!$F$11)^2</f>
        <v/>
      </c>
      <c r="I217" s="35">
        <f>I216/(1+'נתונים והנחות'!$F$11)^3</f>
        <v/>
      </c>
      <c r="J217" s="35">
        <f>J216/(1+'נתונים והנחות'!$F$11)^4</f>
        <v/>
      </c>
      <c r="K217" s="35">
        <f>K216/(1+'נתונים והנחות'!$F$11)^5</f>
        <v/>
      </c>
      <c r="L217" s="35">
        <f>L216/(1+'נתונים והנחות'!$F$11)^6</f>
        <v/>
      </c>
      <c r="M217" s="35">
        <f>M216/(1+'נתונים והנחות'!$F$11)^7</f>
        <v/>
      </c>
      <c r="N217" s="35">
        <f>N216/(1+'נתונים והנחות'!$F$11)^8</f>
        <v/>
      </c>
      <c r="O217" s="35">
        <f>O216/(1+'נתונים והנחות'!$F$11)^9</f>
        <v/>
      </c>
      <c r="P217" s="35">
        <f>P216/(1+'נתונים והנחות'!$F$11)^10</f>
        <v/>
      </c>
      <c r="Q217" s="35">
        <f>Q216/(1+'נתונים והנחות'!$F$11)^11</f>
        <v/>
      </c>
      <c r="R217" s="35">
        <f>R216/(1+'נתונים והנחות'!$F$11)^12</f>
        <v/>
      </c>
      <c r="S217" s="35">
        <f>S216/(1+'נתונים והנחות'!$F$11)^13</f>
        <v/>
      </c>
      <c r="T217" s="35">
        <f>T216/(1+'נתונים והנחות'!$F$11)^14</f>
        <v/>
      </c>
      <c r="U217" s="35">
        <f>U216/(1+'נתונים והנחות'!$F$11)^15</f>
        <v/>
      </c>
      <c r="V217" s="35">
        <f>V216/(1+'נתונים והנחות'!$F$11)^16</f>
        <v/>
      </c>
      <c r="W217" s="35">
        <f>W216/(1+'נתונים והנחות'!$F$11)^17</f>
        <v/>
      </c>
      <c r="X217" s="35">
        <f>X216/(1+'נתונים והנחות'!$F$11)^18</f>
        <v/>
      </c>
      <c r="Y217" s="35">
        <f>Y216/(1+'נתונים והנחות'!$F$11)^19</f>
        <v/>
      </c>
      <c r="Z217" s="35">
        <f>Z216/(1+'נתונים והנחות'!$F$11)^20</f>
        <v/>
      </c>
    </row>
    <row r="218">
      <c r="B218" s="6" t="inlineStr">
        <is>
          <t>NPV מצטבר — תרחיש C</t>
        </is>
      </c>
      <c r="C218" s="9" t="inlineStr">
        <is>
          <t>₪</t>
        </is>
      </c>
      <c r="D218" s="9" t="inlineStr">
        <is>
          <t>חישוב</t>
        </is>
      </c>
      <c r="F218" s="35">
        <f>F217</f>
        <v/>
      </c>
      <c r="G218" s="35">
        <f>F218+G217</f>
        <v/>
      </c>
      <c r="H218" s="35">
        <f>G218+H217</f>
        <v/>
      </c>
      <c r="I218" s="35">
        <f>H218+I217</f>
        <v/>
      </c>
      <c r="J218" s="35">
        <f>I218+J217</f>
        <v/>
      </c>
      <c r="K218" s="35">
        <f>J218+K217</f>
        <v/>
      </c>
      <c r="L218" s="35">
        <f>K218+L217</f>
        <v/>
      </c>
      <c r="M218" s="35">
        <f>L218+M217</f>
        <v/>
      </c>
      <c r="N218" s="35">
        <f>M218+N217</f>
        <v/>
      </c>
      <c r="O218" s="35">
        <f>N218+O217</f>
        <v/>
      </c>
      <c r="P218" s="35">
        <f>O218+P217</f>
        <v/>
      </c>
      <c r="Q218" s="35">
        <f>P218+Q217</f>
        <v/>
      </c>
      <c r="R218" s="35">
        <f>Q218+R217</f>
        <v/>
      </c>
      <c r="S218" s="35">
        <f>R218+S217</f>
        <v/>
      </c>
      <c r="T218" s="35">
        <f>S218+T217</f>
        <v/>
      </c>
      <c r="U218" s="35">
        <f>T218+U217</f>
        <v/>
      </c>
      <c r="V218" s="35">
        <f>U218+V217</f>
        <v/>
      </c>
      <c r="W218" s="35">
        <f>V218+W217</f>
        <v/>
      </c>
      <c r="X218" s="35">
        <f>W218+X217</f>
        <v/>
      </c>
      <c r="Y218" s="35">
        <f>X218+Y217</f>
        <v/>
      </c>
      <c r="Z218" s="35">
        <f>Y218+Z217</f>
        <v/>
      </c>
    </row>
    <row r="220">
      <c r="B220" s="25" t="inlineStr">
        <is>
          <t>ד. תוצאות</t>
        </is>
      </c>
    </row>
    <row r="221">
      <c r="B221" s="39" t="inlineStr">
        <is>
          <t>NPV — תרחיש A (מדחס מהירות קבועה)</t>
        </is>
      </c>
      <c r="C221" s="9" t="inlineStr">
        <is>
          <t>ש"ח</t>
        </is>
      </c>
      <c r="F221" s="33">
        <f>SUM(F203:Z203)</f>
        <v/>
      </c>
    </row>
    <row r="222">
      <c r="B222" s="40" t="inlineStr">
        <is>
          <t>NPV — תרחיש B (מדחסי VSD, ללא תמריץ)</t>
        </is>
      </c>
      <c r="C222" s="9" t="inlineStr">
        <is>
          <t>ש"ח</t>
        </is>
      </c>
      <c r="F222" s="34">
        <f>SUM(F211:Z211)</f>
        <v/>
      </c>
    </row>
    <row r="223">
      <c r="B223" s="41" t="inlineStr">
        <is>
          <t>NPV — תרחיש C (מדחסי VSD, עם תמריץ)</t>
        </is>
      </c>
      <c r="C223" s="9" t="inlineStr">
        <is>
          <t>ש"ח</t>
        </is>
      </c>
      <c r="F223" s="35">
        <f>SUM(F217:Z217)</f>
        <v/>
      </c>
    </row>
    <row r="225">
      <c r="B225" s="42" t="inlineStr">
        <is>
          <t>NPV מצטבר — הצדקת השדרוג (B−A)</t>
        </is>
      </c>
      <c r="C225" s="9" t="inlineStr">
        <is>
          <t>ש"ח</t>
        </is>
      </c>
      <c r="F225" s="43">
        <f>F222-F221</f>
        <v/>
      </c>
    </row>
    <row r="226">
      <c r="B226" s="44" t="inlineStr">
        <is>
          <t>ערך התמריץ — תועלת הפחת המואץ (C−B)</t>
        </is>
      </c>
      <c r="C226" s="9" t="inlineStr">
        <is>
          <t>ש"ח</t>
        </is>
      </c>
      <c r="F226" s="45">
        <f>F223-F222</f>
        <v/>
      </c>
    </row>
    <row r="228">
      <c r="B228" s="39" t="inlineStr">
        <is>
          <t>ROI — תרחיש A</t>
        </is>
      </c>
      <c r="C228" s="9" t="inlineStr">
        <is>
          <t>%</t>
        </is>
      </c>
      <c r="F228" s="46">
        <f>IF(ISNUMBER($F$172),(SUM(F203:Z203)+$F$172)/$F$172,"PENDING")</f>
        <v/>
      </c>
    </row>
    <row r="229">
      <c r="B229" s="40" t="inlineStr">
        <is>
          <t>ROI — תרחיש B</t>
        </is>
      </c>
      <c r="C229" s="9" t="inlineStr">
        <is>
          <t>%</t>
        </is>
      </c>
      <c r="F229" s="47">
        <f>IF(ISNUMBER($F$173),(SUM(F211:Z211)+$F$173)/$F$173,"PENDING")</f>
        <v/>
      </c>
    </row>
    <row r="230">
      <c r="B230" s="41" t="inlineStr">
        <is>
          <t>ROI — תרחיש C</t>
        </is>
      </c>
      <c r="C230" s="9" t="inlineStr">
        <is>
          <t>%</t>
        </is>
      </c>
      <c r="F230" s="48">
        <f>IF(ISNUMBER($F$173),(SUM(F217:Z217)+$F$173)/$F$173,"PENDING")</f>
        <v/>
      </c>
    </row>
    <row r="232">
      <c r="B232" s="42" t="inlineStr">
        <is>
          <t>תקופת החזר ΔCapEx ללא תמריץ (B−A)</t>
        </is>
      </c>
      <c r="C232" s="9" t="inlineStr">
        <is>
          <t>שנים</t>
        </is>
      </c>
      <c r="E232" s="23" t="inlineStr">
        <is>
          <t>זמן להחזר ההשקעה הנוספת | מחושב על ΔCF = CF_B − CF_A</t>
        </is>
      </c>
      <c r="F232" s="49">
        <f>IFERROR(MATCH(1,(F238:Z238&gt;0)*1,0)-2+ABS(INDEX(F238:Z238,MATCH(1,(F238:Z238&gt;0)*1,0)-1))/(INDEX(F238:Z238,MATCH(1,(F238:Z238&gt;0)*1,0))-INDEX(F238:Z238,MATCH(1,(F238:Z238&gt;0)*1,0)-1)),"לא מגיע לפירעון")</f>
        <v/>
      </c>
    </row>
    <row r="233">
      <c r="B233" s="50" t="inlineStr">
        <is>
          <t>תקופת החזר ΔCapEx עם תמריץ (C−A)</t>
        </is>
      </c>
      <c r="C233" s="51" t="inlineStr">
        <is>
          <t>שנים</t>
        </is>
      </c>
      <c r="E233" s="23" t="inlineStr">
        <is>
          <t>כולל יתרון מגן המס המואץ | מחושב על ΔCF = CF_C − CF_A</t>
        </is>
      </c>
      <c r="F233" s="52">
        <f>IFERROR(MATCH(1,(F239:Z239&gt;0)*1,0)-2+ABS(INDEX(F239:Z239,MATCH(1,(F239:Z239&gt;0)*1,0)-1))/(INDEX(F239:Z239,MATCH(1,(F239:Z239&gt;0)*1,0))-INDEX(F239:Z239,MATCH(1,(F239:Z239&gt;0)*1,0)-1)),"לא מגיע לפירעון")</f>
        <v/>
      </c>
    </row>
    <row r="236">
      <c r="B236" s="25" t="inlineStr">
        <is>
          <t>NPV מצטבר — מנקודת מבט ΔCapEx (לחישוב תקופת החזר על השקעה נוספת)</t>
        </is>
      </c>
    </row>
    <row r="237">
      <c r="B237" s="32" t="inlineStr">
        <is>
          <t>פרמטר</t>
        </is>
      </c>
      <c r="C237" s="32" t="inlineStr">
        <is>
          <t>יחידות</t>
        </is>
      </c>
      <c r="D237" s="32" t="inlineStr">
        <is>
          <t>מקור</t>
        </is>
      </c>
      <c r="E237" s="32" t="inlineStr">
        <is>
          <t>הערות</t>
        </is>
      </c>
      <c r="F237" s="32" t="inlineStr">
        <is>
          <t>שנה 0</t>
        </is>
      </c>
      <c r="G237" s="32" t="inlineStr">
        <is>
          <t>שנה 1</t>
        </is>
      </c>
      <c r="H237" s="32" t="inlineStr">
        <is>
          <t>שנה 2</t>
        </is>
      </c>
      <c r="I237" s="32" t="inlineStr">
        <is>
          <t>שנה 3</t>
        </is>
      </c>
      <c r="J237" s="32" t="inlineStr">
        <is>
          <t>שנה 4</t>
        </is>
      </c>
      <c r="K237" s="32" t="inlineStr">
        <is>
          <t>שנה 5</t>
        </is>
      </c>
      <c r="L237" s="32" t="inlineStr">
        <is>
          <t>שנה 6</t>
        </is>
      </c>
      <c r="M237" s="32" t="inlineStr">
        <is>
          <t>שנה 7</t>
        </is>
      </c>
      <c r="N237" s="32" t="inlineStr">
        <is>
          <t>שנה 8</t>
        </is>
      </c>
      <c r="O237" s="32" t="inlineStr">
        <is>
          <t>שנה 9</t>
        </is>
      </c>
      <c r="P237" s="32" t="inlineStr">
        <is>
          <t>שנה 10</t>
        </is>
      </c>
      <c r="Q237" s="32" t="inlineStr">
        <is>
          <t>שנה 11</t>
        </is>
      </c>
      <c r="R237" s="32" t="inlineStr">
        <is>
          <t>שנה 12</t>
        </is>
      </c>
      <c r="S237" s="32" t="inlineStr">
        <is>
          <t>שנה 13</t>
        </is>
      </c>
      <c r="T237" s="32" t="inlineStr">
        <is>
          <t>שנה 14</t>
        </is>
      </c>
      <c r="U237" s="32" t="inlineStr">
        <is>
          <t>שנה 15</t>
        </is>
      </c>
      <c r="V237" s="32" t="inlineStr">
        <is>
          <t>שנה 16</t>
        </is>
      </c>
      <c r="W237" s="32" t="inlineStr">
        <is>
          <t>שנה 17</t>
        </is>
      </c>
      <c r="X237" s="32" t="inlineStr">
        <is>
          <t>שנה 18</t>
        </is>
      </c>
      <c r="Y237" s="32" t="inlineStr">
        <is>
          <t>שנה 19</t>
        </is>
      </c>
      <c r="Z237" s="32" t="inlineStr">
        <is>
          <t>שנה 20</t>
        </is>
      </c>
    </row>
    <row r="238">
      <c r="B238" s="2" t="inlineStr">
        <is>
          <t>NPV מצטבר ΔCF — שדרוג ללא תמריץ (B−A)</t>
        </is>
      </c>
      <c r="C238" s="9" t="inlineStr">
        <is>
          <t>₪</t>
        </is>
      </c>
      <c r="D238" s="9" t="inlineStr">
        <is>
          <t>חישוב</t>
        </is>
      </c>
      <c r="F238" s="43">
        <f>IF(ISNUMBER($F$174),-$F$174,"PENDING")</f>
        <v/>
      </c>
      <c r="G238" s="43">
        <f>F238+(G211-G203)</f>
        <v/>
      </c>
      <c r="H238" s="43">
        <f>G238+(H211-H203)</f>
        <v/>
      </c>
      <c r="I238" s="43">
        <f>H238+(I211-I203)</f>
        <v/>
      </c>
      <c r="J238" s="43">
        <f>I238+(J211-J203)</f>
        <v/>
      </c>
      <c r="K238" s="43">
        <f>J238+(K211-K203)</f>
        <v/>
      </c>
      <c r="L238" s="43">
        <f>K238+(L211-L203)</f>
        <v/>
      </c>
      <c r="M238" s="43">
        <f>L238+(M211-M203)</f>
        <v/>
      </c>
      <c r="N238" s="43">
        <f>M238+(N211-N203)</f>
        <v/>
      </c>
      <c r="O238" s="43">
        <f>N238+(O211-O203)</f>
        <v/>
      </c>
      <c r="P238" s="43">
        <f>O238+(P211-P203)</f>
        <v/>
      </c>
      <c r="Q238" s="43">
        <f>P238+(Q211-Q203)</f>
        <v/>
      </c>
      <c r="R238" s="43">
        <f>Q238+(R211-R203)</f>
        <v/>
      </c>
      <c r="S238" s="43">
        <f>R238+(S211-S203)</f>
        <v/>
      </c>
      <c r="T238" s="43">
        <f>S238+(T211-T203)</f>
        <v/>
      </c>
      <c r="U238" s="43">
        <f>T238+(U211-U203)</f>
        <v/>
      </c>
      <c r="V238" s="43">
        <f>U238+(V211-V203)</f>
        <v/>
      </c>
      <c r="W238" s="43">
        <f>V238+(W211-W203)</f>
        <v/>
      </c>
      <c r="X238" s="43">
        <f>W238+(X211-X203)</f>
        <v/>
      </c>
      <c r="Y238" s="43">
        <f>X238+(Y211-Y203)</f>
        <v/>
      </c>
      <c r="Z238" s="43">
        <f>Y238+(Z211-Z203)</f>
        <v/>
      </c>
    </row>
    <row r="239">
      <c r="B239" s="7" t="inlineStr">
        <is>
          <t>NPV מצטבר ΔCF — שדרוג עם תמריץ (C−A)</t>
        </is>
      </c>
      <c r="C239" s="9" t="inlineStr">
        <is>
          <t>₪</t>
        </is>
      </c>
      <c r="D239" s="9" t="inlineStr">
        <is>
          <t>חישוב</t>
        </is>
      </c>
      <c r="F239" s="45">
        <f>IF(ISNUMBER($F$174),-$F$174,"PENDING")</f>
        <v/>
      </c>
      <c r="G239" s="45">
        <f>F239+(G217-G203)</f>
        <v/>
      </c>
      <c r="H239" s="45">
        <f>G239+(H217-H203)</f>
        <v/>
      </c>
      <c r="I239" s="45">
        <f>H239+(I217-I203)</f>
        <v/>
      </c>
      <c r="J239" s="45">
        <f>I239+(J217-J203)</f>
        <v/>
      </c>
      <c r="K239" s="45">
        <f>J239+(K217-K203)</f>
        <v/>
      </c>
      <c r="L239" s="45">
        <f>K239+(L217-L203)</f>
        <v/>
      </c>
      <c r="M239" s="45">
        <f>L239+(M217-M203)</f>
        <v/>
      </c>
      <c r="N239" s="45">
        <f>M239+(N217-N203)</f>
        <v/>
      </c>
      <c r="O239" s="45">
        <f>N239+(O217-O203)</f>
        <v/>
      </c>
      <c r="P239" s="45">
        <f>O239+(P217-P203)</f>
        <v/>
      </c>
      <c r="Q239" s="45">
        <f>P239+(Q217-Q203)</f>
        <v/>
      </c>
      <c r="R239" s="45">
        <f>Q239+(R217-R203)</f>
        <v/>
      </c>
      <c r="S239" s="45">
        <f>R239+(S217-S203)</f>
        <v/>
      </c>
      <c r="T239" s="45">
        <f>S239+(T217-T203)</f>
        <v/>
      </c>
      <c r="U239" s="45">
        <f>T239+(U217-U203)</f>
        <v/>
      </c>
      <c r="V239" s="45">
        <f>U239+(V217-V203)</f>
        <v/>
      </c>
      <c r="W239" s="45">
        <f>V239+(W217-W203)</f>
        <v/>
      </c>
      <c r="X239" s="45">
        <f>W239+(X217-X203)</f>
        <v/>
      </c>
      <c r="Y239" s="45">
        <f>X239+(Y217-Y203)</f>
        <v/>
      </c>
      <c r="Z239" s="45">
        <f>Y239+(Z217-Z203)</f>
        <v/>
      </c>
    </row>
    <row r="243">
      <c r="B243" s="24" t="inlineStr">
        <is>
          <t>3.4  מערכות קיטור חשמליות</t>
        </is>
      </c>
    </row>
    <row r="244">
      <c r="B244" s="23" t="inlineStr">
        <is>
          <t>* החלפת קיטור מבוסס דלק בקיטור חשמלי | חיסכון ~50% | אורך חיים: 10 vs 15 שנה</t>
        </is>
      </c>
    </row>
    <row r="245">
      <c r="B245" s="25" t="inlineStr">
        <is>
          <t>א. נתוני השקעה וציוד</t>
        </is>
      </c>
    </row>
    <row r="246">
      <c r="B246" s="18" t="inlineStr">
        <is>
          <t>CapEx — קיטור מבוסס דלק / גז</t>
        </is>
      </c>
      <c r="C246" s="9" t="inlineStr">
        <is>
          <t>₪</t>
        </is>
      </c>
      <c r="D246" s="9" t="inlineStr">
        <is>
          <t>נתוני רפי</t>
        </is>
      </c>
      <c r="E246" s="26" t="inlineStr">
        <is>
          <t>⚠ ממתין</t>
        </is>
      </c>
      <c r="F246" s="27" t="inlineStr">
        <is>
          <t>PENDING</t>
        </is>
      </c>
    </row>
    <row r="247">
      <c r="B247" s="18" t="inlineStr">
        <is>
          <t>CapEx — מערכות קיטור חשמליות</t>
        </is>
      </c>
      <c r="C247" s="9" t="inlineStr">
        <is>
          <t>₪</t>
        </is>
      </c>
      <c r="D247" s="9" t="inlineStr">
        <is>
          <t>נתוני רפי</t>
        </is>
      </c>
      <c r="E247" s="26" t="inlineStr">
        <is>
          <t>⚠ ממתין</t>
        </is>
      </c>
      <c r="F247" s="27" t="inlineStr">
        <is>
          <t>PENDING</t>
        </is>
      </c>
    </row>
    <row r="248">
      <c r="B248" s="18" t="inlineStr">
        <is>
          <t>ΔCapEx — השקעה נוספת</t>
        </is>
      </c>
      <c r="C248" s="9" t="inlineStr">
        <is>
          <t>₪</t>
        </is>
      </c>
      <c r="D248" s="9" t="inlineStr">
        <is>
          <t>חישוב</t>
        </is>
      </c>
      <c r="E248" s="9">
        <f> CapEx יעיל − CapEx בסיסי</f>
        <v/>
      </c>
      <c r="F248" s="28">
        <f>IF(ISNUMBER($F$247)*ISNUMBER($F$246),$F$247-$F$246,"PENDING")</f>
        <v/>
      </c>
    </row>
    <row r="249">
      <c r="B249" s="18" t="inlineStr">
        <is>
          <t>אורך חיי ציוד — קיטור מבוסס דלק / גז</t>
        </is>
      </c>
      <c r="C249" s="9" t="inlineStr">
        <is>
          <t>שנים</t>
        </is>
      </c>
      <c r="D249" s="9" t="inlineStr">
        <is>
          <t>ממצאי הנדסה</t>
        </is>
      </c>
      <c r="E249" s="9" t="inlineStr">
        <is>
          <t>ברירת מחדל: 15 שנה — לאשר מול רפי</t>
        </is>
      </c>
      <c r="F249" s="29" t="n">
        <v>15</v>
      </c>
    </row>
    <row r="250">
      <c r="B250" s="18" t="inlineStr">
        <is>
          <t>אורך חיי ציוד — מערכות קיטור חשמליות</t>
        </is>
      </c>
      <c r="C250" s="9" t="inlineStr">
        <is>
          <t>שנים</t>
        </is>
      </c>
      <c r="D250" s="9" t="inlineStr">
        <is>
          <t>ממצאי הנדסה</t>
        </is>
      </c>
      <c r="E250" s="9" t="inlineStr">
        <is>
          <t>ברירת מחדל: 10 שנה — לאשר מול רפי</t>
        </is>
      </c>
      <c r="F250" s="29" t="n">
        <v>10</v>
      </c>
    </row>
    <row r="251">
      <c r="B251" s="18" t="inlineStr">
        <is>
          <t>צריכת אנרגיה שנתית (ציוד בסיסי)</t>
        </is>
      </c>
      <c r="C251" s="9" t="inlineStr">
        <is>
          <t>קוט"ש/שנה</t>
        </is>
      </c>
      <c r="D251" s="9" t="inlineStr">
        <is>
          <t>נתוני רפי</t>
        </is>
      </c>
      <c r="E251" s="26" t="inlineStr">
        <is>
          <t>⚠ ממתין</t>
        </is>
      </c>
      <c r="F251" s="27" t="inlineStr">
        <is>
          <t>PENDING</t>
        </is>
      </c>
    </row>
    <row r="252">
      <c r="B252" s="18" t="inlineStr">
        <is>
          <t>חיסכון אנרגטי</t>
        </is>
      </c>
      <c r="C252" s="9" t="inlineStr">
        <is>
          <t>% מצריכה בסיסית</t>
        </is>
      </c>
      <c r="D252" s="9" t="inlineStr">
        <is>
          <t>ממצאי הנדסה</t>
        </is>
      </c>
      <c r="E252" s="9" t="inlineStr"/>
      <c r="F252" s="10" t="n">
        <v>0.5</v>
      </c>
    </row>
    <row r="253">
      <c r="B253" s="18" t="inlineStr">
        <is>
          <t>צריכת אנרגיה שנתית (ציוד יעיל)</t>
        </is>
      </c>
      <c r="C253" s="9" t="inlineStr">
        <is>
          <t>קוט"ש/שנה</t>
        </is>
      </c>
      <c r="D253" s="9" t="inlineStr">
        <is>
          <t>חישוב</t>
        </is>
      </c>
      <c r="E253" s="9">
        <f> צריכה בסיסית × (1 − חיסכון)</f>
        <v/>
      </c>
      <c r="F253" s="30">
        <f>IF(ISNUMBER($F$251),$F$251*(1-$F$252),"PENDING")</f>
        <v/>
      </c>
    </row>
    <row r="254">
      <c r="B254" s="18" t="inlineStr">
        <is>
          <t>גורם שחיקת ביצועים</t>
        </is>
      </c>
      <c r="C254" s="9" t="inlineStr">
        <is>
          <t>% לשנה</t>
        </is>
      </c>
      <c r="D254" s="9" t="inlineStr">
        <is>
          <t>הנחת עבודה</t>
        </is>
      </c>
      <c r="E254" s="9" t="inlineStr">
        <is>
          <t>ירידה שנתית בחיסכון האנרגטי | 0.5%-1.0%/שנה — לאשר מול רפי</t>
        </is>
      </c>
      <c r="F254" s="11" t="n">
        <v>0.005</v>
      </c>
    </row>
    <row r="255">
      <c r="B255" s="18" t="inlineStr">
        <is>
          <t>מחיר חשמל</t>
        </is>
      </c>
      <c r="C255" s="9" t="inlineStr">
        <is>
          <t>₪/קוט"ש</t>
        </is>
      </c>
      <c r="D255" s="9" t="inlineStr">
        <is>
          <t>גיליון הנחות</t>
        </is>
      </c>
      <c r="F255" s="31">
        <f>'נתונים והנחות'!$F$12/100</f>
        <v/>
      </c>
    </row>
    <row r="256">
      <c r="B256" s="18" t="inlineStr">
        <is>
          <t>OPEX אנרגיה — בסיסי (שנה 1)</t>
        </is>
      </c>
      <c r="C256" s="9" t="inlineStr">
        <is>
          <t>₪/שנה</t>
        </is>
      </c>
      <c r="D256" s="9" t="inlineStr">
        <is>
          <t>חישוב</t>
        </is>
      </c>
      <c r="E256" s="9">
        <f> kWh בסיסי × מחיר חשמל</f>
        <v/>
      </c>
      <c r="F256" s="28">
        <f>IF(ISNUMBER($F$251),$F$251*$F$255,"PENDING")</f>
        <v/>
      </c>
    </row>
    <row r="257">
      <c r="B257" s="18" t="inlineStr">
        <is>
          <t>OPEX אנרגיה — יעיל (שנה 1)</t>
        </is>
      </c>
      <c r="C257" s="9" t="inlineStr">
        <is>
          <t>₪/שנה</t>
        </is>
      </c>
      <c r="D257" s="9" t="inlineStr">
        <is>
          <t>חישוב</t>
        </is>
      </c>
      <c r="E257" s="9">
        <f> kWh יעיל × מחיר חשמל</f>
        <v/>
      </c>
      <c r="F257" s="28">
        <f>IF(ISNUMBER($F$253),$F$253*$F$255,"PENDING")</f>
        <v/>
      </c>
    </row>
    <row r="258">
      <c r="B258" s="18" t="inlineStr">
        <is>
          <t>OPEX אחר — בסיסי (תחזוקה, חלקים וכו')</t>
        </is>
      </c>
      <c r="C258" s="9" t="inlineStr">
        <is>
          <t>₪/שנה</t>
        </is>
      </c>
      <c r="D258" s="9" t="inlineStr">
        <is>
          <t>נתוני רפי</t>
        </is>
      </c>
      <c r="E258" s="26" t="inlineStr">
        <is>
          <t>⚠ ממתין — תחזוקה, חלפים, ביטוח</t>
        </is>
      </c>
      <c r="F258" s="27" t="inlineStr">
        <is>
          <t>PENDING</t>
        </is>
      </c>
    </row>
    <row r="259">
      <c r="B259" s="18" t="inlineStr">
        <is>
          <t>OPEX אחר — יעיל (תחזוקה, חלקים וכו')</t>
        </is>
      </c>
      <c r="C259" s="9" t="inlineStr">
        <is>
          <t>₪/שנה</t>
        </is>
      </c>
      <c r="D259" s="9" t="inlineStr">
        <is>
          <t>נתוני רפי</t>
        </is>
      </c>
      <c r="E259" s="26" t="inlineStr">
        <is>
          <t>⚠ ממתין — תחזוקה, חלפים, ביטוח</t>
        </is>
      </c>
      <c r="F259" s="27" t="inlineStr">
        <is>
          <t>PENDING</t>
        </is>
      </c>
    </row>
    <row r="261">
      <c r="B261" s="25" t="inlineStr">
        <is>
          <t>ב. לוחות פחת (ציוד בסיסי vs. יעיל)</t>
        </is>
      </c>
    </row>
    <row r="262">
      <c r="B262" s="32" t="inlineStr">
        <is>
          <t>פרמטר</t>
        </is>
      </c>
      <c r="C262" s="32" t="inlineStr">
        <is>
          <t>יחידות</t>
        </is>
      </c>
      <c r="D262" s="32" t="inlineStr">
        <is>
          <t>מקור</t>
        </is>
      </c>
      <c r="E262" s="32" t="inlineStr">
        <is>
          <t>הערות</t>
        </is>
      </c>
      <c r="F262" s="32" t="inlineStr">
        <is>
          <t>שנה 0 (השקעה)</t>
        </is>
      </c>
      <c r="G262" s="32" t="inlineStr">
        <is>
          <t>שנה 1</t>
        </is>
      </c>
      <c r="H262" s="32" t="inlineStr">
        <is>
          <t>שנה 2</t>
        </is>
      </c>
      <c r="I262" s="32" t="inlineStr">
        <is>
          <t>שנה 3</t>
        </is>
      </c>
      <c r="J262" s="32" t="inlineStr">
        <is>
          <t>שנה 4</t>
        </is>
      </c>
      <c r="K262" s="32" t="inlineStr">
        <is>
          <t>שנה 5</t>
        </is>
      </c>
      <c r="L262" s="32" t="inlineStr">
        <is>
          <t>שנה 6</t>
        </is>
      </c>
      <c r="M262" s="32" t="inlineStr">
        <is>
          <t>שנה 7</t>
        </is>
      </c>
      <c r="N262" s="32" t="inlineStr">
        <is>
          <t>שנה 8</t>
        </is>
      </c>
      <c r="O262" s="32" t="inlineStr">
        <is>
          <t>שנה 9</t>
        </is>
      </c>
      <c r="P262" s="32" t="inlineStr">
        <is>
          <t>שנה 10</t>
        </is>
      </c>
      <c r="Q262" s="32" t="inlineStr">
        <is>
          <t>שנה 11</t>
        </is>
      </c>
      <c r="R262" s="32" t="inlineStr">
        <is>
          <t>שנה 12</t>
        </is>
      </c>
      <c r="S262" s="32" t="inlineStr">
        <is>
          <t>שנה 13</t>
        </is>
      </c>
      <c r="T262" s="32" t="inlineStr">
        <is>
          <t>שנה 14</t>
        </is>
      </c>
      <c r="U262" s="32" t="inlineStr">
        <is>
          <t>שנה 15</t>
        </is>
      </c>
      <c r="V262" s="32" t="inlineStr">
        <is>
          <t>שנה 16</t>
        </is>
      </c>
      <c r="W262" s="32" t="inlineStr">
        <is>
          <t>שנה 17</t>
        </is>
      </c>
      <c r="X262" s="32" t="inlineStr">
        <is>
          <t>שנה 18</t>
        </is>
      </c>
      <c r="Y262" s="32" t="inlineStr">
        <is>
          <t>שנה 19</t>
        </is>
      </c>
      <c r="Z262" s="32" t="inlineStr">
        <is>
          <t>שנה 20</t>
        </is>
      </c>
    </row>
    <row r="263">
      <c r="B263" s="4" t="inlineStr">
        <is>
          <t>פחת סטנדרטי — קיטור מבוסס דלק / גז</t>
        </is>
      </c>
      <c r="C263" s="9" t="inlineStr">
        <is>
          <t>₪</t>
        </is>
      </c>
      <c r="D263" s="9" t="inlineStr">
        <is>
          <t>חישוב</t>
        </is>
      </c>
      <c r="E263" s="9" t="inlineStr">
        <is>
          <t>קו ישר | 10%/שנה | עד 10 שנים | CapEx בסיסי</t>
        </is>
      </c>
      <c r="F263" s="33" t="n">
        <v>0</v>
      </c>
      <c r="G263" s="33">
        <f>IF(ISNUMBER($F$246),$F$246*0.1,0)</f>
        <v/>
      </c>
      <c r="H263" s="33">
        <f>IF(ISNUMBER($F$246),$F$246*0.1,0)</f>
        <v/>
      </c>
      <c r="I263" s="33">
        <f>IF(ISNUMBER($F$246),$F$246*0.1,0)</f>
        <v/>
      </c>
      <c r="J263" s="33">
        <f>IF(ISNUMBER($F$246),$F$246*0.1,0)</f>
        <v/>
      </c>
      <c r="K263" s="33">
        <f>IF(ISNUMBER($F$246),$F$246*0.1,0)</f>
        <v/>
      </c>
      <c r="L263" s="33">
        <f>IF(ISNUMBER($F$246),$F$246*0.1,0)</f>
        <v/>
      </c>
      <c r="M263" s="33">
        <f>IF(ISNUMBER($F$246),$F$246*0.1,0)</f>
        <v/>
      </c>
      <c r="N263" s="33">
        <f>IF(ISNUMBER($F$246),$F$246*0.1,0)</f>
        <v/>
      </c>
      <c r="O263" s="33">
        <f>IF(ISNUMBER($F$246),$F$246*0.1,0)</f>
        <v/>
      </c>
      <c r="P263" s="33">
        <f>IF(ISNUMBER($F$246),$F$246*0.1,0)</f>
        <v/>
      </c>
      <c r="Q263" s="33">
        <f>0</f>
        <v/>
      </c>
      <c r="R263" s="33">
        <f>0</f>
        <v/>
      </c>
      <c r="S263" s="33">
        <f>0</f>
        <v/>
      </c>
      <c r="T263" s="33">
        <f>0</f>
        <v/>
      </c>
      <c r="U263" s="33">
        <f>0</f>
        <v/>
      </c>
      <c r="V263" s="33">
        <f>0</f>
        <v/>
      </c>
      <c r="W263" s="33">
        <f>0</f>
        <v/>
      </c>
      <c r="X263" s="33">
        <f>0</f>
        <v/>
      </c>
      <c r="Y263" s="33">
        <f>0</f>
        <v/>
      </c>
      <c r="Z263" s="33">
        <f>0</f>
        <v/>
      </c>
    </row>
    <row r="264">
      <c r="B264" s="4" t="inlineStr">
        <is>
          <t>מגן מס — קיטור מבוסס דלק / גז</t>
        </is>
      </c>
      <c r="C264" s="9" t="inlineStr">
        <is>
          <t>₪</t>
        </is>
      </c>
      <c r="D264" s="9" t="inlineStr">
        <is>
          <t>חישוב</t>
        </is>
      </c>
      <c r="E264" s="9">
        <f> פחת × שיעור מס</f>
        <v/>
      </c>
      <c r="F264" s="33" t="n">
        <v>0</v>
      </c>
      <c r="G264" s="33">
        <f>G263*'נתונים והנחות'!$F$10</f>
        <v/>
      </c>
      <c r="H264" s="33">
        <f>H263*'נתונים והנחות'!$F$10</f>
        <v/>
      </c>
      <c r="I264" s="33">
        <f>I263*'נתונים והנחות'!$F$10</f>
        <v/>
      </c>
      <c r="J264" s="33">
        <f>J263*'נתונים והנחות'!$F$10</f>
        <v/>
      </c>
      <c r="K264" s="33">
        <f>K263*'נתונים והנחות'!$F$10</f>
        <v/>
      </c>
      <c r="L264" s="33">
        <f>L263*'נתונים והנחות'!$F$10</f>
        <v/>
      </c>
      <c r="M264" s="33">
        <f>M263*'נתונים והנחות'!$F$10</f>
        <v/>
      </c>
      <c r="N264" s="33">
        <f>N263*'נתונים והנחות'!$F$10</f>
        <v/>
      </c>
      <c r="O264" s="33">
        <f>O263*'נתונים והנחות'!$F$10</f>
        <v/>
      </c>
      <c r="P264" s="33">
        <f>P263*'נתונים והנחות'!$F$10</f>
        <v/>
      </c>
      <c r="Q264" s="33">
        <f>Q263*'נתונים והנחות'!$F$10</f>
        <v/>
      </c>
      <c r="R264" s="33">
        <f>R263*'נתונים והנחות'!$F$10</f>
        <v/>
      </c>
      <c r="S264" s="33">
        <f>S263*'נתונים והנחות'!$F$10</f>
        <v/>
      </c>
      <c r="T264" s="33">
        <f>T263*'נתונים והנחות'!$F$10</f>
        <v/>
      </c>
      <c r="U264" s="33">
        <f>U263*'נתונים והנחות'!$F$10</f>
        <v/>
      </c>
      <c r="V264" s="33">
        <f>V263*'נתונים והנחות'!$F$10</f>
        <v/>
      </c>
      <c r="W264" s="33">
        <f>W263*'נתונים והנחות'!$F$10</f>
        <v/>
      </c>
      <c r="X264" s="33">
        <f>X263*'נתונים והנחות'!$F$10</f>
        <v/>
      </c>
      <c r="Y264" s="33">
        <f>Y263*'נתונים והנחות'!$F$10</f>
        <v/>
      </c>
      <c r="Z264" s="33">
        <f>Z263*'נתונים והנחות'!$F$10</f>
        <v/>
      </c>
    </row>
    <row r="265">
      <c r="B265" s="5" t="inlineStr">
        <is>
          <t>פחת סטנדרטי — מערכות קיטור חשמליות</t>
        </is>
      </c>
      <c r="C265" s="9" t="inlineStr">
        <is>
          <t>₪</t>
        </is>
      </c>
      <c r="D265" s="9" t="inlineStr">
        <is>
          <t>חישוב</t>
        </is>
      </c>
      <c r="E265" s="9" t="inlineStr">
        <is>
          <t>קו ישר | 10%/שנה | עד 10 שנים | CapEx יעיל</t>
        </is>
      </c>
      <c r="F265" s="34" t="n">
        <v>0</v>
      </c>
      <c r="G265" s="34">
        <f>IF(ISNUMBER($F$247),$F$247*0.1,0)</f>
        <v/>
      </c>
      <c r="H265" s="34">
        <f>IF(ISNUMBER($F$247),$F$247*0.1,0)</f>
        <v/>
      </c>
      <c r="I265" s="34">
        <f>IF(ISNUMBER($F$247),$F$247*0.1,0)</f>
        <v/>
      </c>
      <c r="J265" s="34">
        <f>IF(ISNUMBER($F$247),$F$247*0.1,0)</f>
        <v/>
      </c>
      <c r="K265" s="34">
        <f>IF(ISNUMBER($F$247),$F$247*0.1,0)</f>
        <v/>
      </c>
      <c r="L265" s="34">
        <f>IF(ISNUMBER($F$247),$F$247*0.1,0)</f>
        <v/>
      </c>
      <c r="M265" s="34">
        <f>IF(ISNUMBER($F$247),$F$247*0.1,0)</f>
        <v/>
      </c>
      <c r="N265" s="34">
        <f>IF(ISNUMBER($F$247),$F$247*0.1,0)</f>
        <v/>
      </c>
      <c r="O265" s="34">
        <f>IF(ISNUMBER($F$247),$F$247*0.1,0)</f>
        <v/>
      </c>
      <c r="P265" s="34">
        <f>IF(ISNUMBER($F$247),$F$247*0.1,0)</f>
        <v/>
      </c>
      <c r="Q265" s="34">
        <f>0</f>
        <v/>
      </c>
      <c r="R265" s="34">
        <f>0</f>
        <v/>
      </c>
      <c r="S265" s="34">
        <f>0</f>
        <v/>
      </c>
      <c r="T265" s="34">
        <f>0</f>
        <v/>
      </c>
      <c r="U265" s="34">
        <f>0</f>
        <v/>
      </c>
      <c r="V265" s="34">
        <f>0</f>
        <v/>
      </c>
      <c r="W265" s="34">
        <f>0</f>
        <v/>
      </c>
      <c r="X265" s="34">
        <f>0</f>
        <v/>
      </c>
      <c r="Y265" s="34">
        <f>0</f>
        <v/>
      </c>
      <c r="Z265" s="34">
        <f>0</f>
        <v/>
      </c>
    </row>
    <row r="266">
      <c r="B266" s="5" t="inlineStr">
        <is>
          <t>מגן מס סטנדרטי — מערכות קיטור חשמליות</t>
        </is>
      </c>
      <c r="C266" s="9" t="inlineStr">
        <is>
          <t>₪</t>
        </is>
      </c>
      <c r="D266" s="9" t="inlineStr">
        <is>
          <t>חישוב</t>
        </is>
      </c>
      <c r="E266" s="9">
        <f> פחת × שיעור מס</f>
        <v/>
      </c>
      <c r="F266" s="34" t="n">
        <v>0</v>
      </c>
      <c r="G266" s="34">
        <f>G265*'נתונים והנחות'!$F$10</f>
        <v/>
      </c>
      <c r="H266" s="34">
        <f>H265*'נתונים והנחות'!$F$10</f>
        <v/>
      </c>
      <c r="I266" s="34">
        <f>I265*'נתונים והנחות'!$F$10</f>
        <v/>
      </c>
      <c r="J266" s="34">
        <f>J265*'נתונים והנחות'!$F$10</f>
        <v/>
      </c>
      <c r="K266" s="34">
        <f>K265*'נתונים והנחות'!$F$10</f>
        <v/>
      </c>
      <c r="L266" s="34">
        <f>L265*'נתונים והנחות'!$F$10</f>
        <v/>
      </c>
      <c r="M266" s="34">
        <f>M265*'נתונים והנחות'!$F$10</f>
        <v/>
      </c>
      <c r="N266" s="34">
        <f>N265*'נתונים והנחות'!$F$10</f>
        <v/>
      </c>
      <c r="O266" s="34">
        <f>O265*'נתונים והנחות'!$F$10</f>
        <v/>
      </c>
      <c r="P266" s="34">
        <f>P265*'נתונים והנחות'!$F$10</f>
        <v/>
      </c>
      <c r="Q266" s="34">
        <f>Q265*'נתונים והנחות'!$F$10</f>
        <v/>
      </c>
      <c r="R266" s="34">
        <f>R265*'נתונים והנחות'!$F$10</f>
        <v/>
      </c>
      <c r="S266" s="34">
        <f>S265*'נתונים והנחות'!$F$10</f>
        <v/>
      </c>
      <c r="T266" s="34">
        <f>T265*'נתונים והנחות'!$F$10</f>
        <v/>
      </c>
      <c r="U266" s="34">
        <f>U265*'נתונים והנחות'!$F$10</f>
        <v/>
      </c>
      <c r="V266" s="34">
        <f>V265*'נתונים והנחות'!$F$10</f>
        <v/>
      </c>
      <c r="W266" s="34">
        <f>W265*'נתונים והנחות'!$F$10</f>
        <v/>
      </c>
      <c r="X266" s="34">
        <f>X265*'נתונים והנחות'!$F$10</f>
        <v/>
      </c>
      <c r="Y266" s="34">
        <f>Y265*'נתונים והנחות'!$F$10</f>
        <v/>
      </c>
      <c r="Z266" s="34">
        <f>Z265*'נתונים והנחות'!$F$10</f>
        <v/>
      </c>
    </row>
    <row r="267">
      <c r="B267" s="6" t="inlineStr">
        <is>
          <t>פחת מואץ — מערכות קיטור חשמליות</t>
        </is>
      </c>
      <c r="C267" s="9" t="inlineStr">
        <is>
          <t>₪</t>
        </is>
      </c>
      <c r="D267" s="9" t="inlineStr">
        <is>
          <t>חישוב</t>
        </is>
      </c>
      <c r="E267" s="9">
        <f> CapEx יעיל × (פחת סטנדרטי × מכפיל) | תקופה = 1 ÷ שיעור מואץ</f>
        <v/>
      </c>
      <c r="F267" s="35" t="n">
        <v>0</v>
      </c>
      <c r="G267" s="35">
        <f>IF(ISNUMBER($F$247),IF(1&lt;=ROUND(1/(0.1*'נתונים והנחות'!$F$15),0),$F$247*0.1*'נתונים והנחות'!$F$15,0),0)</f>
        <v/>
      </c>
      <c r="H267" s="35">
        <f>IF(ISNUMBER($F$247),IF(2&lt;=ROUND(1/(0.1*'נתונים והנחות'!$F$15),0),$F$247*0.1*'נתונים והנחות'!$F$15,0),0)</f>
        <v/>
      </c>
      <c r="I267" s="35">
        <f>IF(ISNUMBER($F$247),IF(3&lt;=ROUND(1/(0.1*'נתונים והנחות'!$F$15),0),$F$247*0.1*'נתונים והנחות'!$F$15,0),0)</f>
        <v/>
      </c>
      <c r="J267" s="35">
        <f>IF(ISNUMBER($F$247),IF(4&lt;=ROUND(1/(0.1*'נתונים והנחות'!$F$15),0),$F$247*0.1*'נתונים והנחות'!$F$15,0),0)</f>
        <v/>
      </c>
      <c r="K267" s="35">
        <f>IF(ISNUMBER($F$247),IF(5&lt;=ROUND(1/(0.1*'נתונים והנחות'!$F$15),0),$F$247*0.1*'נתונים והנחות'!$F$15,0),0)</f>
        <v/>
      </c>
      <c r="L267" s="35">
        <f>IF(ISNUMBER($F$247),IF(6&lt;=ROUND(1/(0.1*'נתונים והנחות'!$F$15),0),$F$247*0.1*'נתונים והנחות'!$F$15,0),0)</f>
        <v/>
      </c>
      <c r="M267" s="35">
        <f>IF(ISNUMBER($F$247),IF(7&lt;=ROUND(1/(0.1*'נתונים והנחות'!$F$15),0),$F$247*0.1*'נתונים והנחות'!$F$15,0),0)</f>
        <v/>
      </c>
      <c r="N267" s="35">
        <f>IF(ISNUMBER($F$247),IF(8&lt;=ROUND(1/(0.1*'נתונים והנחות'!$F$15),0),$F$247*0.1*'נתונים והנחות'!$F$15,0),0)</f>
        <v/>
      </c>
      <c r="O267" s="35">
        <f>IF(ISNUMBER($F$247),IF(9&lt;=ROUND(1/(0.1*'נתונים והנחות'!$F$15),0),$F$247*0.1*'נתונים והנחות'!$F$15,0),0)</f>
        <v/>
      </c>
      <c r="P267" s="35">
        <f>IF(ISNUMBER($F$247),IF(10&lt;=ROUND(1/(0.1*'נתונים והנחות'!$F$15),0),$F$247*0.1*'נתונים והנחות'!$F$15,0),0)</f>
        <v/>
      </c>
      <c r="Q267" s="35">
        <f>IF(ISNUMBER($F$247),IF(11&lt;=ROUND(1/(0.1*'נתונים והנחות'!$F$15),0),$F$247*0.1*'נתונים והנחות'!$F$15,0),0)</f>
        <v/>
      </c>
      <c r="R267" s="35">
        <f>IF(ISNUMBER($F$247),IF(12&lt;=ROUND(1/(0.1*'נתונים והנחות'!$F$15),0),$F$247*0.1*'נתונים והנחות'!$F$15,0),0)</f>
        <v/>
      </c>
      <c r="S267" s="35">
        <f>IF(ISNUMBER($F$247),IF(13&lt;=ROUND(1/(0.1*'נתונים והנחות'!$F$15),0),$F$247*0.1*'נתונים והנחות'!$F$15,0),0)</f>
        <v/>
      </c>
      <c r="T267" s="35">
        <f>IF(ISNUMBER($F$247),IF(14&lt;=ROUND(1/(0.1*'נתונים והנחות'!$F$15),0),$F$247*0.1*'נתונים והנחות'!$F$15,0),0)</f>
        <v/>
      </c>
      <c r="U267" s="35">
        <f>IF(ISNUMBER($F$247),IF(15&lt;=ROUND(1/(0.1*'נתונים והנחות'!$F$15),0),$F$247*0.1*'נתונים והנחות'!$F$15,0),0)</f>
        <v/>
      </c>
      <c r="V267" s="35">
        <f>IF(ISNUMBER($F$247),IF(16&lt;=ROUND(1/(0.1*'נתונים והנחות'!$F$15),0),$F$247*0.1*'נתונים והנחות'!$F$15,0),0)</f>
        <v/>
      </c>
      <c r="W267" s="35">
        <f>IF(ISNUMBER($F$247),IF(17&lt;=ROUND(1/(0.1*'נתונים והנחות'!$F$15),0),$F$247*0.1*'נתונים והנחות'!$F$15,0),0)</f>
        <v/>
      </c>
      <c r="X267" s="35">
        <f>IF(ISNUMBER($F$247),IF(18&lt;=ROUND(1/(0.1*'נתונים והנחות'!$F$15),0),$F$247*0.1*'נתונים והנחות'!$F$15,0),0)</f>
        <v/>
      </c>
      <c r="Y267" s="35">
        <f>IF(ISNUMBER($F$247),IF(19&lt;=ROUND(1/(0.1*'נתונים והנחות'!$F$15),0),$F$247*0.1*'נתונים והנחות'!$F$15,0),0)</f>
        <v/>
      </c>
      <c r="Z267" s="35">
        <f>IF(ISNUMBER($F$247),IF(20&lt;=ROUND(1/(0.1*'נתונים והנחות'!$F$15),0),$F$247*0.1*'נתונים והנחות'!$F$15,0),0)</f>
        <v/>
      </c>
    </row>
    <row r="268">
      <c r="B268" s="6" t="inlineStr">
        <is>
          <t>מגן מס מואץ — מערכות קיטור חשמליות</t>
        </is>
      </c>
      <c r="C268" s="9" t="inlineStr">
        <is>
          <t>₪</t>
        </is>
      </c>
      <c r="D268" s="9" t="inlineStr">
        <is>
          <t>חישוב</t>
        </is>
      </c>
      <c r="E268" s="9">
        <f> פחת מואץ × שיעור מס</f>
        <v/>
      </c>
      <c r="F268" s="35" t="n">
        <v>0</v>
      </c>
      <c r="G268" s="35">
        <f>G267*'נתונים והנחות'!$F$10</f>
        <v/>
      </c>
      <c r="H268" s="35">
        <f>H267*'נתונים והנחות'!$F$10</f>
        <v/>
      </c>
      <c r="I268" s="35">
        <f>I267*'נתונים והנחות'!$F$10</f>
        <v/>
      </c>
      <c r="J268" s="35">
        <f>J267*'נתונים והנחות'!$F$10</f>
        <v/>
      </c>
      <c r="K268" s="35">
        <f>K267*'נתונים והנחות'!$F$10</f>
        <v/>
      </c>
      <c r="L268" s="35">
        <f>L267*'נתונים והנחות'!$F$10</f>
        <v/>
      </c>
      <c r="M268" s="35">
        <f>M267*'נתונים והנחות'!$F$10</f>
        <v/>
      </c>
      <c r="N268" s="35">
        <f>N267*'נתונים והנחות'!$F$10</f>
        <v/>
      </c>
      <c r="O268" s="35">
        <f>O267*'נתונים והנחות'!$F$10</f>
        <v/>
      </c>
      <c r="P268" s="35">
        <f>P267*'נתונים והנחות'!$F$10</f>
        <v/>
      </c>
      <c r="Q268" s="35">
        <f>Q267*'נתונים והנחות'!$F$10</f>
        <v/>
      </c>
      <c r="R268" s="35">
        <f>R267*'נתונים והנחות'!$F$10</f>
        <v/>
      </c>
      <c r="S268" s="35">
        <f>S267*'נתונים והנחות'!$F$10</f>
        <v/>
      </c>
      <c r="T268" s="35">
        <f>T267*'נתונים והנחות'!$F$10</f>
        <v/>
      </c>
      <c r="U268" s="35">
        <f>U267*'נתונים והנחות'!$F$10</f>
        <v/>
      </c>
      <c r="V268" s="35">
        <f>V267*'נתונים והנחות'!$F$10</f>
        <v/>
      </c>
      <c r="W268" s="35">
        <f>W267*'נתונים והנחות'!$F$10</f>
        <v/>
      </c>
      <c r="X268" s="35">
        <f>X267*'נתונים והנחות'!$F$10</f>
        <v/>
      </c>
      <c r="Y268" s="35">
        <f>Y267*'נתונים והנחות'!$F$10</f>
        <v/>
      </c>
      <c r="Z268" s="35">
        <f>Z267*'נתונים והנחות'!$F$10</f>
        <v/>
      </c>
    </row>
    <row r="270">
      <c r="B270" s="25" t="inlineStr">
        <is>
          <t>ג. ניתוח תזרים מזומנים — שלושה תרחישים</t>
        </is>
      </c>
    </row>
    <row r="271">
      <c r="B271" s="32" t="inlineStr">
        <is>
          <t>פרמטר</t>
        </is>
      </c>
      <c r="C271" s="32" t="inlineStr">
        <is>
          <t>יחידות</t>
        </is>
      </c>
      <c r="D271" s="32" t="inlineStr">
        <is>
          <t>מקור</t>
        </is>
      </c>
      <c r="E271" s="32" t="inlineStr">
        <is>
          <t>הערות</t>
        </is>
      </c>
      <c r="F271" s="32" t="inlineStr">
        <is>
          <t>שנה 0 (השקעה)</t>
        </is>
      </c>
      <c r="G271" s="32" t="inlineStr">
        <is>
          <t>שנה 1</t>
        </is>
      </c>
      <c r="H271" s="32" t="inlineStr">
        <is>
          <t>שנה 2</t>
        </is>
      </c>
      <c r="I271" s="32" t="inlineStr">
        <is>
          <t>שנה 3</t>
        </is>
      </c>
      <c r="J271" s="32" t="inlineStr">
        <is>
          <t>שנה 4</t>
        </is>
      </c>
      <c r="K271" s="32" t="inlineStr">
        <is>
          <t>שנה 5</t>
        </is>
      </c>
      <c r="L271" s="32" t="inlineStr">
        <is>
          <t>שנה 6</t>
        </is>
      </c>
      <c r="M271" s="32" t="inlineStr">
        <is>
          <t>שנה 7</t>
        </is>
      </c>
      <c r="N271" s="32" t="inlineStr">
        <is>
          <t>שנה 8</t>
        </is>
      </c>
      <c r="O271" s="32" t="inlineStr">
        <is>
          <t>שנה 9</t>
        </is>
      </c>
      <c r="P271" s="32" t="inlineStr">
        <is>
          <t>שנה 10</t>
        </is>
      </c>
      <c r="Q271" s="32" t="inlineStr">
        <is>
          <t>שנה 11</t>
        </is>
      </c>
      <c r="R271" s="32" t="inlineStr">
        <is>
          <t>שנה 12</t>
        </is>
      </c>
      <c r="S271" s="32" t="inlineStr">
        <is>
          <t>שנה 13</t>
        </is>
      </c>
      <c r="T271" s="32" t="inlineStr">
        <is>
          <t>שנה 14</t>
        </is>
      </c>
      <c r="U271" s="32" t="inlineStr">
        <is>
          <t>שנה 15</t>
        </is>
      </c>
      <c r="V271" s="32" t="inlineStr">
        <is>
          <t>שנה 16</t>
        </is>
      </c>
      <c r="W271" s="32" t="inlineStr">
        <is>
          <t>שנה 17</t>
        </is>
      </c>
      <c r="X271" s="32" t="inlineStr">
        <is>
          <t>שנה 18</t>
        </is>
      </c>
      <c r="Y271" s="32" t="inlineStr">
        <is>
          <t>שנה 19</t>
        </is>
      </c>
      <c r="Z271" s="32" t="inlineStr">
        <is>
          <t>שנה 20</t>
        </is>
      </c>
    </row>
    <row r="272">
      <c r="B272" s="36" t="inlineStr">
        <is>
          <t>תרחיש A — רכישת קיטור מבוסס דלק / גז (ציוד קיים / לא יעיל)</t>
        </is>
      </c>
    </row>
    <row r="273">
      <c r="B273" s="4" t="inlineStr">
        <is>
          <t>השקעה ראשונית</t>
        </is>
      </c>
      <c r="C273" s="9" t="inlineStr">
        <is>
          <t>₪</t>
        </is>
      </c>
      <c r="D273" s="9" t="inlineStr">
        <is>
          <t>חישוב</t>
        </is>
      </c>
      <c r="F273" s="33">
        <f>IF(ISNUMBER($F$246),-$F$246,"PENDING")</f>
        <v/>
      </c>
    </row>
    <row r="274">
      <c r="B274" s="4" t="inlineStr">
        <is>
          <t>OPEX אנרגיה</t>
        </is>
      </c>
      <c r="C274" s="9" t="inlineStr">
        <is>
          <t>₪</t>
        </is>
      </c>
      <c r="D274" s="9" t="inlineStr">
        <is>
          <t>חישוב</t>
        </is>
      </c>
      <c r="F274" s="33" t="n">
        <v>0</v>
      </c>
      <c r="G274" s="33">
        <f>IF(ISNUMBER($F$256),-$F$256,0)</f>
        <v/>
      </c>
      <c r="H274" s="33">
        <f>IF(ISNUMBER($F$256),-$F$256,0)</f>
        <v/>
      </c>
      <c r="I274" s="33">
        <f>IF(ISNUMBER($F$256),-$F$256,0)</f>
        <v/>
      </c>
      <c r="J274" s="33">
        <f>IF(ISNUMBER($F$256),-$F$256,0)</f>
        <v/>
      </c>
      <c r="K274" s="33">
        <f>IF(ISNUMBER($F$256),-$F$256,0)</f>
        <v/>
      </c>
      <c r="L274" s="33">
        <f>IF(ISNUMBER($F$256),-$F$256,0)</f>
        <v/>
      </c>
      <c r="M274" s="33">
        <f>IF(ISNUMBER($F$256),-$F$256,0)</f>
        <v/>
      </c>
      <c r="N274" s="33">
        <f>IF(ISNUMBER($F$256),-$F$256,0)</f>
        <v/>
      </c>
      <c r="O274" s="33">
        <f>IF(ISNUMBER($F$256),-$F$256,0)</f>
        <v/>
      </c>
      <c r="P274" s="33">
        <f>IF(ISNUMBER($F$256),-$F$256,0)</f>
        <v/>
      </c>
      <c r="Q274" s="33">
        <f>IF(ISNUMBER($F$256),-$F$256,0)</f>
        <v/>
      </c>
      <c r="R274" s="33">
        <f>IF(ISNUMBER($F$256),-$F$256,0)</f>
        <v/>
      </c>
      <c r="S274" s="33">
        <f>IF(ISNUMBER($F$256),-$F$256,0)</f>
        <v/>
      </c>
      <c r="T274" s="33">
        <f>IF(ISNUMBER($F$256),-$F$256,0)</f>
        <v/>
      </c>
      <c r="U274" s="33">
        <f>IF(ISNUMBER($F$256),-$F$256,0)</f>
        <v/>
      </c>
      <c r="V274" s="33">
        <f>0</f>
        <v/>
      </c>
      <c r="W274" s="33">
        <f>0</f>
        <v/>
      </c>
      <c r="X274" s="33">
        <f>0</f>
        <v/>
      </c>
      <c r="Y274" s="33">
        <f>0</f>
        <v/>
      </c>
      <c r="Z274" s="33">
        <f>0</f>
        <v/>
      </c>
    </row>
    <row r="275">
      <c r="B275" s="4" t="inlineStr">
        <is>
          <t>OPEX אחר (תחזוקה וכו')</t>
        </is>
      </c>
      <c r="C275" s="9" t="inlineStr">
        <is>
          <t>₪</t>
        </is>
      </c>
      <c r="D275" s="9" t="inlineStr">
        <is>
          <t>חישוב</t>
        </is>
      </c>
      <c r="F275" s="33" t="n">
        <v>0</v>
      </c>
      <c r="G275" s="33">
        <f>IF(ISNUMBER($F$258),-$F$258,0)</f>
        <v/>
      </c>
      <c r="H275" s="33">
        <f>IF(ISNUMBER($F$258),-$F$258,0)</f>
        <v/>
      </c>
      <c r="I275" s="33">
        <f>IF(ISNUMBER($F$258),-$F$258,0)</f>
        <v/>
      </c>
      <c r="J275" s="33">
        <f>IF(ISNUMBER($F$258),-$F$258,0)</f>
        <v/>
      </c>
      <c r="K275" s="33">
        <f>IF(ISNUMBER($F$258),-$F$258,0)</f>
        <v/>
      </c>
      <c r="L275" s="33">
        <f>IF(ISNUMBER($F$258),-$F$258,0)</f>
        <v/>
      </c>
      <c r="M275" s="33">
        <f>IF(ISNUMBER($F$258),-$F$258,0)</f>
        <v/>
      </c>
      <c r="N275" s="33">
        <f>IF(ISNUMBER($F$258),-$F$258,0)</f>
        <v/>
      </c>
      <c r="O275" s="33">
        <f>IF(ISNUMBER($F$258),-$F$258,0)</f>
        <v/>
      </c>
      <c r="P275" s="33">
        <f>IF(ISNUMBER($F$258),-$F$258,0)</f>
        <v/>
      </c>
      <c r="Q275" s="33">
        <f>IF(ISNUMBER($F$258),-$F$258,0)</f>
        <v/>
      </c>
      <c r="R275" s="33">
        <f>IF(ISNUMBER($F$258),-$F$258,0)</f>
        <v/>
      </c>
      <c r="S275" s="33">
        <f>IF(ISNUMBER($F$258),-$F$258,0)</f>
        <v/>
      </c>
      <c r="T275" s="33">
        <f>IF(ISNUMBER($F$258),-$F$258,0)</f>
        <v/>
      </c>
      <c r="U275" s="33">
        <f>IF(ISNUMBER($F$258),-$F$258,0)</f>
        <v/>
      </c>
      <c r="V275" s="33">
        <f>0</f>
        <v/>
      </c>
      <c r="W275" s="33">
        <f>0</f>
        <v/>
      </c>
      <c r="X275" s="33">
        <f>0</f>
        <v/>
      </c>
      <c r="Y275" s="33">
        <f>0</f>
        <v/>
      </c>
      <c r="Z275" s="33">
        <f>0</f>
        <v/>
      </c>
    </row>
    <row r="276">
      <c r="B276" s="4" t="inlineStr">
        <is>
          <t>תזרים נקי — תרחיש A</t>
        </is>
      </c>
      <c r="C276" s="9" t="inlineStr">
        <is>
          <t>₪</t>
        </is>
      </c>
      <c r="D276" s="9" t="inlineStr">
        <is>
          <t>חישוב</t>
        </is>
      </c>
      <c r="F276" s="33">
        <f>F273</f>
        <v/>
      </c>
      <c r="G276" s="33">
        <f>G274+G275+G264</f>
        <v/>
      </c>
      <c r="H276" s="33">
        <f>H274+H275+H264</f>
        <v/>
      </c>
      <c r="I276" s="33">
        <f>I274+I275+I264</f>
        <v/>
      </c>
      <c r="J276" s="33">
        <f>J274+J275+J264</f>
        <v/>
      </c>
      <c r="K276" s="33">
        <f>K274+K275+K264</f>
        <v/>
      </c>
      <c r="L276" s="33">
        <f>L274+L275+L264</f>
        <v/>
      </c>
      <c r="M276" s="33">
        <f>M274+M275+M264</f>
        <v/>
      </c>
      <c r="N276" s="33">
        <f>N274+N275+N264</f>
        <v/>
      </c>
      <c r="O276" s="33">
        <f>O274+O275+O264</f>
        <v/>
      </c>
      <c r="P276" s="33">
        <f>P274+P275+P264</f>
        <v/>
      </c>
      <c r="Q276" s="33">
        <f>Q274+Q275+Q264</f>
        <v/>
      </c>
      <c r="R276" s="33">
        <f>R274+R275+R264</f>
        <v/>
      </c>
      <c r="S276" s="33">
        <f>S274+S275+S264</f>
        <v/>
      </c>
      <c r="T276" s="33">
        <f>T274+T275+T264</f>
        <v/>
      </c>
      <c r="U276" s="33">
        <f>U274+U275+U264</f>
        <v/>
      </c>
      <c r="V276" s="33">
        <f>V274+V275+V264</f>
        <v/>
      </c>
      <c r="W276" s="33">
        <f>W274+W275+W264</f>
        <v/>
      </c>
      <c r="X276" s="33">
        <f>X274+X275+X264</f>
        <v/>
      </c>
      <c r="Y276" s="33">
        <f>Y274+Y275+Y264</f>
        <v/>
      </c>
      <c r="Z276" s="33">
        <f>Z274+Z275+Z264</f>
        <v/>
      </c>
    </row>
    <row r="277">
      <c r="B277" s="4" t="inlineStr">
        <is>
          <t>תזרים מהוון — תרחיש A</t>
        </is>
      </c>
      <c r="C277" s="9" t="inlineStr">
        <is>
          <t>₪</t>
        </is>
      </c>
      <c r="D277" s="9" t="inlineStr">
        <is>
          <t>חישוב</t>
        </is>
      </c>
      <c r="F277" s="33">
        <f>F276</f>
        <v/>
      </c>
      <c r="G277" s="33">
        <f>G276/(1+'נתונים והנחות'!$F$11)^1</f>
        <v/>
      </c>
      <c r="H277" s="33">
        <f>H276/(1+'נתונים והנחות'!$F$11)^2</f>
        <v/>
      </c>
      <c r="I277" s="33">
        <f>I276/(1+'נתונים והנחות'!$F$11)^3</f>
        <v/>
      </c>
      <c r="J277" s="33">
        <f>J276/(1+'נתונים והנחות'!$F$11)^4</f>
        <v/>
      </c>
      <c r="K277" s="33">
        <f>K276/(1+'נתונים והנחות'!$F$11)^5</f>
        <v/>
      </c>
      <c r="L277" s="33">
        <f>L276/(1+'נתונים והנחות'!$F$11)^6</f>
        <v/>
      </c>
      <c r="M277" s="33">
        <f>M276/(1+'נתונים והנחות'!$F$11)^7</f>
        <v/>
      </c>
      <c r="N277" s="33">
        <f>N276/(1+'נתונים והנחות'!$F$11)^8</f>
        <v/>
      </c>
      <c r="O277" s="33">
        <f>O276/(1+'נתונים והנחות'!$F$11)^9</f>
        <v/>
      </c>
      <c r="P277" s="33">
        <f>P276/(1+'נתונים והנחות'!$F$11)^10</f>
        <v/>
      </c>
      <c r="Q277" s="33">
        <f>Q276/(1+'נתונים והנחות'!$F$11)^11</f>
        <v/>
      </c>
      <c r="R277" s="33">
        <f>R276/(1+'נתונים והנחות'!$F$11)^12</f>
        <v/>
      </c>
      <c r="S277" s="33">
        <f>S276/(1+'נתונים והנחות'!$F$11)^13</f>
        <v/>
      </c>
      <c r="T277" s="33">
        <f>T276/(1+'נתונים והנחות'!$F$11)^14</f>
        <v/>
      </c>
      <c r="U277" s="33">
        <f>U276/(1+'נתונים והנחות'!$F$11)^15</f>
        <v/>
      </c>
      <c r="V277" s="33">
        <f>V276/(1+'נתונים והנחות'!$F$11)^16</f>
        <v/>
      </c>
      <c r="W277" s="33">
        <f>W276/(1+'נתונים והנחות'!$F$11)^17</f>
        <v/>
      </c>
      <c r="X277" s="33">
        <f>X276/(1+'נתונים והנחות'!$F$11)^18</f>
        <v/>
      </c>
      <c r="Y277" s="33">
        <f>Y276/(1+'נתונים והנחות'!$F$11)^19</f>
        <v/>
      </c>
      <c r="Z277" s="33">
        <f>Z276/(1+'נתונים והנחות'!$F$11)^20</f>
        <v/>
      </c>
    </row>
    <row r="278">
      <c r="B278" s="4" t="inlineStr">
        <is>
          <t>NPV מצטבר — תרחיש A</t>
        </is>
      </c>
      <c r="C278" s="9" t="inlineStr">
        <is>
          <t>₪</t>
        </is>
      </c>
      <c r="D278" s="9" t="inlineStr">
        <is>
          <t>חישוב</t>
        </is>
      </c>
      <c r="F278" s="33">
        <f>F277</f>
        <v/>
      </c>
      <c r="G278" s="33">
        <f>F278+G277</f>
        <v/>
      </c>
      <c r="H278" s="33">
        <f>G278+H277</f>
        <v/>
      </c>
      <c r="I278" s="33">
        <f>H278+I277</f>
        <v/>
      </c>
      <c r="J278" s="33">
        <f>I278+J277</f>
        <v/>
      </c>
      <c r="K278" s="33">
        <f>J278+K277</f>
        <v/>
      </c>
      <c r="L278" s="33">
        <f>K278+L277</f>
        <v/>
      </c>
      <c r="M278" s="33">
        <f>L278+M277</f>
        <v/>
      </c>
      <c r="N278" s="33">
        <f>M278+N277</f>
        <v/>
      </c>
      <c r="O278" s="33">
        <f>N278+O277</f>
        <v/>
      </c>
      <c r="P278" s="33">
        <f>O278+P277</f>
        <v/>
      </c>
      <c r="Q278" s="33">
        <f>P278+Q277</f>
        <v/>
      </c>
      <c r="R278" s="33">
        <f>Q278+R277</f>
        <v/>
      </c>
      <c r="S278" s="33">
        <f>R278+S277</f>
        <v/>
      </c>
      <c r="T278" s="33">
        <f>S278+T277</f>
        <v/>
      </c>
      <c r="U278" s="33">
        <f>T278+U277</f>
        <v/>
      </c>
      <c r="V278" s="33">
        <f>U278+V277</f>
        <v/>
      </c>
      <c r="W278" s="33">
        <f>V278+W277</f>
        <v/>
      </c>
      <c r="X278" s="33">
        <f>W278+X277</f>
        <v/>
      </c>
      <c r="Y278" s="33">
        <f>X278+Y277</f>
        <v/>
      </c>
      <c r="Z278" s="33">
        <f>Y278+Z277</f>
        <v/>
      </c>
    </row>
    <row r="280">
      <c r="B280" s="37" t="inlineStr">
        <is>
          <t>תרחיש B — רכישת מערכות קיטור חשמליות | פחת סטנדרטי (ללא תמריץ)</t>
        </is>
      </c>
    </row>
    <row r="281">
      <c r="B281" s="5" t="inlineStr">
        <is>
          <t>השקעה ראשונית</t>
        </is>
      </c>
      <c r="C281" s="9" t="inlineStr">
        <is>
          <t>₪</t>
        </is>
      </c>
      <c r="D281" s="9" t="inlineStr">
        <is>
          <t>חישוב</t>
        </is>
      </c>
      <c r="F281" s="34">
        <f>IF(ISNUMBER($F$247),-$F$247,"PENDING")</f>
        <v/>
      </c>
    </row>
    <row r="282">
      <c r="B282" s="5" t="inlineStr">
        <is>
          <t>OPEX אנרגיה (עם שחיקה שנתית)</t>
        </is>
      </c>
      <c r="C282" s="9" t="inlineStr">
        <is>
          <t>₪</t>
        </is>
      </c>
      <c r="D282" s="9" t="inlineStr">
        <is>
          <t>חישוב</t>
        </is>
      </c>
      <c r="F282" s="34" t="n">
        <v>0</v>
      </c>
      <c r="G282" s="34">
        <f>IF(ISNUMBER($F$257),-$F$257*(1-$F$254)^0,0)</f>
        <v/>
      </c>
      <c r="H282" s="34">
        <f>IF(ISNUMBER($F$257),-$F$257*(1-$F$254)^1,0)</f>
        <v/>
      </c>
      <c r="I282" s="34">
        <f>IF(ISNUMBER($F$257),-$F$257*(1-$F$254)^2,0)</f>
        <v/>
      </c>
      <c r="J282" s="34">
        <f>IF(ISNUMBER($F$257),-$F$257*(1-$F$254)^3,0)</f>
        <v/>
      </c>
      <c r="K282" s="34">
        <f>IF(ISNUMBER($F$257),-$F$257*(1-$F$254)^4,0)</f>
        <v/>
      </c>
      <c r="L282" s="34">
        <f>IF(ISNUMBER($F$257),-$F$257*(1-$F$254)^5,0)</f>
        <v/>
      </c>
      <c r="M282" s="34">
        <f>IF(ISNUMBER($F$257),-$F$257*(1-$F$254)^6,0)</f>
        <v/>
      </c>
      <c r="N282" s="34">
        <f>IF(ISNUMBER($F$257),-$F$257*(1-$F$254)^7,0)</f>
        <v/>
      </c>
      <c r="O282" s="34">
        <f>IF(ISNUMBER($F$257),-$F$257*(1-$F$254)^8,0)</f>
        <v/>
      </c>
      <c r="P282" s="34">
        <f>IF(ISNUMBER($F$257),-$F$257*(1-$F$254)^9,0)</f>
        <v/>
      </c>
      <c r="Q282" s="34">
        <f>0</f>
        <v/>
      </c>
      <c r="R282" s="34">
        <f>0</f>
        <v/>
      </c>
      <c r="S282" s="34">
        <f>0</f>
        <v/>
      </c>
      <c r="T282" s="34">
        <f>0</f>
        <v/>
      </c>
      <c r="U282" s="34">
        <f>0</f>
        <v/>
      </c>
      <c r="V282" s="34">
        <f>0</f>
        <v/>
      </c>
      <c r="W282" s="34">
        <f>0</f>
        <v/>
      </c>
      <c r="X282" s="34">
        <f>0</f>
        <v/>
      </c>
      <c r="Y282" s="34">
        <f>0</f>
        <v/>
      </c>
      <c r="Z282" s="34">
        <f>0</f>
        <v/>
      </c>
    </row>
    <row r="283">
      <c r="B283" s="5" t="inlineStr">
        <is>
          <t>OPEX אחר (תחזוקה וכו')</t>
        </is>
      </c>
      <c r="C283" s="9" t="inlineStr">
        <is>
          <t>₪</t>
        </is>
      </c>
      <c r="D283" s="9" t="inlineStr">
        <is>
          <t>חישוב</t>
        </is>
      </c>
      <c r="F283" s="34" t="n">
        <v>0</v>
      </c>
      <c r="G283" s="34">
        <f>IF(ISNUMBER($F$259),-$F$259,0)</f>
        <v/>
      </c>
      <c r="H283" s="34">
        <f>IF(ISNUMBER($F$259),-$F$259,0)</f>
        <v/>
      </c>
      <c r="I283" s="34">
        <f>IF(ISNUMBER($F$259),-$F$259,0)</f>
        <v/>
      </c>
      <c r="J283" s="34">
        <f>IF(ISNUMBER($F$259),-$F$259,0)</f>
        <v/>
      </c>
      <c r="K283" s="34">
        <f>IF(ISNUMBER($F$259),-$F$259,0)</f>
        <v/>
      </c>
      <c r="L283" s="34">
        <f>IF(ISNUMBER($F$259),-$F$259,0)</f>
        <v/>
      </c>
      <c r="M283" s="34">
        <f>IF(ISNUMBER($F$259),-$F$259,0)</f>
        <v/>
      </c>
      <c r="N283" s="34">
        <f>IF(ISNUMBER($F$259),-$F$259,0)</f>
        <v/>
      </c>
      <c r="O283" s="34">
        <f>IF(ISNUMBER($F$259),-$F$259,0)</f>
        <v/>
      </c>
      <c r="P283" s="34">
        <f>IF(ISNUMBER($F$259),-$F$259,0)</f>
        <v/>
      </c>
      <c r="Q283" s="34">
        <f>0</f>
        <v/>
      </c>
      <c r="R283" s="34">
        <f>0</f>
        <v/>
      </c>
      <c r="S283" s="34">
        <f>0</f>
        <v/>
      </c>
      <c r="T283" s="34">
        <f>0</f>
        <v/>
      </c>
      <c r="U283" s="34">
        <f>0</f>
        <v/>
      </c>
      <c r="V283" s="34">
        <f>0</f>
        <v/>
      </c>
      <c r="W283" s="34">
        <f>0</f>
        <v/>
      </c>
      <c r="X283" s="34">
        <f>0</f>
        <v/>
      </c>
      <c r="Y283" s="34">
        <f>0</f>
        <v/>
      </c>
      <c r="Z283" s="34">
        <f>0</f>
        <v/>
      </c>
    </row>
    <row r="284">
      <c r="B284" s="5" t="inlineStr">
        <is>
          <t>תזרים נקי — תרחיש B</t>
        </is>
      </c>
      <c r="C284" s="9" t="inlineStr">
        <is>
          <t>₪</t>
        </is>
      </c>
      <c r="D284" s="9" t="inlineStr">
        <is>
          <t>חישוב</t>
        </is>
      </c>
      <c r="F284" s="34">
        <f>F281</f>
        <v/>
      </c>
      <c r="G284" s="34">
        <f>G282+G283+G266</f>
        <v/>
      </c>
      <c r="H284" s="34">
        <f>H282+H283+H266</f>
        <v/>
      </c>
      <c r="I284" s="34">
        <f>I282+I283+I266</f>
        <v/>
      </c>
      <c r="J284" s="34">
        <f>J282+J283+J266</f>
        <v/>
      </c>
      <c r="K284" s="34">
        <f>K282+K283+K266</f>
        <v/>
      </c>
      <c r="L284" s="34">
        <f>L282+L283+L266</f>
        <v/>
      </c>
      <c r="M284" s="34">
        <f>M282+M283+M266</f>
        <v/>
      </c>
      <c r="N284" s="34">
        <f>N282+N283+N266</f>
        <v/>
      </c>
      <c r="O284" s="34">
        <f>O282+O283+O266</f>
        <v/>
      </c>
      <c r="P284" s="34">
        <f>P282+P283+P266</f>
        <v/>
      </c>
      <c r="Q284" s="34">
        <f>Q282+Q283+Q266</f>
        <v/>
      </c>
      <c r="R284" s="34">
        <f>R282+R283+R266</f>
        <v/>
      </c>
      <c r="S284" s="34">
        <f>S282+S283+S266</f>
        <v/>
      </c>
      <c r="T284" s="34">
        <f>T282+T283+T266</f>
        <v/>
      </c>
      <c r="U284" s="34">
        <f>U282+U283+U266</f>
        <v/>
      </c>
      <c r="V284" s="34">
        <f>V282+V283+V266</f>
        <v/>
      </c>
      <c r="W284" s="34">
        <f>W282+W283+W266</f>
        <v/>
      </c>
      <c r="X284" s="34">
        <f>X282+X283+X266</f>
        <v/>
      </c>
      <c r="Y284" s="34">
        <f>Y282+Y283+Y266</f>
        <v/>
      </c>
      <c r="Z284" s="34">
        <f>Z282+Z283+Z266</f>
        <v/>
      </c>
    </row>
    <row r="285">
      <c r="B285" s="5" t="inlineStr">
        <is>
          <t>תזרים מהוון — תרחיש B</t>
        </is>
      </c>
      <c r="C285" s="9" t="inlineStr">
        <is>
          <t>₪</t>
        </is>
      </c>
      <c r="D285" s="9" t="inlineStr">
        <is>
          <t>חישוב</t>
        </is>
      </c>
      <c r="F285" s="34">
        <f>F284</f>
        <v/>
      </c>
      <c r="G285" s="34">
        <f>G284/(1+'נתונים והנחות'!$F$11)^1</f>
        <v/>
      </c>
      <c r="H285" s="34">
        <f>H284/(1+'נתונים והנחות'!$F$11)^2</f>
        <v/>
      </c>
      <c r="I285" s="34">
        <f>I284/(1+'נתונים והנחות'!$F$11)^3</f>
        <v/>
      </c>
      <c r="J285" s="34">
        <f>J284/(1+'נתונים והנחות'!$F$11)^4</f>
        <v/>
      </c>
      <c r="K285" s="34">
        <f>K284/(1+'נתונים והנחות'!$F$11)^5</f>
        <v/>
      </c>
      <c r="L285" s="34">
        <f>L284/(1+'נתונים והנחות'!$F$11)^6</f>
        <v/>
      </c>
      <c r="M285" s="34">
        <f>M284/(1+'נתונים והנחות'!$F$11)^7</f>
        <v/>
      </c>
      <c r="N285" s="34">
        <f>N284/(1+'נתונים והנחות'!$F$11)^8</f>
        <v/>
      </c>
      <c r="O285" s="34">
        <f>O284/(1+'נתונים והנחות'!$F$11)^9</f>
        <v/>
      </c>
      <c r="P285" s="34">
        <f>P284/(1+'נתונים והנחות'!$F$11)^10</f>
        <v/>
      </c>
      <c r="Q285" s="34">
        <f>Q284/(1+'נתונים והנחות'!$F$11)^11</f>
        <v/>
      </c>
      <c r="R285" s="34">
        <f>R284/(1+'נתונים והנחות'!$F$11)^12</f>
        <v/>
      </c>
      <c r="S285" s="34">
        <f>S284/(1+'נתונים והנחות'!$F$11)^13</f>
        <v/>
      </c>
      <c r="T285" s="34">
        <f>T284/(1+'נתונים והנחות'!$F$11)^14</f>
        <v/>
      </c>
      <c r="U285" s="34">
        <f>U284/(1+'נתונים והנחות'!$F$11)^15</f>
        <v/>
      </c>
      <c r="V285" s="34">
        <f>V284/(1+'נתונים והנחות'!$F$11)^16</f>
        <v/>
      </c>
      <c r="W285" s="34">
        <f>W284/(1+'נתונים והנחות'!$F$11)^17</f>
        <v/>
      </c>
      <c r="X285" s="34">
        <f>X284/(1+'נתונים והנחות'!$F$11)^18</f>
        <v/>
      </c>
      <c r="Y285" s="34">
        <f>Y284/(1+'נתונים והנחות'!$F$11)^19</f>
        <v/>
      </c>
      <c r="Z285" s="34">
        <f>Z284/(1+'נתונים והנחות'!$F$11)^20</f>
        <v/>
      </c>
    </row>
    <row r="286">
      <c r="B286" s="5" t="inlineStr">
        <is>
          <t>NPV מצטבר — תרחיש B</t>
        </is>
      </c>
      <c r="C286" s="9" t="inlineStr">
        <is>
          <t>₪</t>
        </is>
      </c>
      <c r="D286" s="9" t="inlineStr">
        <is>
          <t>חישוב</t>
        </is>
      </c>
      <c r="F286" s="34">
        <f>F285</f>
        <v/>
      </c>
      <c r="G286" s="34">
        <f>F286+G285</f>
        <v/>
      </c>
      <c r="H286" s="34">
        <f>G286+H285</f>
        <v/>
      </c>
      <c r="I286" s="34">
        <f>H286+I285</f>
        <v/>
      </c>
      <c r="J286" s="34">
        <f>I286+J285</f>
        <v/>
      </c>
      <c r="K286" s="34">
        <f>J286+K285</f>
        <v/>
      </c>
      <c r="L286" s="34">
        <f>K286+L285</f>
        <v/>
      </c>
      <c r="M286" s="34">
        <f>L286+M285</f>
        <v/>
      </c>
      <c r="N286" s="34">
        <f>M286+N285</f>
        <v/>
      </c>
      <c r="O286" s="34">
        <f>N286+O285</f>
        <v/>
      </c>
      <c r="P286" s="34">
        <f>O286+P285</f>
        <v/>
      </c>
      <c r="Q286" s="34">
        <f>P286+Q285</f>
        <v/>
      </c>
      <c r="R286" s="34">
        <f>Q286+R285</f>
        <v/>
      </c>
      <c r="S286" s="34">
        <f>R286+S285</f>
        <v/>
      </c>
      <c r="T286" s="34">
        <f>S286+T285</f>
        <v/>
      </c>
      <c r="U286" s="34">
        <f>T286+U285</f>
        <v/>
      </c>
      <c r="V286" s="34">
        <f>U286+V285</f>
        <v/>
      </c>
      <c r="W286" s="34">
        <f>V286+W285</f>
        <v/>
      </c>
      <c r="X286" s="34">
        <f>W286+X285</f>
        <v/>
      </c>
      <c r="Y286" s="34">
        <f>X286+Y285</f>
        <v/>
      </c>
      <c r="Z286" s="34">
        <f>Y286+Z285</f>
        <v/>
      </c>
    </row>
    <row r="288">
      <c r="B288" s="38" t="inlineStr">
        <is>
          <t>תרחיש C — רכישת מערכות קיטור חשמליות | פחת מואץ (עם תמריץ)</t>
        </is>
      </c>
    </row>
    <row r="289">
      <c r="B289" s="23" t="inlineStr">
        <is>
          <t>* OPEX זהה לתרחיש B — ההבדל הוא מגן המס המואץ בלבד</t>
        </is>
      </c>
    </row>
    <row r="290">
      <c r="B290" s="6" t="inlineStr">
        <is>
          <t>תזרים נקי — תרחיש C</t>
        </is>
      </c>
      <c r="C290" s="9" t="inlineStr">
        <is>
          <t>₪</t>
        </is>
      </c>
      <c r="D290" s="9" t="inlineStr">
        <is>
          <t>חישוב</t>
        </is>
      </c>
      <c r="F290" s="35">
        <f>F281</f>
        <v/>
      </c>
      <c r="G290" s="35">
        <f>G282+G283+G268</f>
        <v/>
      </c>
      <c r="H290" s="35">
        <f>H282+H283+H268</f>
        <v/>
      </c>
      <c r="I290" s="35">
        <f>I282+I283+I268</f>
        <v/>
      </c>
      <c r="J290" s="35">
        <f>J282+J283+J268</f>
        <v/>
      </c>
      <c r="K290" s="35">
        <f>K282+K283+K268</f>
        <v/>
      </c>
      <c r="L290" s="35">
        <f>L282+L283+L268</f>
        <v/>
      </c>
      <c r="M290" s="35">
        <f>M282+M283+M268</f>
        <v/>
      </c>
      <c r="N290" s="35">
        <f>N282+N283+N268</f>
        <v/>
      </c>
      <c r="O290" s="35">
        <f>O282+O283+O268</f>
        <v/>
      </c>
      <c r="P290" s="35">
        <f>P282+P283+P268</f>
        <v/>
      </c>
      <c r="Q290" s="35">
        <f>Q282+Q283+Q268</f>
        <v/>
      </c>
      <c r="R290" s="35">
        <f>R282+R283+R268</f>
        <v/>
      </c>
      <c r="S290" s="35">
        <f>S282+S283+S268</f>
        <v/>
      </c>
      <c r="T290" s="35">
        <f>T282+T283+T268</f>
        <v/>
      </c>
      <c r="U290" s="35">
        <f>U282+U283+U268</f>
        <v/>
      </c>
      <c r="V290" s="35">
        <f>V282+V283+V268</f>
        <v/>
      </c>
      <c r="W290" s="35">
        <f>W282+W283+W268</f>
        <v/>
      </c>
      <c r="X290" s="35">
        <f>X282+X283+X268</f>
        <v/>
      </c>
      <c r="Y290" s="35">
        <f>Y282+Y283+Y268</f>
        <v/>
      </c>
      <c r="Z290" s="35">
        <f>Z282+Z283+Z268</f>
        <v/>
      </c>
    </row>
    <row r="291">
      <c r="B291" s="6" t="inlineStr">
        <is>
          <t>תזרים מהוון — תרחיש C</t>
        </is>
      </c>
      <c r="C291" s="9" t="inlineStr">
        <is>
          <t>₪</t>
        </is>
      </c>
      <c r="D291" s="9" t="inlineStr">
        <is>
          <t>חישוב</t>
        </is>
      </c>
      <c r="F291" s="35">
        <f>F290</f>
        <v/>
      </c>
      <c r="G291" s="35">
        <f>G290/(1+'נתונים והנחות'!$F$11)^1</f>
        <v/>
      </c>
      <c r="H291" s="35">
        <f>H290/(1+'נתונים והנחות'!$F$11)^2</f>
        <v/>
      </c>
      <c r="I291" s="35">
        <f>I290/(1+'נתונים והנחות'!$F$11)^3</f>
        <v/>
      </c>
      <c r="J291" s="35">
        <f>J290/(1+'נתונים והנחות'!$F$11)^4</f>
        <v/>
      </c>
      <c r="K291" s="35">
        <f>K290/(1+'נתונים והנחות'!$F$11)^5</f>
        <v/>
      </c>
      <c r="L291" s="35">
        <f>L290/(1+'נתונים והנחות'!$F$11)^6</f>
        <v/>
      </c>
      <c r="M291" s="35">
        <f>M290/(1+'נתונים והנחות'!$F$11)^7</f>
        <v/>
      </c>
      <c r="N291" s="35">
        <f>N290/(1+'נתונים והנחות'!$F$11)^8</f>
        <v/>
      </c>
      <c r="O291" s="35">
        <f>O290/(1+'נתונים והנחות'!$F$11)^9</f>
        <v/>
      </c>
      <c r="P291" s="35">
        <f>P290/(1+'נתונים והנחות'!$F$11)^10</f>
        <v/>
      </c>
      <c r="Q291" s="35">
        <f>Q290/(1+'נתונים והנחות'!$F$11)^11</f>
        <v/>
      </c>
      <c r="R291" s="35">
        <f>R290/(1+'נתונים והנחות'!$F$11)^12</f>
        <v/>
      </c>
      <c r="S291" s="35">
        <f>S290/(1+'נתונים והנחות'!$F$11)^13</f>
        <v/>
      </c>
      <c r="T291" s="35">
        <f>T290/(1+'נתונים והנחות'!$F$11)^14</f>
        <v/>
      </c>
      <c r="U291" s="35">
        <f>U290/(1+'נתונים והנחות'!$F$11)^15</f>
        <v/>
      </c>
      <c r="V291" s="35">
        <f>V290/(1+'נתונים והנחות'!$F$11)^16</f>
        <v/>
      </c>
      <c r="W291" s="35">
        <f>W290/(1+'נתונים והנחות'!$F$11)^17</f>
        <v/>
      </c>
      <c r="X291" s="35">
        <f>X290/(1+'נתונים והנחות'!$F$11)^18</f>
        <v/>
      </c>
      <c r="Y291" s="35">
        <f>Y290/(1+'נתונים והנחות'!$F$11)^19</f>
        <v/>
      </c>
      <c r="Z291" s="35">
        <f>Z290/(1+'נתונים והנחות'!$F$11)^20</f>
        <v/>
      </c>
    </row>
    <row r="292">
      <c r="B292" s="6" t="inlineStr">
        <is>
          <t>NPV מצטבר — תרחיש C</t>
        </is>
      </c>
      <c r="C292" s="9" t="inlineStr">
        <is>
          <t>₪</t>
        </is>
      </c>
      <c r="D292" s="9" t="inlineStr">
        <is>
          <t>חישוב</t>
        </is>
      </c>
      <c r="F292" s="35">
        <f>F291</f>
        <v/>
      </c>
      <c r="G292" s="35">
        <f>F292+G291</f>
        <v/>
      </c>
      <c r="H292" s="35">
        <f>G292+H291</f>
        <v/>
      </c>
      <c r="I292" s="35">
        <f>H292+I291</f>
        <v/>
      </c>
      <c r="J292" s="35">
        <f>I292+J291</f>
        <v/>
      </c>
      <c r="K292" s="35">
        <f>J292+K291</f>
        <v/>
      </c>
      <c r="L292" s="35">
        <f>K292+L291</f>
        <v/>
      </c>
      <c r="M292" s="35">
        <f>L292+M291</f>
        <v/>
      </c>
      <c r="N292" s="35">
        <f>M292+N291</f>
        <v/>
      </c>
      <c r="O292" s="35">
        <f>N292+O291</f>
        <v/>
      </c>
      <c r="P292" s="35">
        <f>O292+P291</f>
        <v/>
      </c>
      <c r="Q292" s="35">
        <f>P292+Q291</f>
        <v/>
      </c>
      <c r="R292" s="35">
        <f>Q292+R291</f>
        <v/>
      </c>
      <c r="S292" s="35">
        <f>R292+S291</f>
        <v/>
      </c>
      <c r="T292" s="35">
        <f>S292+T291</f>
        <v/>
      </c>
      <c r="U292" s="35">
        <f>T292+U291</f>
        <v/>
      </c>
      <c r="V292" s="35">
        <f>U292+V291</f>
        <v/>
      </c>
      <c r="W292" s="35">
        <f>V292+W291</f>
        <v/>
      </c>
      <c r="X292" s="35">
        <f>W292+X291</f>
        <v/>
      </c>
      <c r="Y292" s="35">
        <f>X292+Y291</f>
        <v/>
      </c>
      <c r="Z292" s="35">
        <f>Y292+Z291</f>
        <v/>
      </c>
    </row>
    <row r="294">
      <c r="B294" s="25" t="inlineStr">
        <is>
          <t>ד. תוצאות</t>
        </is>
      </c>
    </row>
    <row r="295">
      <c r="B295" s="39" t="inlineStr">
        <is>
          <t>NPV — תרחיש A (קיטור מבוסס דלק / גז)</t>
        </is>
      </c>
      <c r="C295" s="9" t="inlineStr">
        <is>
          <t>ש"ח</t>
        </is>
      </c>
      <c r="F295" s="33">
        <f>SUM(F277:Z277)</f>
        <v/>
      </c>
    </row>
    <row r="296">
      <c r="B296" s="40" t="inlineStr">
        <is>
          <t>NPV — תרחיש B (מערכות קיטור חשמליות, ללא תמריץ)</t>
        </is>
      </c>
      <c r="C296" s="9" t="inlineStr">
        <is>
          <t>ש"ח</t>
        </is>
      </c>
      <c r="F296" s="34">
        <f>SUM(F285:Z285)</f>
        <v/>
      </c>
    </row>
    <row r="297">
      <c r="B297" s="41" t="inlineStr">
        <is>
          <t>NPV — תרחיש C (מערכות קיטור חשמליות, עם תמריץ)</t>
        </is>
      </c>
      <c r="C297" s="9" t="inlineStr">
        <is>
          <t>ש"ח</t>
        </is>
      </c>
      <c r="F297" s="35">
        <f>SUM(F291:Z291)</f>
        <v/>
      </c>
    </row>
    <row r="299">
      <c r="B299" s="42" t="inlineStr">
        <is>
          <t>NPV מצטבר — הצדקת השדרוג (B−A)</t>
        </is>
      </c>
      <c r="C299" s="9" t="inlineStr">
        <is>
          <t>ש"ח</t>
        </is>
      </c>
      <c r="F299" s="43">
        <f>F296-F295</f>
        <v/>
      </c>
    </row>
    <row r="300">
      <c r="B300" s="44" t="inlineStr">
        <is>
          <t>ערך התמריץ — תועלת הפחת המואץ (C−B)</t>
        </is>
      </c>
      <c r="C300" s="9" t="inlineStr">
        <is>
          <t>ש"ח</t>
        </is>
      </c>
      <c r="F300" s="45">
        <f>F297-F296</f>
        <v/>
      </c>
    </row>
    <row r="302">
      <c r="B302" s="39" t="inlineStr">
        <is>
          <t>ROI — תרחיש A</t>
        </is>
      </c>
      <c r="C302" s="9" t="inlineStr">
        <is>
          <t>%</t>
        </is>
      </c>
      <c r="F302" s="46">
        <f>IF(ISNUMBER($F$246),(SUM(F277:Z277)+$F$246)/$F$246,"PENDING")</f>
        <v/>
      </c>
    </row>
    <row r="303">
      <c r="B303" s="40" t="inlineStr">
        <is>
          <t>ROI — תרחיש B</t>
        </is>
      </c>
      <c r="C303" s="9" t="inlineStr">
        <is>
          <t>%</t>
        </is>
      </c>
      <c r="F303" s="47">
        <f>IF(ISNUMBER($F$247),(SUM(F285:Z285)+$F$247)/$F$247,"PENDING")</f>
        <v/>
      </c>
    </row>
    <row r="304">
      <c r="B304" s="41" t="inlineStr">
        <is>
          <t>ROI — תרחיש C</t>
        </is>
      </c>
      <c r="C304" s="9" t="inlineStr">
        <is>
          <t>%</t>
        </is>
      </c>
      <c r="F304" s="48">
        <f>IF(ISNUMBER($F$247),(SUM(F291:Z291)+$F$247)/$F$247,"PENDING")</f>
        <v/>
      </c>
    </row>
    <row r="306">
      <c r="B306" s="42" t="inlineStr">
        <is>
          <t>תקופת החזר ΔCapEx ללא תמריץ (B−A)</t>
        </is>
      </c>
      <c r="C306" s="9" t="inlineStr">
        <is>
          <t>שנים</t>
        </is>
      </c>
      <c r="E306" s="23" t="inlineStr">
        <is>
          <t>זמן להחזר ההשקעה הנוספת | מחושב על ΔCF = CF_B − CF_A</t>
        </is>
      </c>
      <c r="F306" s="49">
        <f>IFERROR(MATCH(1,(F312:Z312&gt;0)*1,0)-2+ABS(INDEX(F312:Z312,MATCH(1,(F312:Z312&gt;0)*1,0)-1))/(INDEX(F312:Z312,MATCH(1,(F312:Z312&gt;0)*1,0))-INDEX(F312:Z312,MATCH(1,(F312:Z312&gt;0)*1,0)-1)),"לא מגיע לפירעון")</f>
        <v/>
      </c>
    </row>
    <row r="307">
      <c r="B307" s="50" t="inlineStr">
        <is>
          <t>תקופת החזר ΔCapEx עם תמריץ (C−A)</t>
        </is>
      </c>
      <c r="C307" s="51" t="inlineStr">
        <is>
          <t>שנים</t>
        </is>
      </c>
      <c r="E307" s="23" t="inlineStr">
        <is>
          <t>כולל יתרון מגן המס המואץ | מחושב על ΔCF = CF_C − CF_A</t>
        </is>
      </c>
      <c r="F307" s="52">
        <f>IFERROR(MATCH(1,(F313:Z313&gt;0)*1,0)-2+ABS(INDEX(F313:Z313,MATCH(1,(F313:Z313&gt;0)*1,0)-1))/(INDEX(F313:Z313,MATCH(1,(F313:Z313&gt;0)*1,0))-INDEX(F313:Z313,MATCH(1,(F313:Z313&gt;0)*1,0)-1)),"לא מגיע לפירעון")</f>
        <v/>
      </c>
    </row>
    <row r="310">
      <c r="B310" s="25" t="inlineStr">
        <is>
          <t>NPV מצטבר — מנקודת מבט ΔCapEx (לחישוב תקופת החזר על השקעה נוספת)</t>
        </is>
      </c>
    </row>
    <row r="311">
      <c r="B311" s="32" t="inlineStr">
        <is>
          <t>פרמטר</t>
        </is>
      </c>
      <c r="C311" s="32" t="inlineStr">
        <is>
          <t>יחידות</t>
        </is>
      </c>
      <c r="D311" s="32" t="inlineStr">
        <is>
          <t>מקור</t>
        </is>
      </c>
      <c r="E311" s="32" t="inlineStr">
        <is>
          <t>הערות</t>
        </is>
      </c>
      <c r="F311" s="32" t="inlineStr">
        <is>
          <t>שנה 0</t>
        </is>
      </c>
      <c r="G311" s="32" t="inlineStr">
        <is>
          <t>שנה 1</t>
        </is>
      </c>
      <c r="H311" s="32" t="inlineStr">
        <is>
          <t>שנה 2</t>
        </is>
      </c>
      <c r="I311" s="32" t="inlineStr">
        <is>
          <t>שנה 3</t>
        </is>
      </c>
      <c r="J311" s="32" t="inlineStr">
        <is>
          <t>שנה 4</t>
        </is>
      </c>
      <c r="K311" s="32" t="inlineStr">
        <is>
          <t>שנה 5</t>
        </is>
      </c>
      <c r="L311" s="32" t="inlineStr">
        <is>
          <t>שנה 6</t>
        </is>
      </c>
      <c r="M311" s="32" t="inlineStr">
        <is>
          <t>שנה 7</t>
        </is>
      </c>
      <c r="N311" s="32" t="inlineStr">
        <is>
          <t>שנה 8</t>
        </is>
      </c>
      <c r="O311" s="32" t="inlineStr">
        <is>
          <t>שנה 9</t>
        </is>
      </c>
      <c r="P311" s="32" t="inlineStr">
        <is>
          <t>שנה 10</t>
        </is>
      </c>
      <c r="Q311" s="32" t="inlineStr">
        <is>
          <t>שנה 11</t>
        </is>
      </c>
      <c r="R311" s="32" t="inlineStr">
        <is>
          <t>שנה 12</t>
        </is>
      </c>
      <c r="S311" s="32" t="inlineStr">
        <is>
          <t>שנה 13</t>
        </is>
      </c>
      <c r="T311" s="32" t="inlineStr">
        <is>
          <t>שנה 14</t>
        </is>
      </c>
      <c r="U311" s="32" t="inlineStr">
        <is>
          <t>שנה 15</t>
        </is>
      </c>
      <c r="V311" s="32" t="inlineStr">
        <is>
          <t>שנה 16</t>
        </is>
      </c>
      <c r="W311" s="32" t="inlineStr">
        <is>
          <t>שנה 17</t>
        </is>
      </c>
      <c r="X311" s="32" t="inlineStr">
        <is>
          <t>שנה 18</t>
        </is>
      </c>
      <c r="Y311" s="32" t="inlineStr">
        <is>
          <t>שנה 19</t>
        </is>
      </c>
      <c r="Z311" s="32" t="inlineStr">
        <is>
          <t>שנה 20</t>
        </is>
      </c>
    </row>
    <row r="312">
      <c r="B312" s="2" t="inlineStr">
        <is>
          <t>NPV מצטבר ΔCF — שדרוג ללא תמריץ (B−A)</t>
        </is>
      </c>
      <c r="C312" s="9" t="inlineStr">
        <is>
          <t>₪</t>
        </is>
      </c>
      <c r="D312" s="9" t="inlineStr">
        <is>
          <t>חישוב</t>
        </is>
      </c>
      <c r="F312" s="43">
        <f>IF(ISNUMBER($F$248),-$F$248,"PENDING")</f>
        <v/>
      </c>
      <c r="G312" s="43">
        <f>F312+(G285-G277)</f>
        <v/>
      </c>
      <c r="H312" s="43">
        <f>G312+(H285-H277)</f>
        <v/>
      </c>
      <c r="I312" s="43">
        <f>H312+(I285-I277)</f>
        <v/>
      </c>
      <c r="J312" s="43">
        <f>I312+(J285-J277)</f>
        <v/>
      </c>
      <c r="K312" s="43">
        <f>J312+(K285-K277)</f>
        <v/>
      </c>
      <c r="L312" s="43">
        <f>K312+(L285-L277)</f>
        <v/>
      </c>
      <c r="M312" s="43">
        <f>L312+(M285-M277)</f>
        <v/>
      </c>
      <c r="N312" s="43">
        <f>M312+(N285-N277)</f>
        <v/>
      </c>
      <c r="O312" s="43">
        <f>N312+(O285-O277)</f>
        <v/>
      </c>
      <c r="P312" s="43">
        <f>O312+(P285-P277)</f>
        <v/>
      </c>
      <c r="Q312" s="43">
        <f>P312+(Q285-Q277)</f>
        <v/>
      </c>
      <c r="R312" s="43">
        <f>Q312+(R285-R277)</f>
        <v/>
      </c>
      <c r="S312" s="43">
        <f>R312+(S285-S277)</f>
        <v/>
      </c>
      <c r="T312" s="43">
        <f>S312+(T285-T277)</f>
        <v/>
      </c>
      <c r="U312" s="43">
        <f>T312+(U285-U277)</f>
        <v/>
      </c>
      <c r="V312" s="43">
        <f>U312+(V285-V277)</f>
        <v/>
      </c>
      <c r="W312" s="43">
        <f>V312+(W285-W277)</f>
        <v/>
      </c>
      <c r="X312" s="43">
        <f>W312+(X285-X277)</f>
        <v/>
      </c>
      <c r="Y312" s="43">
        <f>X312+(Y285-Y277)</f>
        <v/>
      </c>
      <c r="Z312" s="43">
        <f>Y312+(Z285-Z277)</f>
        <v/>
      </c>
    </row>
    <row r="313">
      <c r="B313" s="7" t="inlineStr">
        <is>
          <t>NPV מצטבר ΔCF — שדרוג עם תמריץ (C−A)</t>
        </is>
      </c>
      <c r="C313" s="9" t="inlineStr">
        <is>
          <t>₪</t>
        </is>
      </c>
      <c r="D313" s="9" t="inlineStr">
        <is>
          <t>חישוב</t>
        </is>
      </c>
      <c r="F313" s="45">
        <f>IF(ISNUMBER($F$248),-$F$248,"PENDING")</f>
        <v/>
      </c>
      <c r="G313" s="45">
        <f>F313+(G291-G277)</f>
        <v/>
      </c>
      <c r="H313" s="45">
        <f>G313+(H291-H277)</f>
        <v/>
      </c>
      <c r="I313" s="45">
        <f>H313+(I291-I277)</f>
        <v/>
      </c>
      <c r="J313" s="45">
        <f>I313+(J291-J277)</f>
        <v/>
      </c>
      <c r="K313" s="45">
        <f>J313+(K291-K277)</f>
        <v/>
      </c>
      <c r="L313" s="45">
        <f>K313+(L291-L277)</f>
        <v/>
      </c>
      <c r="M313" s="45">
        <f>L313+(M291-M277)</f>
        <v/>
      </c>
      <c r="N313" s="45">
        <f>M313+(N291-N277)</f>
        <v/>
      </c>
      <c r="O313" s="45">
        <f>N313+(O291-O277)</f>
        <v/>
      </c>
      <c r="P313" s="45">
        <f>O313+(P291-P277)</f>
        <v/>
      </c>
      <c r="Q313" s="45">
        <f>P313+(Q291-Q277)</f>
        <v/>
      </c>
      <c r="R313" s="45">
        <f>Q313+(R291-R277)</f>
        <v/>
      </c>
      <c r="S313" s="45">
        <f>R313+(S291-S277)</f>
        <v/>
      </c>
      <c r="T313" s="45">
        <f>S313+(T291-T277)</f>
        <v/>
      </c>
      <c r="U313" s="45">
        <f>T313+(U291-U277)</f>
        <v/>
      </c>
      <c r="V313" s="45">
        <f>U313+(V291-V277)</f>
        <v/>
      </c>
      <c r="W313" s="45">
        <f>V313+(W291-W277)</f>
        <v/>
      </c>
      <c r="X313" s="45">
        <f>W313+(X291-X277)</f>
        <v/>
      </c>
      <c r="Y313" s="45">
        <f>X313+(Y291-Y277)</f>
        <v/>
      </c>
      <c r="Z313" s="45">
        <f>Y313+(Z291-Z277)</f>
        <v/>
      </c>
    </row>
    <row r="317">
      <c r="B317" s="8" t="inlineStr">
        <is>
          <t>4. סיכום השוואתי לפי טכנולוגיה</t>
        </is>
      </c>
    </row>
    <row r="318">
      <c r="B318" s="23" t="inlineStr">
        <is>
          <t>* מכפיל פחת = 'נתונים והנחות'!F15 — שנה שם ותוצאות מתעדכנות אוטומטית | OPEX וCapEx ממתינים לנתוני רפי</t>
        </is>
      </c>
    </row>
    <row r="319">
      <c r="B319" s="32" t="inlineStr">
        <is>
          <t>טכנולוגיה</t>
        </is>
      </c>
      <c r="C319" s="32" t="inlineStr">
        <is>
          <t>NPV A (בסיסי)</t>
        </is>
      </c>
      <c r="D319" s="32" t="inlineStr">
        <is>
          <t>NPV B (יעיל, ללא)</t>
        </is>
      </c>
      <c r="E319" s="32" t="inlineStr">
        <is>
          <t>NPV C (יעיל, עם)</t>
        </is>
      </c>
      <c r="F319" s="32" t="inlineStr">
        <is>
          <t>ΔNPV B−A</t>
        </is>
      </c>
      <c r="G319" s="32" t="inlineStr">
        <is>
          <t>ערך תמריץ C−B</t>
        </is>
      </c>
      <c r="H319" s="32" t="inlineStr">
        <is>
          <t>ROI A</t>
        </is>
      </c>
      <c r="I319" s="32" t="inlineStr">
        <is>
          <t>ROI B</t>
        </is>
      </c>
      <c r="J319" s="32" t="inlineStr">
        <is>
          <t>ROI C</t>
        </is>
      </c>
      <c r="K319" s="32" t="inlineStr">
        <is>
          <t>החזר ΔCapEx B−A (שנים)</t>
        </is>
      </c>
      <c r="L319" s="32" t="inlineStr">
        <is>
          <t>החזר ΔCapEx C−A (שנים)</t>
        </is>
      </c>
    </row>
    <row r="320">
      <c r="B320" s="18" t="inlineStr">
        <is>
          <t>משאבות חום (חימום מים)</t>
        </is>
      </c>
      <c r="C320" s="33">
        <f>$F$73</f>
        <v/>
      </c>
      <c r="D320" s="34">
        <f>$F$74</f>
        <v/>
      </c>
      <c r="E320" s="35">
        <f>$F$75</f>
        <v/>
      </c>
      <c r="F320" s="43">
        <f>$F$77</f>
        <v/>
      </c>
      <c r="G320" s="45">
        <f>$F$78</f>
        <v/>
      </c>
      <c r="H320" s="46">
        <f>$F$80</f>
        <v/>
      </c>
      <c r="I320" s="47">
        <f>$F$81</f>
        <v/>
      </c>
      <c r="J320" s="48">
        <f>$F$82</f>
        <v/>
      </c>
      <c r="K320" s="53">
        <f>$F$84</f>
        <v/>
      </c>
      <c r="L320" s="54">
        <f>$F$85</f>
        <v/>
      </c>
    </row>
    <row r="321">
      <c r="B321" s="18" t="inlineStr">
        <is>
          <t>צ'ילרים</t>
        </is>
      </c>
      <c r="C321" s="33">
        <f>$F$147</f>
        <v/>
      </c>
      <c r="D321" s="34">
        <f>$F$148</f>
        <v/>
      </c>
      <c r="E321" s="35">
        <f>$F$149</f>
        <v/>
      </c>
      <c r="F321" s="43">
        <f>$F$151</f>
        <v/>
      </c>
      <c r="G321" s="45">
        <f>$F$152</f>
        <v/>
      </c>
      <c r="H321" s="46">
        <f>$F$154</f>
        <v/>
      </c>
      <c r="I321" s="47">
        <f>$F$155</f>
        <v/>
      </c>
      <c r="J321" s="48">
        <f>$F$156</f>
        <v/>
      </c>
      <c r="K321" s="53">
        <f>$F$158</f>
        <v/>
      </c>
      <c r="L321" s="54">
        <f>$F$159</f>
        <v/>
      </c>
    </row>
    <row r="322">
      <c r="B322" s="18" t="inlineStr">
        <is>
          <t>מדחסי VSD</t>
        </is>
      </c>
      <c r="C322" s="33">
        <f>$F$221</f>
        <v/>
      </c>
      <c r="D322" s="34">
        <f>$F$222</f>
        <v/>
      </c>
      <c r="E322" s="35">
        <f>$F$223</f>
        <v/>
      </c>
      <c r="F322" s="43">
        <f>$F$225</f>
        <v/>
      </c>
      <c r="G322" s="45">
        <f>$F$226</f>
        <v/>
      </c>
      <c r="H322" s="46">
        <f>$F$228</f>
        <v/>
      </c>
      <c r="I322" s="47">
        <f>$F$229</f>
        <v/>
      </c>
      <c r="J322" s="48">
        <f>$F$230</f>
        <v/>
      </c>
      <c r="K322" s="53">
        <f>$F$232</f>
        <v/>
      </c>
      <c r="L322" s="54">
        <f>$F$233</f>
        <v/>
      </c>
    </row>
    <row r="323">
      <c r="B323" s="18" t="inlineStr">
        <is>
          <t>מערכות קיטור חשמליות</t>
        </is>
      </c>
      <c r="C323" s="33">
        <f>$F$295</f>
        <v/>
      </c>
      <c r="D323" s="34">
        <f>$F$296</f>
        <v/>
      </c>
      <c r="E323" s="35">
        <f>$F$297</f>
        <v/>
      </c>
      <c r="F323" s="43">
        <f>$F$299</f>
        <v/>
      </c>
      <c r="G323" s="45">
        <f>$F$300</f>
        <v/>
      </c>
      <c r="H323" s="46">
        <f>$F$302</f>
        <v/>
      </c>
      <c r="I323" s="47">
        <f>$F$303</f>
        <v/>
      </c>
      <c r="J323" s="48">
        <f>$F$304</f>
        <v/>
      </c>
      <c r="K323" s="53">
        <f>$F$306</f>
        <v/>
      </c>
      <c r="L323" s="54">
        <f>$F$307</f>
        <v/>
      </c>
    </row>
    <row r="325">
      <c r="B325" s="55" t="inlineStr">
        <is>
          <t>** כל ערכי PENDING מתעדכנים אוטומטית עם קבלת נתוני רפי (CapEx, kWh, OPEX אחר)</t>
        </is>
      </c>
    </row>
  </sheetData>
  <mergeCells count="45">
    <mergeCell ref="B243:Z243"/>
    <mergeCell ref="B245:Z245"/>
    <mergeCell ref="B19:Z19"/>
    <mergeCell ref="B196:Z196"/>
    <mergeCell ref="B317:N317"/>
    <mergeCell ref="B270:Z270"/>
    <mergeCell ref="B288:Z288"/>
    <mergeCell ref="B15:H15"/>
    <mergeCell ref="B187:Z187"/>
    <mergeCell ref="B310:Z310"/>
    <mergeCell ref="B124:Z124"/>
    <mergeCell ref="B95:Z95"/>
    <mergeCell ref="B169:Z169"/>
    <mergeCell ref="B198:Z198"/>
    <mergeCell ref="B206:Z206"/>
    <mergeCell ref="B50:Z50"/>
    <mergeCell ref="B113:Z113"/>
    <mergeCell ref="B72:H72"/>
    <mergeCell ref="B97:Z97"/>
    <mergeCell ref="B280:Z280"/>
    <mergeCell ref="B261:Z261"/>
    <mergeCell ref="B220:H220"/>
    <mergeCell ref="B22:Z22"/>
    <mergeCell ref="B66:Z66"/>
    <mergeCell ref="B294:H294"/>
    <mergeCell ref="B122:Z122"/>
    <mergeCell ref="B140:Z140"/>
    <mergeCell ref="B236:Z236"/>
    <mergeCell ref="B214:Z214"/>
    <mergeCell ref="B96:Z96"/>
    <mergeCell ref="B58:Z58"/>
    <mergeCell ref="B272:Z272"/>
    <mergeCell ref="B21:Z21"/>
    <mergeCell ref="B48:Z48"/>
    <mergeCell ref="B39:Z39"/>
    <mergeCell ref="B244:Z244"/>
    <mergeCell ref="B23:Z23"/>
    <mergeCell ref="B132:Z132"/>
    <mergeCell ref="B8:Z8"/>
    <mergeCell ref="B170:Z170"/>
    <mergeCell ref="B10:H10"/>
    <mergeCell ref="B88:Z88"/>
    <mergeCell ref="B171:Z171"/>
    <mergeCell ref="B146:H146"/>
    <mergeCell ref="B162:Z1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2026-05-31T10:59:33Z</dcterms:created>
  <dcterms:modified xsi:type="dcterms:W3CDTF">2026-05-31T10:59:33Z</dcterms:modified>
</cp:coreProperties>
</file>