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נתונים והנחות" sheetId="1" state="visible" r:id="rId1"/>
    <sheet name="ניתו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"/>
    <numFmt numFmtId="166" formatCode="0.0&quot;×&quot;"/>
    <numFmt numFmtId="167" formatCode="#,##0.000"/>
    <numFmt numFmtId="168" formatCode="#,##0 ₪"/>
    <numFmt numFmtId="169" formatCode="0.0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b val="1"/>
      <color rgb="00C00000"/>
      <sz val="14"/>
    </font>
    <font>
      <name val="Arial"/>
      <i val="1"/>
      <color rgb="00595959"/>
      <sz val="9"/>
    </font>
    <font>
      <name val="Arial"/>
      <b val="1"/>
      <color rgb="00FFFFFF"/>
      <sz val="13"/>
    </font>
    <font>
      <name val="Arial"/>
      <b val="1"/>
      <color rgb="00C00000"/>
      <sz val="13"/>
    </font>
    <font>
      <name val="Arial"/>
      <i val="1"/>
      <color rgb="00FF0000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FFFFFF"/>
    </font>
    <font>
      <name val="Arial"/>
      <i val="1"/>
      <color rgb="00FF0000"/>
      <sz val="9"/>
    </font>
  </fonts>
  <fills count="1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6B6B"/>
      </patternFill>
    </fill>
    <fill>
      <patternFill patternType="solid">
        <fgColor rgb="004472C4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538135"/>
      </patternFill>
    </fill>
    <fill>
      <patternFill patternType="solid">
        <fgColor rgb="002E75B6"/>
      </patternFill>
    </fill>
    <fill>
      <patternFill patternType="solid">
        <fgColor rgb="007B6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right" vertical="center" readingOrder="2"/>
    </xf>
    <xf numFmtId="0" fontId="2" fillId="3" borderId="0" applyAlignment="1" pivotButton="0" quotePrefix="0" xfId="0">
      <alignment horizontal="right" vertical="center" readingOrder="2"/>
    </xf>
    <xf numFmtId="0" fontId="2" fillId="4" borderId="0" applyAlignment="1" pivotButton="0" quotePrefix="0" xfId="0">
      <alignment horizontal="right" vertical="center" readingOrder="2"/>
    </xf>
    <xf numFmtId="0" fontId="2" fillId="5" borderId="0" applyAlignment="1" pivotButton="0" quotePrefix="0" xfId="0">
      <alignment horizontal="right" vertical="center" readingOrder="2"/>
    </xf>
    <xf numFmtId="0" fontId="2" fillId="6" borderId="0" applyAlignment="1" pivotButton="0" quotePrefix="0" xfId="0">
      <alignment horizontal="right" vertical="center" readingOrder="2"/>
    </xf>
    <xf numFmtId="0" fontId="2" fillId="7" borderId="0" applyAlignment="1" pivotButton="0" quotePrefix="0" xfId="0">
      <alignment horizontal="right" vertical="center" readingOrder="2"/>
    </xf>
    <xf numFmtId="0" fontId="3" fillId="8" borderId="0" applyAlignment="1" pivotButton="0" quotePrefix="0" xfId="0">
      <alignment horizontal="right" vertical="center" readingOrder="2"/>
    </xf>
    <xf numFmtId="0" fontId="0" fillId="0" borderId="0" applyAlignment="1" pivotButton="0" quotePrefix="0" xfId="0">
      <alignment horizontal="right" vertical="center" readingOrder="2"/>
    </xf>
    <xf numFmtId="164" fontId="0" fillId="3" borderId="0" applyAlignment="1" pivotButton="0" quotePrefix="0" xfId="0">
      <alignment horizontal="center" vertical="center" readingOrder="2"/>
    </xf>
    <xf numFmtId="164" fontId="0" fillId="2" borderId="0" applyAlignment="1" pivotButton="0" quotePrefix="0" xfId="0">
      <alignment horizontal="center" vertical="center" readingOrder="2"/>
    </xf>
    <xf numFmtId="165" fontId="0" fillId="2" borderId="0" applyAlignment="1" pivotButton="0" quotePrefix="0" xfId="0">
      <alignment horizontal="center" vertical="center" readingOrder="2"/>
    </xf>
    <xf numFmtId="0" fontId="3" fillId="7" borderId="0" applyAlignment="1" pivotButton="0" quotePrefix="0" xfId="0">
      <alignment horizontal="right" vertical="center" readingOrder="2"/>
    </xf>
    <xf numFmtId="0" fontId="3" fillId="7" borderId="0" applyAlignment="1" pivotButton="0" quotePrefix="0" xfId="0">
      <alignment horizontal="center" vertical="center" readingOrder="2"/>
    </xf>
    <xf numFmtId="0" fontId="4" fillId="7" borderId="0" applyAlignment="1" pivotButton="0" quotePrefix="0" xfId="0">
      <alignment horizontal="right" vertical="center" readingOrder="2"/>
    </xf>
    <xf numFmtId="166" fontId="5" fillId="2" borderId="0" applyAlignment="1" pivotButton="0" quotePrefix="0" xfId="0">
      <alignment horizontal="center" vertical="center" readingOrder="2"/>
    </xf>
    <xf numFmtId="0" fontId="6" fillId="0" borderId="0" pivotButton="0" quotePrefix="0" xfId="0"/>
    <xf numFmtId="0" fontId="2" fillId="0" borderId="0" applyAlignment="1" pivotButton="0" quotePrefix="0" xfId="0">
      <alignment horizontal="right" vertical="center" readingOrder="2"/>
    </xf>
    <xf numFmtId="164" fontId="0" fillId="0" borderId="0" applyAlignment="1" pivotButton="0" quotePrefix="0" xfId="0">
      <alignment horizontal="center" vertical="center" readingOrder="2"/>
    </xf>
    <xf numFmtId="0" fontId="7" fillId="8" borderId="0" applyAlignment="1" pivotButton="0" quotePrefix="0" xfId="0">
      <alignment horizontal="right" vertical="center" readingOrder="2"/>
    </xf>
    <xf numFmtId="167" fontId="0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3" fillId="9" borderId="0" applyAlignment="1" pivotButton="0" quotePrefix="0" xfId="0">
      <alignment horizontal="right" vertical="center" readingOrder="2"/>
    </xf>
    <xf numFmtId="0" fontId="1" fillId="10" borderId="0" applyAlignment="1" pivotButton="0" quotePrefix="0" xfId="0">
      <alignment horizontal="right" vertical="center" readingOrder="2"/>
    </xf>
    <xf numFmtId="0" fontId="9" fillId="0" borderId="0" applyAlignment="1" pivotButton="0" quotePrefix="0" xfId="0">
      <alignment horizontal="right" vertical="center" readingOrder="2"/>
    </xf>
    <xf numFmtId="0" fontId="9" fillId="2" borderId="0" applyAlignment="1" pivotButton="0" quotePrefix="0" xfId="0">
      <alignment horizontal="center" vertical="center" readingOrder="2"/>
    </xf>
    <xf numFmtId="168" fontId="0" fillId="0" borderId="0" applyAlignment="1" pivotButton="0" quotePrefix="0" xfId="0">
      <alignment horizontal="center" vertical="center" readingOrder="2"/>
    </xf>
    <xf numFmtId="169" fontId="0" fillId="3" borderId="0" applyAlignment="1" pivotButton="0" quotePrefix="0" xfId="0">
      <alignment horizontal="center" vertical="center" readingOrder="2"/>
    </xf>
    <xf numFmtId="3" fontId="0" fillId="0" borderId="0" applyAlignment="1" pivotButton="0" quotePrefix="0" xfId="0">
      <alignment horizontal="center" vertical="center" readingOrder="2"/>
    </xf>
    <xf numFmtId="167" fontId="0" fillId="0" borderId="0" applyAlignment="1" pivotButton="0" quotePrefix="0" xfId="0">
      <alignment horizontal="center" vertical="center" readingOrder="2"/>
    </xf>
    <xf numFmtId="0" fontId="1" fillId="10" borderId="0" applyAlignment="1" pivotButton="0" quotePrefix="0" xfId="0">
      <alignment horizontal="center" vertical="center" readingOrder="2"/>
    </xf>
    <xf numFmtId="168" fontId="0" fillId="4" borderId="0" applyAlignment="1" pivotButton="0" quotePrefix="0" xfId="0">
      <alignment horizontal="center" vertical="center" readingOrder="2"/>
    </xf>
    <xf numFmtId="168" fontId="0" fillId="5" borderId="0" applyAlignment="1" pivotButton="0" quotePrefix="0" xfId="0">
      <alignment horizontal="center" vertical="center" readingOrder="2"/>
    </xf>
    <xf numFmtId="168" fontId="0" fillId="6" borderId="0" applyAlignment="1" pivotButton="0" quotePrefix="0" xfId="0">
      <alignment horizontal="center" vertical="center" readingOrder="2"/>
    </xf>
    <xf numFmtId="0" fontId="1" fillId="11" borderId="0" applyAlignment="1" pivotButton="0" quotePrefix="0" xfId="0">
      <alignment horizontal="right" vertical="center" readingOrder="2"/>
    </xf>
    <xf numFmtId="0" fontId="1" fillId="12" borderId="0" applyAlignment="1" pivotButton="0" quotePrefix="0" xfId="0">
      <alignment horizontal="right" vertical="center" readingOrder="2"/>
    </xf>
    <xf numFmtId="0" fontId="1" fillId="13" borderId="0" applyAlignment="1" pivotButton="0" quotePrefix="0" xfId="0">
      <alignment horizontal="right" vertical="center" readingOrder="2"/>
    </xf>
    <xf numFmtId="0" fontId="10" fillId="4" borderId="0" applyAlignment="1" pivotButton="0" quotePrefix="0" xfId="0">
      <alignment horizontal="right" vertical="center" readingOrder="2"/>
    </xf>
    <xf numFmtId="0" fontId="10" fillId="5" borderId="0" applyAlignment="1" pivotButton="0" quotePrefix="0" xfId="0">
      <alignment horizontal="right" vertical="center" readingOrder="2"/>
    </xf>
    <xf numFmtId="0" fontId="10" fillId="6" borderId="0" applyAlignment="1" pivotButton="0" quotePrefix="0" xfId="0">
      <alignment horizontal="right" vertical="center" readingOrder="2"/>
    </xf>
    <xf numFmtId="0" fontId="10" fillId="2" borderId="0" applyAlignment="1" pivotButton="0" quotePrefix="0" xfId="0">
      <alignment horizontal="right" vertical="center" readingOrder="2"/>
    </xf>
    <xf numFmtId="168" fontId="0" fillId="2" borderId="0" applyAlignment="1" pivotButton="0" quotePrefix="0" xfId="0">
      <alignment horizontal="center" vertical="center" readingOrder="2"/>
    </xf>
    <xf numFmtId="0" fontId="10" fillId="7" borderId="0" applyAlignment="1" pivotButton="0" quotePrefix="0" xfId="0">
      <alignment horizontal="right" vertical="center" readingOrder="2"/>
    </xf>
    <xf numFmtId="168" fontId="0" fillId="7" borderId="0" applyAlignment="1" pivotButton="0" quotePrefix="0" xfId="0">
      <alignment horizontal="center" vertical="center" readingOrder="2"/>
    </xf>
    <xf numFmtId="164" fontId="0" fillId="4" borderId="0" applyAlignment="1" pivotButton="0" quotePrefix="0" xfId="0">
      <alignment horizontal="center" vertical="center" readingOrder="2"/>
    </xf>
    <xf numFmtId="164" fontId="0" fillId="5" borderId="0" applyAlignment="1" pivotButton="0" quotePrefix="0" xfId="0">
      <alignment horizontal="center" vertical="center" readingOrder="2"/>
    </xf>
    <xf numFmtId="164" fontId="0" fillId="6" borderId="0" applyAlignment="1" pivotButton="0" quotePrefix="0" xfId="0">
      <alignment horizontal="center" vertical="center" readingOrder="2"/>
    </xf>
    <xf numFmtId="169" fontId="0" fillId="4" borderId="0" applyAlignment="1" pivotButton="0" quotePrefix="0" xfId="0">
      <alignment horizontal="center" vertical="center" readingOrder="2"/>
    </xf>
    <xf numFmtId="169" fontId="0" fillId="5" borderId="0" applyAlignment="1" pivotButton="0" quotePrefix="0" xfId="0">
      <alignment horizontal="center" vertical="center" readingOrder="2"/>
    </xf>
    <xf numFmtId="169" fontId="0" fillId="6" borderId="0" applyAlignment="1" pivotButton="0" quotePrefix="0" xfId="0">
      <alignment horizontal="center" vertical="center" readingOrder="2"/>
    </xf>
    <xf numFmtId="169" fontId="6" fillId="2" borderId="0" applyAlignment="1" pivotButton="0" quotePrefix="0" xfId="0">
      <alignment horizontal="center" vertical="center" readingOrder="2"/>
    </xf>
    <xf numFmtId="0" fontId="11" fillId="7" borderId="0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169" fontId="11" fillId="7" borderId="0" applyAlignment="1" pivotButton="0" quotePrefix="0" xfId="0">
      <alignment horizontal="center" vertical="center" readingOrder="2"/>
    </xf>
    <xf numFmtId="169" fontId="0" fillId="2" borderId="0" applyAlignment="1" pivotButton="0" quotePrefix="0" xfId="0">
      <alignment horizontal="center" vertical="center" readingOrder="2"/>
    </xf>
    <xf numFmtId="169" fontId="0" fillId="7" borderId="0" applyAlignment="1" pivotButton="0" quotePrefix="0" xfId="0">
      <alignment horizontal="center" vertical="center" readingOrder="2"/>
    </xf>
    <xf numFmtId="0" fontId="13" fillId="0" borderId="0" applyAlignment="1" pivotButton="0" quotePrefix="0" xfId="0">
      <alignment horizontal="right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25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9">
      <c r="B9" s="8" t="inlineStr">
        <is>
          <t>1. פרמטרים פיננסיים</t>
        </is>
      </c>
    </row>
    <row r="10">
      <c r="B10" s="3" t="inlineStr">
        <is>
          <t>שיעור מס חברות</t>
        </is>
      </c>
      <c r="C10" s="9" t="inlineStr">
        <is>
          <t>%</t>
        </is>
      </c>
      <c r="D10" s="9" t="inlineStr">
        <is>
          <t>רשות המסים</t>
        </is>
      </c>
      <c r="E10" s="9" t="inlineStr"/>
      <c r="F10" s="10" t="n">
        <v>0.23</v>
      </c>
    </row>
    <row r="11">
      <c r="B11" s="2" t="inlineStr">
        <is>
          <t>שיעור היוון (יזמי / פרטי)</t>
        </is>
      </c>
      <c r="C11" s="9" t="inlineStr">
        <is>
          <t>%</t>
        </is>
      </c>
      <c r="D11" s="9" t="inlineStr">
        <is>
          <t>הנחת עבודה</t>
        </is>
      </c>
      <c r="E11" s="9" t="inlineStr">
        <is>
          <t>6% לאומי / 10% תעשייתי — ממתין להחלטת דניאל</t>
        </is>
      </c>
      <c r="F11" s="11" t="n">
        <v>0.1</v>
      </c>
    </row>
    <row r="12">
      <c r="B12" s="2" t="inlineStr">
        <is>
          <t>מחיר חשמל ממוצע לתעשייה</t>
        </is>
      </c>
      <c r="C12" s="9" t="inlineStr">
        <is>
          <t>אג'/קוט"ש</t>
        </is>
      </c>
      <c r="D12" s="9" t="inlineStr">
        <is>
          <t>חברת החשמל</t>
        </is>
      </c>
      <c r="E12" s="9" t="inlineStr">
        <is>
          <t>ממוצע SMP 2024</t>
        </is>
      </c>
      <c r="F12" s="12" t="n">
        <v>14</v>
      </c>
    </row>
    <row r="14">
      <c r="B14" s="8" t="inlineStr">
        <is>
          <t>2. פרמטר תמריץ — מכפיל פחת (פחת מואץ)</t>
        </is>
      </c>
    </row>
    <row r="15">
      <c r="B15" s="13" t="inlineStr">
        <is>
          <t>מכפיל שיעור הפחת  ←  פרמטר המדיניות המרכזי</t>
        </is>
      </c>
      <c r="C15" s="14" t="inlineStr">
        <is>
          <t>מכפיל</t>
        </is>
      </c>
      <c r="D15" s="9" t="inlineStr">
        <is>
          <t>פרמטר ניתן לשינוי</t>
        </is>
      </c>
      <c r="E15" s="15" t="inlineStr">
        <is>
          <t>1.0 = ללא תמריץ | 2.0 = קפריסין (כפול, 5 שנים) | 5.0 = 2 שנים</t>
        </is>
      </c>
      <c r="F15" s="16" t="n">
        <v>2</v>
      </c>
    </row>
    <row r="16">
      <c r="B16" s="17" t="inlineStr">
        <is>
          <t>מכפיל 2.0 + פחת סטנדרטי 10% = שיעור מואץ 20%/שנה למשך 5 שנים. סה"כ ניכוי = 100% CapEx — היתרון הוא קדמות הניכוי (Time Value of Money).</t>
        </is>
      </c>
    </row>
    <row r="17">
      <c r="B17" s="17" t="inlineStr">
        <is>
          <t>דוגמאות: 1.0 = 10%/שנה × 10 שנים (סטנדרטי) | 2.0 = 20%/שנה × 5 שנים | 3.33 = 33%/שנה × 3 שנים | 5.0 = 50%/שנה × 2 שנים (מודל קפריסין/אירלנד)</t>
        </is>
      </c>
    </row>
    <row r="19">
      <c r="B19" s="8" t="inlineStr">
        <is>
          <t>3. שיעורי פחת סטנדרטיים — תקנות מס הכנסה</t>
        </is>
      </c>
    </row>
    <row r="20">
      <c r="B20" s="18" t="inlineStr">
        <is>
          <t>משאבות חום</t>
        </is>
      </c>
      <c r="C20" s="9" t="inlineStr">
        <is>
          <t>% לשנה</t>
        </is>
      </c>
      <c r="D20" s="9" t="inlineStr">
        <is>
          <t>תקנות פחת</t>
        </is>
      </c>
      <c r="E20" s="9" t="inlineStr">
        <is>
          <t>ציוד מכני</t>
        </is>
      </c>
      <c r="F20" s="19" t="n">
        <v>0.1</v>
      </c>
    </row>
    <row r="21">
      <c r="B21" s="18" t="inlineStr">
        <is>
          <t>צ'ילרים</t>
        </is>
      </c>
      <c r="C21" s="9" t="inlineStr">
        <is>
          <t>% לשנה</t>
        </is>
      </c>
      <c r="D21" s="9" t="inlineStr">
        <is>
          <t>תקנות פחת</t>
        </is>
      </c>
      <c r="E21" s="9" t="inlineStr">
        <is>
          <t>ציוד מכני</t>
        </is>
      </c>
      <c r="F21" s="19" t="n">
        <v>0.1</v>
      </c>
    </row>
    <row r="22">
      <c r="B22" s="18" t="inlineStr">
        <is>
          <t>מדחסי VSD</t>
        </is>
      </c>
      <c r="C22" s="9" t="inlineStr">
        <is>
          <t>% לשנה</t>
        </is>
      </c>
      <c r="D22" s="9" t="inlineStr">
        <is>
          <t>תקנות פחת</t>
        </is>
      </c>
      <c r="E22" s="9" t="inlineStr">
        <is>
          <t>ציוד מכני</t>
        </is>
      </c>
      <c r="F22" s="19" t="n">
        <v>0.1</v>
      </c>
    </row>
    <row r="23">
      <c r="B23" s="18" t="inlineStr">
        <is>
          <t>מערכות קיטור</t>
        </is>
      </c>
      <c r="C23" s="9" t="inlineStr">
        <is>
          <t>% לשנה</t>
        </is>
      </c>
      <c r="D23" s="9" t="inlineStr">
        <is>
          <t>תקנות פחת</t>
        </is>
      </c>
      <c r="E23" s="9" t="inlineStr">
        <is>
          <t>ציוד מכני</t>
        </is>
      </c>
      <c r="F23" s="19" t="n">
        <v>0.1</v>
      </c>
    </row>
    <row r="25">
      <c r="B25" s="17" t="inlineStr">
        <is>
          <t>* שיעורי הפחת הם הנחות עבודה — יש לוודא מול יועץ מס לפני הגשה</t>
        </is>
      </c>
    </row>
  </sheetData>
  <mergeCells count="5">
    <mergeCell ref="B14:H14"/>
    <mergeCell ref="B9:H9"/>
    <mergeCell ref="B16:F16"/>
    <mergeCell ref="B19:H19"/>
    <mergeCell ref="B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337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8">
      <c r="B8" s="20" t="inlineStr">
        <is>
          <t>ניתוח כלכלי — פחת מואץ לפי טכנולוגיה | השוואת שלושה תרחישים</t>
        </is>
      </c>
    </row>
    <row r="10">
      <c r="B10" s="8" t="inlineStr">
        <is>
          <t>1. פרמטרים פיננסיים</t>
        </is>
      </c>
    </row>
    <row r="11">
      <c r="B11" s="3" t="inlineStr">
        <is>
          <t>שיעור מס חברות</t>
        </is>
      </c>
      <c r="C11" s="9" t="inlineStr">
        <is>
          <t>%</t>
        </is>
      </c>
      <c r="D11" s="9" t="inlineStr">
        <is>
          <t>נתונים והנחות</t>
        </is>
      </c>
      <c r="F11" s="10">
        <f>'נתונים והנחות'!$F$10</f>
        <v/>
      </c>
    </row>
    <row r="12">
      <c r="B12" s="2" t="inlineStr">
        <is>
          <t>שיעור היוון</t>
        </is>
      </c>
      <c r="C12" s="9" t="inlineStr">
        <is>
          <t>%</t>
        </is>
      </c>
      <c r="D12" s="9" t="inlineStr">
        <is>
          <t>נתונים והנחות</t>
        </is>
      </c>
      <c r="F12" s="11">
        <f>'נתונים והנחות'!$F$11</f>
        <v/>
      </c>
    </row>
    <row r="13">
      <c r="B13" s="2" t="inlineStr">
        <is>
          <t>מחיר חשמל (₪/קוט"ש)</t>
        </is>
      </c>
      <c r="C13" s="9" t="inlineStr">
        <is>
          <t>₪/קוט"ש</t>
        </is>
      </c>
      <c r="D13" s="9" t="inlineStr">
        <is>
          <t>נתונים והנחות</t>
        </is>
      </c>
      <c r="F13" s="21">
        <f>'נתונים והנחות'!$F$12/100</f>
        <v/>
      </c>
    </row>
    <row r="15">
      <c r="B15" s="8" t="inlineStr">
        <is>
          <t>2. פרמטר תמריץ — מכפיל פחת</t>
        </is>
      </c>
    </row>
    <row r="16">
      <c r="B16" s="13" t="inlineStr">
        <is>
          <t>מכפיל שיעור הפחת  ←  שנה ב'נתונים והנחות'!F15</t>
        </is>
      </c>
      <c r="C16" s="14" t="inlineStr">
        <is>
          <t>מכפיל</t>
        </is>
      </c>
      <c r="D16" s="9" t="inlineStr">
        <is>
          <t>נתונים והנחות</t>
        </is>
      </c>
      <c r="F16" s="22">
        <f>'נתונים והנחות'!$F$15</f>
        <v/>
      </c>
    </row>
    <row r="17">
      <c r="B17" s="23" t="inlineStr">
        <is>
          <t>מכפיל × פחת סטנדרטי = שיעור מואץ | סה"כ ניכוי = 100% CapEx | תקופת פחת = 1 ÷ שיעור מואץ</t>
        </is>
      </c>
    </row>
    <row r="19">
      <c r="B19" s="8" t="inlineStr">
        <is>
          <t>3. ניתוחים לפי טכנולוגיה</t>
        </is>
      </c>
    </row>
    <row r="21">
      <c r="B21" s="24" t="inlineStr">
        <is>
          <t>3.1  משאבות חום (חימום מים)</t>
        </is>
      </c>
    </row>
    <row r="22">
      <c r="B22" s="23" t="inlineStr">
        <is>
          <t>* החלפת דוד חשמל במשאבת חום | חיסכון אנרגטי ~50% | אורך חיים: 10 vs 15 שנה</t>
        </is>
      </c>
    </row>
    <row r="23">
      <c r="B23" s="25" t="inlineStr">
        <is>
          <t>א. נתוני השקעה וציוד</t>
        </is>
      </c>
    </row>
    <row r="24">
      <c r="B24" s="18" t="inlineStr">
        <is>
          <t>CapEx — דוד חשמל קונבנציונלי</t>
        </is>
      </c>
      <c r="C24" s="9" t="inlineStr">
        <is>
          <t>₪</t>
        </is>
      </c>
      <c r="D24" s="9" t="inlineStr">
        <is>
          <t>נתוני רפי</t>
        </is>
      </c>
      <c r="E24" s="26" t="inlineStr">
        <is>
          <t>⚠ ממתין</t>
        </is>
      </c>
      <c r="F24" s="27" t="inlineStr">
        <is>
          <t>PENDING</t>
        </is>
      </c>
    </row>
    <row r="25">
      <c r="B25" s="18" t="inlineStr">
        <is>
          <t>CapEx — משאבות חום (חימום מים)</t>
        </is>
      </c>
      <c r="C25" s="9" t="inlineStr">
        <is>
          <t>₪</t>
        </is>
      </c>
      <c r="D25" s="9" t="inlineStr">
        <is>
          <t>נתוני רפי</t>
        </is>
      </c>
      <c r="E25" s="26" t="inlineStr">
        <is>
          <t>⚠ ממתין</t>
        </is>
      </c>
      <c r="F25" s="27" t="inlineStr">
        <is>
          <t>PENDING</t>
        </is>
      </c>
    </row>
    <row r="26">
      <c r="B26" s="18" t="inlineStr">
        <is>
          <t>ΔCapEx — השקעה נוספת</t>
        </is>
      </c>
      <c r="C26" s="9" t="inlineStr">
        <is>
          <t>₪</t>
        </is>
      </c>
      <c r="D26" s="9" t="inlineStr">
        <is>
          <t>חישוב</t>
        </is>
      </c>
      <c r="E26" s="9">
        <f> CapEx יעיל − CapEx בסיסי</f>
        <v/>
      </c>
      <c r="F26" s="28">
        <f>IF(ISNUMBER($F$25)*ISNUMBER($F$24),$F$25-$F$24,"PENDING")</f>
        <v/>
      </c>
    </row>
    <row r="27">
      <c r="B27" s="18" t="inlineStr">
        <is>
          <t>אורך חיי ציוד — דוד חשמל קונבנציונלי</t>
        </is>
      </c>
      <c r="C27" s="9" t="inlineStr">
        <is>
          <t>שנים</t>
        </is>
      </c>
      <c r="D27" s="9" t="inlineStr">
        <is>
          <t>ממצאי הנדסה</t>
        </is>
      </c>
      <c r="E27" s="9" t="inlineStr">
        <is>
          <t>ברירת מחדל: 15 שנה — לאשר מול רפי</t>
        </is>
      </c>
      <c r="F27" s="29" t="n">
        <v>15</v>
      </c>
    </row>
    <row r="28">
      <c r="B28" s="18" t="inlineStr">
        <is>
          <t>אורך חיי ציוד — משאבות חום (חימום מים)</t>
        </is>
      </c>
      <c r="C28" s="9" t="inlineStr">
        <is>
          <t>שנים</t>
        </is>
      </c>
      <c r="D28" s="9" t="inlineStr">
        <is>
          <t>ממצאי הנדסה</t>
        </is>
      </c>
      <c r="E28" s="9" t="inlineStr">
        <is>
          <t>ברירת מחדל: 10 שנה — לאשר מול רפי</t>
        </is>
      </c>
      <c r="F28" s="29" t="n">
        <v>10</v>
      </c>
    </row>
    <row r="29">
      <c r="B29" s="18" t="inlineStr">
        <is>
          <t>צריכת אנרגיה שנתית (ציוד בסיסי)</t>
        </is>
      </c>
      <c r="C29" s="9" t="inlineStr">
        <is>
          <t>קוט"ש/שנה</t>
        </is>
      </c>
      <c r="D29" s="9" t="inlineStr">
        <is>
          <t>נתוני רפי</t>
        </is>
      </c>
      <c r="E29" s="26" t="inlineStr">
        <is>
          <t>⚠ ממתין</t>
        </is>
      </c>
      <c r="F29" s="27" t="inlineStr">
        <is>
          <t>PENDING</t>
        </is>
      </c>
    </row>
    <row r="30">
      <c r="B30" s="18" t="inlineStr">
        <is>
          <t>חיסכון אנרגטי</t>
        </is>
      </c>
      <c r="C30" s="9" t="inlineStr">
        <is>
          <t>% מצריכה בסיסית</t>
        </is>
      </c>
      <c r="D30" s="9" t="inlineStr">
        <is>
          <t>ממצאי הנדסה</t>
        </is>
      </c>
      <c r="E30" s="9" t="inlineStr"/>
      <c r="F30" s="10" t="n">
        <v>0.5</v>
      </c>
    </row>
    <row r="31">
      <c r="B31" s="18" t="inlineStr">
        <is>
          <t>צריכת אנרגיה שנתית (ציוד יעיל)</t>
        </is>
      </c>
      <c r="C31" s="9" t="inlineStr">
        <is>
          <t>קוט"ש/שנה</t>
        </is>
      </c>
      <c r="D31" s="9" t="inlineStr">
        <is>
          <t>חישוב</t>
        </is>
      </c>
      <c r="E31" s="9">
        <f> צריכה בסיסית × (1 − חיסכון)</f>
        <v/>
      </c>
      <c r="F31" s="30">
        <f>IF(ISNUMBER($F$29),$F$29*(1-$F$30),"PENDING")</f>
        <v/>
      </c>
    </row>
    <row r="32">
      <c r="B32" s="18" t="inlineStr">
        <is>
          <t>גורם שחיקת ביצועים</t>
        </is>
      </c>
      <c r="C32" s="9" t="inlineStr">
        <is>
          <t>% לשנה</t>
        </is>
      </c>
      <c r="D32" s="9" t="inlineStr">
        <is>
          <t>הנחת עבודה</t>
        </is>
      </c>
      <c r="E32" s="9" t="inlineStr">
        <is>
          <t>ירידה שנתית בחיסכון האנרגטי | 0.5%-1.0%/שנה — לאשר מול רפי</t>
        </is>
      </c>
      <c r="F32" s="11" t="n">
        <v>0.005</v>
      </c>
    </row>
    <row r="33">
      <c r="B33" s="18" t="inlineStr">
        <is>
          <t>מחיר חשמל</t>
        </is>
      </c>
      <c r="C33" s="9" t="inlineStr">
        <is>
          <t>₪/קוט"ש</t>
        </is>
      </c>
      <c r="D33" s="9" t="inlineStr">
        <is>
          <t>גיליון הנחות</t>
        </is>
      </c>
      <c r="F33" s="31">
        <f>'נתונים והנחות'!$F$12/100</f>
        <v/>
      </c>
    </row>
    <row r="34">
      <c r="B34" s="18" t="inlineStr">
        <is>
          <t>OPEX אנרגיה — בסיסי (שנה 1)</t>
        </is>
      </c>
      <c r="C34" s="9" t="inlineStr">
        <is>
          <t>₪/שנה</t>
        </is>
      </c>
      <c r="D34" s="9" t="inlineStr">
        <is>
          <t>חישוב</t>
        </is>
      </c>
      <c r="E34" s="9">
        <f> kWh בסיסי × מחיר חשמל</f>
        <v/>
      </c>
      <c r="F34" s="28">
        <f>IF(ISNUMBER($F$29),$F$29*$F$33,"PENDING")</f>
        <v/>
      </c>
    </row>
    <row r="35">
      <c r="B35" s="18" t="inlineStr">
        <is>
          <t>OPEX אנרגיה — יעיל (שנה 1)</t>
        </is>
      </c>
      <c r="C35" s="9" t="inlineStr">
        <is>
          <t>₪/שנה</t>
        </is>
      </c>
      <c r="D35" s="9" t="inlineStr">
        <is>
          <t>חישוב</t>
        </is>
      </c>
      <c r="E35" s="9">
        <f> kWh יעיל × מחיר חשמל</f>
        <v/>
      </c>
      <c r="F35" s="28">
        <f>IF(ISNUMBER($F$31),$F$31*$F$33,"PENDING")</f>
        <v/>
      </c>
    </row>
    <row r="36">
      <c r="B36" s="18" t="inlineStr">
        <is>
          <t>OPEX אחר — בסיסי (תחזוקה, חלקים וכו')</t>
        </is>
      </c>
      <c r="C36" s="9" t="inlineStr">
        <is>
          <t>₪/שנה</t>
        </is>
      </c>
      <c r="D36" s="9" t="inlineStr">
        <is>
          <t>נתוני רפי</t>
        </is>
      </c>
      <c r="E36" s="26" t="inlineStr">
        <is>
          <t>⚠ ממתין — תחזוקה, חלפים, ביטוח</t>
        </is>
      </c>
      <c r="F36" s="27" t="inlineStr">
        <is>
          <t>PENDING</t>
        </is>
      </c>
    </row>
    <row r="37">
      <c r="B37" s="18" t="inlineStr">
        <is>
          <t>OPEX אחר — יעיל (תחזוקה, חלקים וכו')</t>
        </is>
      </c>
      <c r="C37" s="9" t="inlineStr">
        <is>
          <t>₪/שנה</t>
        </is>
      </c>
      <c r="D37" s="9" t="inlineStr">
        <is>
          <t>נתוני רפי</t>
        </is>
      </c>
      <c r="E37" s="26" t="inlineStr">
        <is>
          <t>⚠ ממתין — תחזוקה, חלפים, ביטוח</t>
        </is>
      </c>
      <c r="F37" s="27" t="inlineStr">
        <is>
          <t>PENDING</t>
        </is>
      </c>
    </row>
    <row r="39">
      <c r="B39" s="25" t="inlineStr">
        <is>
          <t>ב. לוחות פחת (ציוד בסיסי vs. יעיל)</t>
        </is>
      </c>
    </row>
    <row r="40">
      <c r="B40" s="32" t="inlineStr">
        <is>
          <t>פרמטר</t>
        </is>
      </c>
      <c r="C40" s="32" t="inlineStr">
        <is>
          <t>יחידות</t>
        </is>
      </c>
      <c r="D40" s="32" t="inlineStr">
        <is>
          <t>מקור</t>
        </is>
      </c>
      <c r="E40" s="32" t="inlineStr">
        <is>
          <t>הערות</t>
        </is>
      </c>
      <c r="F40" s="32" t="inlineStr">
        <is>
          <t>שנה 0 (השקעה)</t>
        </is>
      </c>
      <c r="G40" s="32" t="inlineStr">
        <is>
          <t>שנה 1</t>
        </is>
      </c>
      <c r="H40" s="32" t="inlineStr">
        <is>
          <t>שנה 2</t>
        </is>
      </c>
      <c r="I40" s="32" t="inlineStr">
        <is>
          <t>שנה 3</t>
        </is>
      </c>
      <c r="J40" s="32" t="inlineStr">
        <is>
          <t>שנה 4</t>
        </is>
      </c>
      <c r="K40" s="32" t="inlineStr">
        <is>
          <t>שנה 5</t>
        </is>
      </c>
      <c r="L40" s="32" t="inlineStr">
        <is>
          <t>שנה 6</t>
        </is>
      </c>
      <c r="M40" s="32" t="inlineStr">
        <is>
          <t>שנה 7</t>
        </is>
      </c>
      <c r="N40" s="32" t="inlineStr">
        <is>
          <t>שנה 8</t>
        </is>
      </c>
      <c r="O40" s="32" t="inlineStr">
        <is>
          <t>שנה 9</t>
        </is>
      </c>
      <c r="P40" s="32" t="inlineStr">
        <is>
          <t>שנה 10</t>
        </is>
      </c>
      <c r="Q40" s="32" t="inlineStr">
        <is>
          <t>שנה 11</t>
        </is>
      </c>
      <c r="R40" s="32" t="inlineStr">
        <is>
          <t>שנה 12</t>
        </is>
      </c>
      <c r="S40" s="32" t="inlineStr">
        <is>
          <t>שנה 13</t>
        </is>
      </c>
      <c r="T40" s="32" t="inlineStr">
        <is>
          <t>שנה 14</t>
        </is>
      </c>
      <c r="U40" s="32" t="inlineStr">
        <is>
          <t>שנה 15</t>
        </is>
      </c>
      <c r="V40" s="32" t="inlineStr">
        <is>
          <t>שנה 16</t>
        </is>
      </c>
      <c r="W40" s="32" t="inlineStr">
        <is>
          <t>שנה 17</t>
        </is>
      </c>
      <c r="X40" s="32" t="inlineStr">
        <is>
          <t>שנה 18</t>
        </is>
      </c>
      <c r="Y40" s="32" t="inlineStr">
        <is>
          <t>שנה 19</t>
        </is>
      </c>
      <c r="Z40" s="32" t="inlineStr">
        <is>
          <t>שנה 20</t>
        </is>
      </c>
    </row>
    <row r="41">
      <c r="B41" s="4" t="inlineStr">
        <is>
          <t>פחת סטנדרטי — דוד חשמל קונבנציונלי</t>
        </is>
      </c>
      <c r="C41" s="9" t="inlineStr">
        <is>
          <t>₪</t>
        </is>
      </c>
      <c r="D41" s="9" t="inlineStr">
        <is>
          <t>חישוב</t>
        </is>
      </c>
      <c r="E41" s="9" t="inlineStr">
        <is>
          <t>קו ישר | 10%/שנה | עד 10 שנים | CapEx בסיסי</t>
        </is>
      </c>
      <c r="F41" s="33" t="n">
        <v>0</v>
      </c>
      <c r="G41" s="33">
        <f>IF(ISNUMBER($F$24),$F$24*0.1,0)</f>
        <v/>
      </c>
      <c r="H41" s="33">
        <f>IF(ISNUMBER($F$24),$F$24*0.1,0)</f>
        <v/>
      </c>
      <c r="I41" s="33">
        <f>IF(ISNUMBER($F$24),$F$24*0.1,0)</f>
        <v/>
      </c>
      <c r="J41" s="33">
        <f>IF(ISNUMBER($F$24),$F$24*0.1,0)</f>
        <v/>
      </c>
      <c r="K41" s="33">
        <f>IF(ISNUMBER($F$24),$F$24*0.1,0)</f>
        <v/>
      </c>
      <c r="L41" s="33">
        <f>IF(ISNUMBER($F$24),$F$24*0.1,0)</f>
        <v/>
      </c>
      <c r="M41" s="33">
        <f>IF(ISNUMBER($F$24),$F$24*0.1,0)</f>
        <v/>
      </c>
      <c r="N41" s="33">
        <f>IF(ISNUMBER($F$24),$F$24*0.1,0)</f>
        <v/>
      </c>
      <c r="O41" s="33">
        <f>IF(ISNUMBER($F$24),$F$24*0.1,0)</f>
        <v/>
      </c>
      <c r="P41" s="33">
        <f>IF(ISNUMBER($F$24),$F$24*0.1,0)</f>
        <v/>
      </c>
      <c r="Q41" s="33">
        <f>0</f>
        <v/>
      </c>
      <c r="R41" s="33">
        <f>0</f>
        <v/>
      </c>
      <c r="S41" s="33">
        <f>0</f>
        <v/>
      </c>
      <c r="T41" s="33">
        <f>0</f>
        <v/>
      </c>
      <c r="U41" s="33">
        <f>0</f>
        <v/>
      </c>
      <c r="V41" s="33">
        <f>0</f>
        <v/>
      </c>
      <c r="W41" s="33">
        <f>0</f>
        <v/>
      </c>
      <c r="X41" s="33">
        <f>0</f>
        <v/>
      </c>
      <c r="Y41" s="33">
        <f>0</f>
        <v/>
      </c>
      <c r="Z41" s="33">
        <f>0</f>
        <v/>
      </c>
    </row>
    <row r="42">
      <c r="B42" s="4" t="inlineStr">
        <is>
          <t>מגן מס — דוד חשמל קונבנציונלי</t>
        </is>
      </c>
      <c r="C42" s="9" t="inlineStr">
        <is>
          <t>₪</t>
        </is>
      </c>
      <c r="D42" s="9" t="inlineStr">
        <is>
          <t>חישוב</t>
        </is>
      </c>
      <c r="E42" s="9">
        <f> פחת × שיעור מס</f>
        <v/>
      </c>
      <c r="F42" s="33" t="n">
        <v>0</v>
      </c>
      <c r="G42" s="33">
        <f>G41*'נתונים והנחות'!$F$10</f>
        <v/>
      </c>
      <c r="H42" s="33">
        <f>H41*'נתונים והנחות'!$F$10</f>
        <v/>
      </c>
      <c r="I42" s="33">
        <f>I41*'נתונים והנחות'!$F$10</f>
        <v/>
      </c>
      <c r="J42" s="33">
        <f>J41*'נתונים והנחות'!$F$10</f>
        <v/>
      </c>
      <c r="K42" s="33">
        <f>K41*'נתונים והנחות'!$F$10</f>
        <v/>
      </c>
      <c r="L42" s="33">
        <f>L41*'נתונים והנחות'!$F$10</f>
        <v/>
      </c>
      <c r="M42" s="33">
        <f>M41*'נתונים והנחות'!$F$10</f>
        <v/>
      </c>
      <c r="N42" s="33">
        <f>N41*'נתונים והנחות'!$F$10</f>
        <v/>
      </c>
      <c r="O42" s="33">
        <f>O41*'נתונים והנחות'!$F$10</f>
        <v/>
      </c>
      <c r="P42" s="33">
        <f>P41*'נתונים והנחות'!$F$10</f>
        <v/>
      </c>
      <c r="Q42" s="33">
        <f>Q41*'נתונים והנחות'!$F$10</f>
        <v/>
      </c>
      <c r="R42" s="33">
        <f>R41*'נתונים והנחות'!$F$10</f>
        <v/>
      </c>
      <c r="S42" s="33">
        <f>S41*'נתונים והנחות'!$F$10</f>
        <v/>
      </c>
      <c r="T42" s="33">
        <f>T41*'נתונים והנחות'!$F$10</f>
        <v/>
      </c>
      <c r="U42" s="33">
        <f>U41*'נתונים והנחות'!$F$10</f>
        <v/>
      </c>
      <c r="V42" s="33">
        <f>V41*'נתונים והנחות'!$F$10</f>
        <v/>
      </c>
      <c r="W42" s="33">
        <f>W41*'נתונים והנחות'!$F$10</f>
        <v/>
      </c>
      <c r="X42" s="33">
        <f>X41*'נתונים והנחות'!$F$10</f>
        <v/>
      </c>
      <c r="Y42" s="33">
        <f>Y41*'נתונים והנחות'!$F$10</f>
        <v/>
      </c>
      <c r="Z42" s="33">
        <f>Z41*'נתונים והנחות'!$F$10</f>
        <v/>
      </c>
    </row>
    <row r="43">
      <c r="B43" s="5" t="inlineStr">
        <is>
          <t>פחת סטנדרטי — משאבות חום (חימום מים)</t>
        </is>
      </c>
      <c r="C43" s="9" t="inlineStr">
        <is>
          <t>₪</t>
        </is>
      </c>
      <c r="D43" s="9" t="inlineStr">
        <is>
          <t>חישוב</t>
        </is>
      </c>
      <c r="E43" s="9" t="inlineStr">
        <is>
          <t>קו ישר | 10%/שנה | עד 10 שנים | CapEx יעיל</t>
        </is>
      </c>
      <c r="F43" s="34" t="n">
        <v>0</v>
      </c>
      <c r="G43" s="34">
        <f>IF(ISNUMBER($F$25),$F$25*0.1,0)</f>
        <v/>
      </c>
      <c r="H43" s="34">
        <f>IF(ISNUMBER($F$25),$F$25*0.1,0)</f>
        <v/>
      </c>
      <c r="I43" s="34">
        <f>IF(ISNUMBER($F$25),$F$25*0.1,0)</f>
        <v/>
      </c>
      <c r="J43" s="34">
        <f>IF(ISNUMBER($F$25),$F$25*0.1,0)</f>
        <v/>
      </c>
      <c r="K43" s="34">
        <f>IF(ISNUMBER($F$25),$F$25*0.1,0)</f>
        <v/>
      </c>
      <c r="L43" s="34">
        <f>IF(ISNUMBER($F$25),$F$25*0.1,0)</f>
        <v/>
      </c>
      <c r="M43" s="34">
        <f>IF(ISNUMBER($F$25),$F$25*0.1,0)</f>
        <v/>
      </c>
      <c r="N43" s="34">
        <f>IF(ISNUMBER($F$25),$F$25*0.1,0)</f>
        <v/>
      </c>
      <c r="O43" s="34">
        <f>IF(ISNUMBER($F$25),$F$25*0.1,0)</f>
        <v/>
      </c>
      <c r="P43" s="34">
        <f>IF(ISNUMBER($F$25),$F$25*0.1,0)</f>
        <v/>
      </c>
      <c r="Q43" s="34">
        <f>0</f>
        <v/>
      </c>
      <c r="R43" s="34">
        <f>0</f>
        <v/>
      </c>
      <c r="S43" s="34">
        <f>0</f>
        <v/>
      </c>
      <c r="T43" s="34">
        <f>0</f>
        <v/>
      </c>
      <c r="U43" s="34">
        <f>0</f>
        <v/>
      </c>
      <c r="V43" s="34">
        <f>0</f>
        <v/>
      </c>
      <c r="W43" s="34">
        <f>0</f>
        <v/>
      </c>
      <c r="X43" s="34">
        <f>0</f>
        <v/>
      </c>
      <c r="Y43" s="34">
        <f>0</f>
        <v/>
      </c>
      <c r="Z43" s="34">
        <f>0</f>
        <v/>
      </c>
    </row>
    <row r="44">
      <c r="B44" s="5" t="inlineStr">
        <is>
          <t>מגן מס סטנדרטי — משאבות חום (חימום מים)</t>
        </is>
      </c>
      <c r="C44" s="9" t="inlineStr">
        <is>
          <t>₪</t>
        </is>
      </c>
      <c r="D44" s="9" t="inlineStr">
        <is>
          <t>חישוב</t>
        </is>
      </c>
      <c r="E44" s="9">
        <f> פחת × שיעור מס</f>
        <v/>
      </c>
      <c r="F44" s="34" t="n">
        <v>0</v>
      </c>
      <c r="G44" s="34">
        <f>G43*'נתונים והנחות'!$F$10</f>
        <v/>
      </c>
      <c r="H44" s="34">
        <f>H43*'נתונים והנחות'!$F$10</f>
        <v/>
      </c>
      <c r="I44" s="34">
        <f>I43*'נתונים והנחות'!$F$10</f>
        <v/>
      </c>
      <c r="J44" s="34">
        <f>J43*'נתונים והנחות'!$F$10</f>
        <v/>
      </c>
      <c r="K44" s="34">
        <f>K43*'נתונים והנחות'!$F$10</f>
        <v/>
      </c>
      <c r="L44" s="34">
        <f>L43*'נתונים והנחות'!$F$10</f>
        <v/>
      </c>
      <c r="M44" s="34">
        <f>M43*'נתונים והנחות'!$F$10</f>
        <v/>
      </c>
      <c r="N44" s="34">
        <f>N43*'נתונים והנחות'!$F$10</f>
        <v/>
      </c>
      <c r="O44" s="34">
        <f>O43*'נתונים והנחות'!$F$10</f>
        <v/>
      </c>
      <c r="P44" s="34">
        <f>P43*'נתונים והנחות'!$F$10</f>
        <v/>
      </c>
      <c r="Q44" s="34">
        <f>Q43*'נתונים והנחות'!$F$10</f>
        <v/>
      </c>
      <c r="R44" s="34">
        <f>R43*'נתונים והנחות'!$F$10</f>
        <v/>
      </c>
      <c r="S44" s="34">
        <f>S43*'נתונים והנחות'!$F$10</f>
        <v/>
      </c>
      <c r="T44" s="34">
        <f>T43*'נתונים והנחות'!$F$10</f>
        <v/>
      </c>
      <c r="U44" s="34">
        <f>U43*'נתונים והנחות'!$F$10</f>
        <v/>
      </c>
      <c r="V44" s="34">
        <f>V43*'נתונים והנחות'!$F$10</f>
        <v/>
      </c>
      <c r="W44" s="34">
        <f>W43*'נתונים והנחות'!$F$10</f>
        <v/>
      </c>
      <c r="X44" s="34">
        <f>X43*'נתונים והנחות'!$F$10</f>
        <v/>
      </c>
      <c r="Y44" s="34">
        <f>Y43*'נתונים והנחות'!$F$10</f>
        <v/>
      </c>
      <c r="Z44" s="34">
        <f>Z43*'נתונים והנחות'!$F$10</f>
        <v/>
      </c>
    </row>
    <row r="45">
      <c r="B45" s="6" t="inlineStr">
        <is>
          <t>פחת מואץ — משאבות חום (חימום מים)</t>
        </is>
      </c>
      <c r="C45" s="9" t="inlineStr">
        <is>
          <t>₪</t>
        </is>
      </c>
      <c r="D45" s="9" t="inlineStr">
        <is>
          <t>חישוב</t>
        </is>
      </c>
      <c r="E45" s="9">
        <f> CapEx יעיל × (פחת סטנדרטי × מכפיל) | תקופה = 1 ÷ שיעור מואץ</f>
        <v/>
      </c>
      <c r="F45" s="35" t="n">
        <v>0</v>
      </c>
      <c r="G45" s="35">
        <f>IF(ISNUMBER($F$25),IF(1&lt;=ROUND(1/(0.1*'נתונים והנחות'!$F$15),0),$F$25*0.1*'נתונים והנחות'!$F$15,0),0)</f>
        <v/>
      </c>
      <c r="H45" s="35">
        <f>IF(ISNUMBER($F$25),IF(2&lt;=ROUND(1/(0.1*'נתונים והנחות'!$F$15),0),$F$25*0.1*'נתונים והנחות'!$F$15,0),0)</f>
        <v/>
      </c>
      <c r="I45" s="35">
        <f>IF(ISNUMBER($F$25),IF(3&lt;=ROUND(1/(0.1*'נתונים והנחות'!$F$15),0),$F$25*0.1*'נתונים והנחות'!$F$15,0),0)</f>
        <v/>
      </c>
      <c r="J45" s="35">
        <f>IF(ISNUMBER($F$25),IF(4&lt;=ROUND(1/(0.1*'נתונים והנחות'!$F$15),0),$F$25*0.1*'נתונים והנחות'!$F$15,0),0)</f>
        <v/>
      </c>
      <c r="K45" s="35">
        <f>IF(ISNUMBER($F$25),IF(5&lt;=ROUND(1/(0.1*'נתונים והנחות'!$F$15),0),$F$25*0.1*'נתונים והנחות'!$F$15,0),0)</f>
        <v/>
      </c>
      <c r="L45" s="35">
        <f>IF(ISNUMBER($F$25),IF(6&lt;=ROUND(1/(0.1*'נתונים והנחות'!$F$15),0),$F$25*0.1*'נתונים והנחות'!$F$15,0),0)</f>
        <v/>
      </c>
      <c r="M45" s="35">
        <f>IF(ISNUMBER($F$25),IF(7&lt;=ROUND(1/(0.1*'נתונים והנחות'!$F$15),0),$F$25*0.1*'נתונים והנחות'!$F$15,0),0)</f>
        <v/>
      </c>
      <c r="N45" s="35">
        <f>IF(ISNUMBER($F$25),IF(8&lt;=ROUND(1/(0.1*'נתונים והנחות'!$F$15),0),$F$25*0.1*'נתונים והנחות'!$F$15,0),0)</f>
        <v/>
      </c>
      <c r="O45" s="35">
        <f>IF(ISNUMBER($F$25),IF(9&lt;=ROUND(1/(0.1*'נתונים והנחות'!$F$15),0),$F$25*0.1*'נתונים והנחות'!$F$15,0),0)</f>
        <v/>
      </c>
      <c r="P45" s="35">
        <f>IF(ISNUMBER($F$25),IF(10&lt;=ROUND(1/(0.1*'נתונים והנחות'!$F$15),0),$F$25*0.1*'נתונים והנחות'!$F$15,0),0)</f>
        <v/>
      </c>
      <c r="Q45" s="35">
        <f>IF(ISNUMBER($F$25),IF(11&lt;=ROUND(1/(0.1*'נתונים והנחות'!$F$15),0),$F$25*0.1*'נתונים והנחות'!$F$15,0),0)</f>
        <v/>
      </c>
      <c r="R45" s="35">
        <f>IF(ISNUMBER($F$25),IF(12&lt;=ROUND(1/(0.1*'נתונים והנחות'!$F$15),0),$F$25*0.1*'נתונים והנחות'!$F$15,0),0)</f>
        <v/>
      </c>
      <c r="S45" s="35">
        <f>IF(ISNUMBER($F$25),IF(13&lt;=ROUND(1/(0.1*'נתונים והנחות'!$F$15),0),$F$25*0.1*'נתונים והנחות'!$F$15,0),0)</f>
        <v/>
      </c>
      <c r="T45" s="35">
        <f>IF(ISNUMBER($F$25),IF(14&lt;=ROUND(1/(0.1*'נתונים והנחות'!$F$15),0),$F$25*0.1*'נתונים והנחות'!$F$15,0),0)</f>
        <v/>
      </c>
      <c r="U45" s="35">
        <f>IF(ISNUMBER($F$25),IF(15&lt;=ROUND(1/(0.1*'נתונים והנחות'!$F$15),0),$F$25*0.1*'נתונים והנחות'!$F$15,0),0)</f>
        <v/>
      </c>
      <c r="V45" s="35">
        <f>IF(ISNUMBER($F$25),IF(16&lt;=ROUND(1/(0.1*'נתונים והנחות'!$F$15),0),$F$25*0.1*'נתונים והנחות'!$F$15,0),0)</f>
        <v/>
      </c>
      <c r="W45" s="35">
        <f>IF(ISNUMBER($F$25),IF(17&lt;=ROUND(1/(0.1*'נתונים והנחות'!$F$15),0),$F$25*0.1*'נתונים והנחות'!$F$15,0),0)</f>
        <v/>
      </c>
      <c r="X45" s="35">
        <f>IF(ISNUMBER($F$25),IF(18&lt;=ROUND(1/(0.1*'נתונים והנחות'!$F$15),0),$F$25*0.1*'נתונים והנחות'!$F$15,0),0)</f>
        <v/>
      </c>
      <c r="Y45" s="35">
        <f>IF(ISNUMBER($F$25),IF(19&lt;=ROUND(1/(0.1*'נתונים והנחות'!$F$15),0),$F$25*0.1*'נתונים והנחות'!$F$15,0),0)</f>
        <v/>
      </c>
      <c r="Z45" s="35">
        <f>IF(ISNUMBER($F$25),IF(20&lt;=ROUND(1/(0.1*'נתונים והנחות'!$F$15),0),$F$25*0.1*'נתונים והנחות'!$F$15,0),0)</f>
        <v/>
      </c>
    </row>
    <row r="46">
      <c r="B46" s="6" t="inlineStr">
        <is>
          <t>מגן מס מואץ — משאבות חום (חימום מים)</t>
        </is>
      </c>
      <c r="C46" s="9" t="inlineStr">
        <is>
          <t>₪</t>
        </is>
      </c>
      <c r="D46" s="9" t="inlineStr">
        <is>
          <t>חישוב</t>
        </is>
      </c>
      <c r="E46" s="9">
        <f> פחת מואץ × שיעור מס</f>
        <v/>
      </c>
      <c r="F46" s="35" t="n">
        <v>0</v>
      </c>
      <c r="G46" s="35">
        <f>G45*'נתונים והנחות'!$F$10</f>
        <v/>
      </c>
      <c r="H46" s="35">
        <f>H45*'נתונים והנחות'!$F$10</f>
        <v/>
      </c>
      <c r="I46" s="35">
        <f>I45*'נתונים והנחות'!$F$10</f>
        <v/>
      </c>
      <c r="J46" s="35">
        <f>J45*'נתונים והנחות'!$F$10</f>
        <v/>
      </c>
      <c r="K46" s="35">
        <f>K45*'נתונים והנחות'!$F$10</f>
        <v/>
      </c>
      <c r="L46" s="35">
        <f>L45*'נתונים והנחות'!$F$10</f>
        <v/>
      </c>
      <c r="M46" s="35">
        <f>M45*'נתונים והנחות'!$F$10</f>
        <v/>
      </c>
      <c r="N46" s="35">
        <f>N45*'נתונים והנחות'!$F$10</f>
        <v/>
      </c>
      <c r="O46" s="35">
        <f>O45*'נתונים והנחות'!$F$10</f>
        <v/>
      </c>
      <c r="P46" s="35">
        <f>P45*'נתונים והנחות'!$F$10</f>
        <v/>
      </c>
      <c r="Q46" s="35">
        <f>Q45*'נתונים והנחות'!$F$10</f>
        <v/>
      </c>
      <c r="R46" s="35">
        <f>R45*'נתונים והנחות'!$F$10</f>
        <v/>
      </c>
      <c r="S46" s="35">
        <f>S45*'נתונים והנחות'!$F$10</f>
        <v/>
      </c>
      <c r="T46" s="35">
        <f>T45*'נתונים והנחות'!$F$10</f>
        <v/>
      </c>
      <c r="U46" s="35">
        <f>U45*'נתונים והנחות'!$F$10</f>
        <v/>
      </c>
      <c r="V46" s="35">
        <f>V45*'נתונים והנחות'!$F$10</f>
        <v/>
      </c>
      <c r="W46" s="35">
        <f>W45*'נתונים והנחות'!$F$10</f>
        <v/>
      </c>
      <c r="X46" s="35">
        <f>X45*'נתונים והנחות'!$F$10</f>
        <v/>
      </c>
      <c r="Y46" s="35">
        <f>Y45*'נתונים והנחות'!$F$10</f>
        <v/>
      </c>
      <c r="Z46" s="35">
        <f>Z45*'נתונים והנחות'!$F$10</f>
        <v/>
      </c>
    </row>
    <row r="48">
      <c r="B48" s="25" t="inlineStr">
        <is>
          <t>ג. ניתוח תזרים מזומנים — שלושה תרחישים</t>
        </is>
      </c>
    </row>
    <row r="49">
      <c r="B49" s="32" t="inlineStr">
        <is>
          <t>פרמטר</t>
        </is>
      </c>
      <c r="C49" s="32" t="inlineStr">
        <is>
          <t>יחידות</t>
        </is>
      </c>
      <c r="D49" s="32" t="inlineStr">
        <is>
          <t>מקור</t>
        </is>
      </c>
      <c r="E49" s="32" t="inlineStr">
        <is>
          <t>הערות</t>
        </is>
      </c>
      <c r="F49" s="32" t="inlineStr">
        <is>
          <t>שנה 0 (השקעה)</t>
        </is>
      </c>
      <c r="G49" s="32" t="inlineStr">
        <is>
          <t>שנה 1</t>
        </is>
      </c>
      <c r="H49" s="32" t="inlineStr">
        <is>
          <t>שנה 2</t>
        </is>
      </c>
      <c r="I49" s="32" t="inlineStr">
        <is>
          <t>שנה 3</t>
        </is>
      </c>
      <c r="J49" s="32" t="inlineStr">
        <is>
          <t>שנה 4</t>
        </is>
      </c>
      <c r="K49" s="32" t="inlineStr">
        <is>
          <t>שנה 5</t>
        </is>
      </c>
      <c r="L49" s="32" t="inlineStr">
        <is>
          <t>שנה 6</t>
        </is>
      </c>
      <c r="M49" s="32" t="inlineStr">
        <is>
          <t>שנה 7</t>
        </is>
      </c>
      <c r="N49" s="32" t="inlineStr">
        <is>
          <t>שנה 8</t>
        </is>
      </c>
      <c r="O49" s="32" t="inlineStr">
        <is>
          <t>שנה 9</t>
        </is>
      </c>
      <c r="P49" s="32" t="inlineStr">
        <is>
          <t>שנה 10</t>
        </is>
      </c>
      <c r="Q49" s="32" t="inlineStr">
        <is>
          <t>שנה 11</t>
        </is>
      </c>
      <c r="R49" s="32" t="inlineStr">
        <is>
          <t>שנה 12</t>
        </is>
      </c>
      <c r="S49" s="32" t="inlineStr">
        <is>
          <t>שנה 13</t>
        </is>
      </c>
      <c r="T49" s="32" t="inlineStr">
        <is>
          <t>שנה 14</t>
        </is>
      </c>
      <c r="U49" s="32" t="inlineStr">
        <is>
          <t>שנה 15</t>
        </is>
      </c>
      <c r="V49" s="32" t="inlineStr">
        <is>
          <t>שנה 16</t>
        </is>
      </c>
      <c r="W49" s="32" t="inlineStr">
        <is>
          <t>שנה 17</t>
        </is>
      </c>
      <c r="X49" s="32" t="inlineStr">
        <is>
          <t>שנה 18</t>
        </is>
      </c>
      <c r="Y49" s="32" t="inlineStr">
        <is>
          <t>שנה 19</t>
        </is>
      </c>
      <c r="Z49" s="32" t="inlineStr">
        <is>
          <t>שנה 20</t>
        </is>
      </c>
    </row>
    <row r="50">
      <c r="B50" s="36" t="inlineStr">
        <is>
          <t>תרחיש A — רכישת דוד חשמל קונבנציונלי (ציוד קיים / לא יעיל)</t>
        </is>
      </c>
    </row>
    <row r="51">
      <c r="B51" s="4" t="inlineStr">
        <is>
          <t>השקעה ראשונית</t>
        </is>
      </c>
      <c r="C51" s="9" t="inlineStr">
        <is>
          <t>₪</t>
        </is>
      </c>
      <c r="D51" s="9" t="inlineStr">
        <is>
          <t>חישוב</t>
        </is>
      </c>
      <c r="F51" s="33">
        <f>IF(ISNUMBER($F$24),-$F$24,"PENDING")</f>
        <v/>
      </c>
    </row>
    <row r="52">
      <c r="B52" s="4" t="inlineStr">
        <is>
          <t>OPEX אנרגיה</t>
        </is>
      </c>
      <c r="C52" s="9" t="inlineStr">
        <is>
          <t>₪</t>
        </is>
      </c>
      <c r="D52" s="9" t="inlineStr">
        <is>
          <t>חישוב</t>
        </is>
      </c>
      <c r="F52" s="33" t="n">
        <v>0</v>
      </c>
      <c r="G52" s="33">
        <f>IF(ISNUMBER($F$34),-$F$34,0)</f>
        <v/>
      </c>
      <c r="H52" s="33">
        <f>IF(ISNUMBER($F$34),-$F$34,0)</f>
        <v/>
      </c>
      <c r="I52" s="33">
        <f>IF(ISNUMBER($F$34),-$F$34,0)</f>
        <v/>
      </c>
      <c r="J52" s="33">
        <f>IF(ISNUMBER($F$34),-$F$34,0)</f>
        <v/>
      </c>
      <c r="K52" s="33">
        <f>IF(ISNUMBER($F$34),-$F$34,0)</f>
        <v/>
      </c>
      <c r="L52" s="33">
        <f>IF(ISNUMBER($F$34),-$F$34,0)</f>
        <v/>
      </c>
      <c r="M52" s="33">
        <f>IF(ISNUMBER($F$34),-$F$34,0)</f>
        <v/>
      </c>
      <c r="N52" s="33">
        <f>IF(ISNUMBER($F$34),-$F$34,0)</f>
        <v/>
      </c>
      <c r="O52" s="33">
        <f>IF(ISNUMBER($F$34),-$F$34,0)</f>
        <v/>
      </c>
      <c r="P52" s="33">
        <f>IF(ISNUMBER($F$34),-$F$34,0)</f>
        <v/>
      </c>
      <c r="Q52" s="33">
        <f>IF(ISNUMBER($F$34),-$F$34,0)</f>
        <v/>
      </c>
      <c r="R52" s="33">
        <f>IF(ISNUMBER($F$34),-$F$34,0)</f>
        <v/>
      </c>
      <c r="S52" s="33">
        <f>IF(ISNUMBER($F$34),-$F$34,0)</f>
        <v/>
      </c>
      <c r="T52" s="33">
        <f>IF(ISNUMBER($F$34),-$F$34,0)</f>
        <v/>
      </c>
      <c r="U52" s="33">
        <f>IF(ISNUMBER($F$34),-$F$34,0)</f>
        <v/>
      </c>
      <c r="V52" s="33">
        <f>0</f>
        <v/>
      </c>
      <c r="W52" s="33">
        <f>0</f>
        <v/>
      </c>
      <c r="X52" s="33">
        <f>0</f>
        <v/>
      </c>
      <c r="Y52" s="33">
        <f>0</f>
        <v/>
      </c>
      <c r="Z52" s="33">
        <f>0</f>
        <v/>
      </c>
    </row>
    <row r="53">
      <c r="B53" s="4" t="inlineStr">
        <is>
          <t>OPEX אחר (תחזוקה וכו')</t>
        </is>
      </c>
      <c r="C53" s="9" t="inlineStr">
        <is>
          <t>₪</t>
        </is>
      </c>
      <c r="D53" s="9" t="inlineStr">
        <is>
          <t>חישוב</t>
        </is>
      </c>
      <c r="F53" s="33" t="n">
        <v>0</v>
      </c>
      <c r="G53" s="33">
        <f>IF(ISNUMBER($F$36),-$F$36,0)</f>
        <v/>
      </c>
      <c r="H53" s="33">
        <f>IF(ISNUMBER($F$36),-$F$36,0)</f>
        <v/>
      </c>
      <c r="I53" s="33">
        <f>IF(ISNUMBER($F$36),-$F$36,0)</f>
        <v/>
      </c>
      <c r="J53" s="33">
        <f>IF(ISNUMBER($F$36),-$F$36,0)</f>
        <v/>
      </c>
      <c r="K53" s="33">
        <f>IF(ISNUMBER($F$36),-$F$36,0)</f>
        <v/>
      </c>
      <c r="L53" s="33">
        <f>IF(ISNUMBER($F$36),-$F$36,0)</f>
        <v/>
      </c>
      <c r="M53" s="33">
        <f>IF(ISNUMBER($F$36),-$F$36,0)</f>
        <v/>
      </c>
      <c r="N53" s="33">
        <f>IF(ISNUMBER($F$36),-$F$36,0)</f>
        <v/>
      </c>
      <c r="O53" s="33">
        <f>IF(ISNUMBER($F$36),-$F$36,0)</f>
        <v/>
      </c>
      <c r="P53" s="33">
        <f>IF(ISNUMBER($F$36),-$F$36,0)</f>
        <v/>
      </c>
      <c r="Q53" s="33">
        <f>IF(ISNUMBER($F$36),-$F$36,0)</f>
        <v/>
      </c>
      <c r="R53" s="33">
        <f>IF(ISNUMBER($F$36),-$F$36,0)</f>
        <v/>
      </c>
      <c r="S53" s="33">
        <f>IF(ISNUMBER($F$36),-$F$36,0)</f>
        <v/>
      </c>
      <c r="T53" s="33">
        <f>IF(ISNUMBER($F$36),-$F$36,0)</f>
        <v/>
      </c>
      <c r="U53" s="33">
        <f>IF(ISNUMBER($F$36),-$F$36,0)</f>
        <v/>
      </c>
      <c r="V53" s="33">
        <f>0</f>
        <v/>
      </c>
      <c r="W53" s="33">
        <f>0</f>
        <v/>
      </c>
      <c r="X53" s="33">
        <f>0</f>
        <v/>
      </c>
      <c r="Y53" s="33">
        <f>0</f>
        <v/>
      </c>
      <c r="Z53" s="33">
        <f>0</f>
        <v/>
      </c>
    </row>
    <row r="54">
      <c r="B54" s="4" t="inlineStr">
        <is>
          <t>תזרים נקי — תרחיש A</t>
        </is>
      </c>
      <c r="C54" s="9" t="inlineStr">
        <is>
          <t>₪</t>
        </is>
      </c>
      <c r="D54" s="9" t="inlineStr">
        <is>
          <t>חישוב</t>
        </is>
      </c>
      <c r="F54" s="33">
        <f>F51</f>
        <v/>
      </c>
      <c r="G54" s="33">
        <f>G52+G53+G42</f>
        <v/>
      </c>
      <c r="H54" s="33">
        <f>H52+H53+H42</f>
        <v/>
      </c>
      <c r="I54" s="33">
        <f>I52+I53+I42</f>
        <v/>
      </c>
      <c r="J54" s="33">
        <f>J52+J53+J42</f>
        <v/>
      </c>
      <c r="K54" s="33">
        <f>K52+K53+K42</f>
        <v/>
      </c>
      <c r="L54" s="33">
        <f>L52+L53+L42</f>
        <v/>
      </c>
      <c r="M54" s="33">
        <f>M52+M53+M42</f>
        <v/>
      </c>
      <c r="N54" s="33">
        <f>N52+N53+N42</f>
        <v/>
      </c>
      <c r="O54" s="33">
        <f>O52+O53+O42</f>
        <v/>
      </c>
      <c r="P54" s="33">
        <f>P52+P53+P42</f>
        <v/>
      </c>
      <c r="Q54" s="33">
        <f>Q52+Q53+Q42</f>
        <v/>
      </c>
      <c r="R54" s="33">
        <f>R52+R53+R42</f>
        <v/>
      </c>
      <c r="S54" s="33">
        <f>S52+S53+S42</f>
        <v/>
      </c>
      <c r="T54" s="33">
        <f>T52+T53+T42</f>
        <v/>
      </c>
      <c r="U54" s="33">
        <f>U52+U53+U42</f>
        <v/>
      </c>
      <c r="V54" s="33">
        <f>V52+V53+V42</f>
        <v/>
      </c>
      <c r="W54" s="33">
        <f>W52+W53+W42</f>
        <v/>
      </c>
      <c r="X54" s="33">
        <f>X52+X53+X42</f>
        <v/>
      </c>
      <c r="Y54" s="33">
        <f>Y52+Y53+Y42</f>
        <v/>
      </c>
      <c r="Z54" s="33">
        <f>Z52+Z53+Z42</f>
        <v/>
      </c>
    </row>
    <row r="55">
      <c r="B55" s="4" t="inlineStr">
        <is>
          <t>תזרים מהוון — תרחיש A</t>
        </is>
      </c>
      <c r="C55" s="9" t="inlineStr">
        <is>
          <t>₪</t>
        </is>
      </c>
      <c r="D55" s="9" t="inlineStr">
        <is>
          <t>חישוב</t>
        </is>
      </c>
      <c r="F55" s="33">
        <f>F54</f>
        <v/>
      </c>
      <c r="G55" s="33">
        <f>G54/(1+'נתונים והנחות'!$F$11)^1</f>
        <v/>
      </c>
      <c r="H55" s="33">
        <f>H54/(1+'נתונים והנחות'!$F$11)^2</f>
        <v/>
      </c>
      <c r="I55" s="33">
        <f>I54/(1+'נתונים והנחות'!$F$11)^3</f>
        <v/>
      </c>
      <c r="J55" s="33">
        <f>J54/(1+'נתונים והנחות'!$F$11)^4</f>
        <v/>
      </c>
      <c r="K55" s="33">
        <f>K54/(1+'נתונים והנחות'!$F$11)^5</f>
        <v/>
      </c>
      <c r="L55" s="33">
        <f>L54/(1+'נתונים והנחות'!$F$11)^6</f>
        <v/>
      </c>
      <c r="M55" s="33">
        <f>M54/(1+'נתונים והנחות'!$F$11)^7</f>
        <v/>
      </c>
      <c r="N55" s="33">
        <f>N54/(1+'נתונים והנחות'!$F$11)^8</f>
        <v/>
      </c>
      <c r="O55" s="33">
        <f>O54/(1+'נתונים והנחות'!$F$11)^9</f>
        <v/>
      </c>
      <c r="P55" s="33">
        <f>P54/(1+'נתונים והנחות'!$F$11)^10</f>
        <v/>
      </c>
      <c r="Q55" s="33">
        <f>Q54/(1+'נתונים והנחות'!$F$11)^11</f>
        <v/>
      </c>
      <c r="R55" s="33">
        <f>R54/(1+'נתונים והנחות'!$F$11)^12</f>
        <v/>
      </c>
      <c r="S55" s="33">
        <f>S54/(1+'נתונים והנחות'!$F$11)^13</f>
        <v/>
      </c>
      <c r="T55" s="33">
        <f>T54/(1+'נתונים והנחות'!$F$11)^14</f>
        <v/>
      </c>
      <c r="U55" s="33">
        <f>U54/(1+'נתונים והנחות'!$F$11)^15</f>
        <v/>
      </c>
      <c r="V55" s="33">
        <f>V54/(1+'נתונים והנחות'!$F$11)^16</f>
        <v/>
      </c>
      <c r="W55" s="33">
        <f>W54/(1+'נתונים והנחות'!$F$11)^17</f>
        <v/>
      </c>
      <c r="X55" s="33">
        <f>X54/(1+'נתונים והנחות'!$F$11)^18</f>
        <v/>
      </c>
      <c r="Y55" s="33">
        <f>Y54/(1+'נתונים והנחות'!$F$11)^19</f>
        <v/>
      </c>
      <c r="Z55" s="33">
        <f>Z54/(1+'נתונים והנחות'!$F$11)^20</f>
        <v/>
      </c>
    </row>
    <row r="56">
      <c r="B56" s="4" t="inlineStr">
        <is>
          <t>NPV מצטבר — תרחיש A</t>
        </is>
      </c>
      <c r="C56" s="9" t="inlineStr">
        <is>
          <t>₪</t>
        </is>
      </c>
      <c r="D56" s="9" t="inlineStr">
        <is>
          <t>חישוב</t>
        </is>
      </c>
      <c r="F56" s="33">
        <f>F55</f>
        <v/>
      </c>
      <c r="G56" s="33">
        <f>F56+G55</f>
        <v/>
      </c>
      <c r="H56" s="33">
        <f>G56+H55</f>
        <v/>
      </c>
      <c r="I56" s="33">
        <f>H56+I55</f>
        <v/>
      </c>
      <c r="J56" s="33">
        <f>I56+J55</f>
        <v/>
      </c>
      <c r="K56" s="33">
        <f>J56+K55</f>
        <v/>
      </c>
      <c r="L56" s="33">
        <f>K56+L55</f>
        <v/>
      </c>
      <c r="M56" s="33">
        <f>L56+M55</f>
        <v/>
      </c>
      <c r="N56" s="33">
        <f>M56+N55</f>
        <v/>
      </c>
      <c r="O56" s="33">
        <f>N56+O55</f>
        <v/>
      </c>
      <c r="P56" s="33">
        <f>O56+P55</f>
        <v/>
      </c>
      <c r="Q56" s="33">
        <f>P56+Q55</f>
        <v/>
      </c>
      <c r="R56" s="33">
        <f>Q56+R55</f>
        <v/>
      </c>
      <c r="S56" s="33">
        <f>R56+S55</f>
        <v/>
      </c>
      <c r="T56" s="33">
        <f>S56+T55</f>
        <v/>
      </c>
      <c r="U56" s="33">
        <f>T56+U55</f>
        <v/>
      </c>
      <c r="V56" s="33">
        <f>U56+V55</f>
        <v/>
      </c>
      <c r="W56" s="33">
        <f>V56+W55</f>
        <v/>
      </c>
      <c r="X56" s="33">
        <f>W56+X55</f>
        <v/>
      </c>
      <c r="Y56" s="33">
        <f>X56+Y55</f>
        <v/>
      </c>
      <c r="Z56" s="33">
        <f>Y56+Z55</f>
        <v/>
      </c>
    </row>
    <row r="58">
      <c r="B58" s="37" t="inlineStr">
        <is>
          <t>תרחיש B — רכישת משאבות חום (חימום מים) | פחת סטנדרטי (ללא תמריץ)</t>
        </is>
      </c>
    </row>
    <row r="59">
      <c r="B59" s="5" t="inlineStr">
        <is>
          <t>השקעה ראשונית</t>
        </is>
      </c>
      <c r="C59" s="9" t="inlineStr">
        <is>
          <t>₪</t>
        </is>
      </c>
      <c r="D59" s="9" t="inlineStr">
        <is>
          <t>חישוב</t>
        </is>
      </c>
      <c r="F59" s="34">
        <f>IF(ISNUMBER($F$25),-$F$25,"PENDING")</f>
        <v/>
      </c>
    </row>
    <row r="60">
      <c r="B60" s="5" t="inlineStr">
        <is>
          <t>OPEX אנרגיה (עם שחיקה שנתית)</t>
        </is>
      </c>
      <c r="C60" s="9" t="inlineStr">
        <is>
          <t>₪</t>
        </is>
      </c>
      <c r="D60" s="9" t="inlineStr">
        <is>
          <t>חישוב</t>
        </is>
      </c>
      <c r="F60" s="34" t="n">
        <v>0</v>
      </c>
      <c r="G60" s="34">
        <f>IF(ISNUMBER($F$35),-$F$35*(1-$F$32)^0,0)</f>
        <v/>
      </c>
      <c r="H60" s="34">
        <f>IF(ISNUMBER($F$35),-$F$35*(1-$F$32)^1,0)</f>
        <v/>
      </c>
      <c r="I60" s="34">
        <f>IF(ISNUMBER($F$35),-$F$35*(1-$F$32)^2,0)</f>
        <v/>
      </c>
      <c r="J60" s="34">
        <f>IF(ISNUMBER($F$35),-$F$35*(1-$F$32)^3,0)</f>
        <v/>
      </c>
      <c r="K60" s="34">
        <f>IF(ISNUMBER($F$35),-$F$35*(1-$F$32)^4,0)</f>
        <v/>
      </c>
      <c r="L60" s="34">
        <f>IF(ISNUMBER($F$35),-$F$35*(1-$F$32)^5,0)</f>
        <v/>
      </c>
      <c r="M60" s="34">
        <f>IF(ISNUMBER($F$35),-$F$35*(1-$F$32)^6,0)</f>
        <v/>
      </c>
      <c r="N60" s="34">
        <f>IF(ISNUMBER($F$35),-$F$35*(1-$F$32)^7,0)</f>
        <v/>
      </c>
      <c r="O60" s="34">
        <f>IF(ISNUMBER($F$35),-$F$35*(1-$F$32)^8,0)</f>
        <v/>
      </c>
      <c r="P60" s="34">
        <f>IF(ISNUMBER($F$35),-$F$35*(1-$F$32)^9,0)</f>
        <v/>
      </c>
      <c r="Q60" s="34">
        <f>0</f>
        <v/>
      </c>
      <c r="R60" s="34">
        <f>0</f>
        <v/>
      </c>
      <c r="S60" s="34">
        <f>0</f>
        <v/>
      </c>
      <c r="T60" s="34">
        <f>0</f>
        <v/>
      </c>
      <c r="U60" s="34">
        <f>0</f>
        <v/>
      </c>
      <c r="V60" s="34">
        <f>0</f>
        <v/>
      </c>
      <c r="W60" s="34">
        <f>0</f>
        <v/>
      </c>
      <c r="X60" s="34">
        <f>0</f>
        <v/>
      </c>
      <c r="Y60" s="34">
        <f>0</f>
        <v/>
      </c>
      <c r="Z60" s="34">
        <f>0</f>
        <v/>
      </c>
    </row>
    <row r="61">
      <c r="B61" s="5" t="inlineStr">
        <is>
          <t>OPEX אחר (תחזוקה וכו')</t>
        </is>
      </c>
      <c r="C61" s="9" t="inlineStr">
        <is>
          <t>₪</t>
        </is>
      </c>
      <c r="D61" s="9" t="inlineStr">
        <is>
          <t>חישוב</t>
        </is>
      </c>
      <c r="F61" s="34" t="n">
        <v>0</v>
      </c>
      <c r="G61" s="34">
        <f>IF(ISNUMBER($F$37),-$F$37,0)</f>
        <v/>
      </c>
      <c r="H61" s="34">
        <f>IF(ISNUMBER($F$37),-$F$37,0)</f>
        <v/>
      </c>
      <c r="I61" s="34">
        <f>IF(ISNUMBER($F$37),-$F$37,0)</f>
        <v/>
      </c>
      <c r="J61" s="34">
        <f>IF(ISNUMBER($F$37),-$F$37,0)</f>
        <v/>
      </c>
      <c r="K61" s="34">
        <f>IF(ISNUMBER($F$37),-$F$37,0)</f>
        <v/>
      </c>
      <c r="L61" s="34">
        <f>IF(ISNUMBER($F$37),-$F$37,0)</f>
        <v/>
      </c>
      <c r="M61" s="34">
        <f>IF(ISNUMBER($F$37),-$F$37,0)</f>
        <v/>
      </c>
      <c r="N61" s="34">
        <f>IF(ISNUMBER($F$37),-$F$37,0)</f>
        <v/>
      </c>
      <c r="O61" s="34">
        <f>IF(ISNUMBER($F$37),-$F$37,0)</f>
        <v/>
      </c>
      <c r="P61" s="34">
        <f>IF(ISNUMBER($F$37),-$F$37,0)</f>
        <v/>
      </c>
      <c r="Q61" s="34">
        <f>0</f>
        <v/>
      </c>
      <c r="R61" s="34">
        <f>0</f>
        <v/>
      </c>
      <c r="S61" s="34">
        <f>0</f>
        <v/>
      </c>
      <c r="T61" s="34">
        <f>0</f>
        <v/>
      </c>
      <c r="U61" s="34">
        <f>0</f>
        <v/>
      </c>
      <c r="V61" s="34">
        <f>0</f>
        <v/>
      </c>
      <c r="W61" s="34">
        <f>0</f>
        <v/>
      </c>
      <c r="X61" s="34">
        <f>0</f>
        <v/>
      </c>
      <c r="Y61" s="34">
        <f>0</f>
        <v/>
      </c>
      <c r="Z61" s="34">
        <f>0</f>
        <v/>
      </c>
    </row>
    <row r="62">
      <c r="B62" s="5" t="inlineStr">
        <is>
          <t>תזרים נקי — תרחיש B</t>
        </is>
      </c>
      <c r="C62" s="9" t="inlineStr">
        <is>
          <t>₪</t>
        </is>
      </c>
      <c r="D62" s="9" t="inlineStr">
        <is>
          <t>חישוב</t>
        </is>
      </c>
      <c r="F62" s="34">
        <f>F59</f>
        <v/>
      </c>
      <c r="G62" s="34">
        <f>G60+G61+G44</f>
        <v/>
      </c>
      <c r="H62" s="34">
        <f>H60+H61+H44</f>
        <v/>
      </c>
      <c r="I62" s="34">
        <f>I60+I61+I44</f>
        <v/>
      </c>
      <c r="J62" s="34">
        <f>J60+J61+J44</f>
        <v/>
      </c>
      <c r="K62" s="34">
        <f>K60+K61+K44</f>
        <v/>
      </c>
      <c r="L62" s="34">
        <f>L60+L61+L44</f>
        <v/>
      </c>
      <c r="M62" s="34">
        <f>M60+M61+M44</f>
        <v/>
      </c>
      <c r="N62" s="34">
        <f>N60+N61+N44</f>
        <v/>
      </c>
      <c r="O62" s="34">
        <f>O60+O61+O44</f>
        <v/>
      </c>
      <c r="P62" s="34">
        <f>P60+P61+P44</f>
        <v/>
      </c>
      <c r="Q62" s="34">
        <f>Q60+Q61+Q44</f>
        <v/>
      </c>
      <c r="R62" s="34">
        <f>R60+R61+R44</f>
        <v/>
      </c>
      <c r="S62" s="34">
        <f>S60+S61+S44</f>
        <v/>
      </c>
      <c r="T62" s="34">
        <f>T60+T61+T44</f>
        <v/>
      </c>
      <c r="U62" s="34">
        <f>U60+U61+U44</f>
        <v/>
      </c>
      <c r="V62" s="34">
        <f>V60+V61+V44</f>
        <v/>
      </c>
      <c r="W62" s="34">
        <f>W60+W61+W44</f>
        <v/>
      </c>
      <c r="X62" s="34">
        <f>X60+X61+X44</f>
        <v/>
      </c>
      <c r="Y62" s="34">
        <f>Y60+Y61+Y44</f>
        <v/>
      </c>
      <c r="Z62" s="34">
        <f>Z60+Z61+Z44</f>
        <v/>
      </c>
    </row>
    <row r="63">
      <c r="B63" s="5" t="inlineStr">
        <is>
          <t>תזרים מהוון — תרחיש B</t>
        </is>
      </c>
      <c r="C63" s="9" t="inlineStr">
        <is>
          <t>₪</t>
        </is>
      </c>
      <c r="D63" s="9" t="inlineStr">
        <is>
          <t>חישוב</t>
        </is>
      </c>
      <c r="F63" s="34">
        <f>F62</f>
        <v/>
      </c>
      <c r="G63" s="34">
        <f>G62/(1+'נתונים והנחות'!$F$11)^1</f>
        <v/>
      </c>
      <c r="H63" s="34">
        <f>H62/(1+'נתונים והנחות'!$F$11)^2</f>
        <v/>
      </c>
      <c r="I63" s="34">
        <f>I62/(1+'נתונים והנחות'!$F$11)^3</f>
        <v/>
      </c>
      <c r="J63" s="34">
        <f>J62/(1+'נתונים והנחות'!$F$11)^4</f>
        <v/>
      </c>
      <c r="K63" s="34">
        <f>K62/(1+'נתונים והנחות'!$F$11)^5</f>
        <v/>
      </c>
      <c r="L63" s="34">
        <f>L62/(1+'נתונים והנחות'!$F$11)^6</f>
        <v/>
      </c>
      <c r="M63" s="34">
        <f>M62/(1+'נתונים והנחות'!$F$11)^7</f>
        <v/>
      </c>
      <c r="N63" s="34">
        <f>N62/(1+'נתונים והנחות'!$F$11)^8</f>
        <v/>
      </c>
      <c r="O63" s="34">
        <f>O62/(1+'נתונים והנחות'!$F$11)^9</f>
        <v/>
      </c>
      <c r="P63" s="34">
        <f>P62/(1+'נתונים והנחות'!$F$11)^10</f>
        <v/>
      </c>
      <c r="Q63" s="34">
        <f>Q62/(1+'נתונים והנחות'!$F$11)^11</f>
        <v/>
      </c>
      <c r="R63" s="34">
        <f>R62/(1+'נתונים והנחות'!$F$11)^12</f>
        <v/>
      </c>
      <c r="S63" s="34">
        <f>S62/(1+'נתונים והנחות'!$F$11)^13</f>
        <v/>
      </c>
      <c r="T63" s="34">
        <f>T62/(1+'נתונים והנחות'!$F$11)^14</f>
        <v/>
      </c>
      <c r="U63" s="34">
        <f>U62/(1+'נתונים והנחות'!$F$11)^15</f>
        <v/>
      </c>
      <c r="V63" s="34">
        <f>V62/(1+'נתונים והנחות'!$F$11)^16</f>
        <v/>
      </c>
      <c r="W63" s="34">
        <f>W62/(1+'נתונים והנחות'!$F$11)^17</f>
        <v/>
      </c>
      <c r="X63" s="34">
        <f>X62/(1+'נתונים והנחות'!$F$11)^18</f>
        <v/>
      </c>
      <c r="Y63" s="34">
        <f>Y62/(1+'נתונים והנחות'!$F$11)^19</f>
        <v/>
      </c>
      <c r="Z63" s="34">
        <f>Z62/(1+'נתונים והנחות'!$F$11)^20</f>
        <v/>
      </c>
    </row>
    <row r="64">
      <c r="B64" s="5" t="inlineStr">
        <is>
          <t>NPV מצטבר — תרחיש B</t>
        </is>
      </c>
      <c r="C64" s="9" t="inlineStr">
        <is>
          <t>₪</t>
        </is>
      </c>
      <c r="D64" s="9" t="inlineStr">
        <is>
          <t>חישוב</t>
        </is>
      </c>
      <c r="F64" s="34">
        <f>F63</f>
        <v/>
      </c>
      <c r="G64" s="34">
        <f>F64+G63</f>
        <v/>
      </c>
      <c r="H64" s="34">
        <f>G64+H63</f>
        <v/>
      </c>
      <c r="I64" s="34">
        <f>H64+I63</f>
        <v/>
      </c>
      <c r="J64" s="34">
        <f>I64+J63</f>
        <v/>
      </c>
      <c r="K64" s="34">
        <f>J64+K63</f>
        <v/>
      </c>
      <c r="L64" s="34">
        <f>K64+L63</f>
        <v/>
      </c>
      <c r="M64" s="34">
        <f>L64+M63</f>
        <v/>
      </c>
      <c r="N64" s="34">
        <f>M64+N63</f>
        <v/>
      </c>
      <c r="O64" s="34">
        <f>N64+O63</f>
        <v/>
      </c>
      <c r="P64" s="34">
        <f>O64+P63</f>
        <v/>
      </c>
      <c r="Q64" s="34">
        <f>P64+Q63</f>
        <v/>
      </c>
      <c r="R64" s="34">
        <f>Q64+R63</f>
        <v/>
      </c>
      <c r="S64" s="34">
        <f>R64+S63</f>
        <v/>
      </c>
      <c r="T64" s="34">
        <f>S64+T63</f>
        <v/>
      </c>
      <c r="U64" s="34">
        <f>T64+U63</f>
        <v/>
      </c>
      <c r="V64" s="34">
        <f>U64+V63</f>
        <v/>
      </c>
      <c r="W64" s="34">
        <f>V64+W63</f>
        <v/>
      </c>
      <c r="X64" s="34">
        <f>W64+X63</f>
        <v/>
      </c>
      <c r="Y64" s="34">
        <f>X64+Y63</f>
        <v/>
      </c>
      <c r="Z64" s="34">
        <f>Y64+Z63</f>
        <v/>
      </c>
    </row>
    <row r="66">
      <c r="B66" s="38" t="inlineStr">
        <is>
          <t>תרחיש C — רכישת משאבות חום (חימום מים) | פחת מואץ (עם תמריץ)</t>
        </is>
      </c>
    </row>
    <row r="67">
      <c r="B67" s="23" t="inlineStr">
        <is>
          <t>* OPEX זהה לתרחיש B — ההבדל הוא מגן המס המואץ בלבד</t>
        </is>
      </c>
    </row>
    <row r="68">
      <c r="B68" s="6" t="inlineStr">
        <is>
          <t>תזרים נקי — תרחיש C</t>
        </is>
      </c>
      <c r="C68" s="9" t="inlineStr">
        <is>
          <t>₪</t>
        </is>
      </c>
      <c r="D68" s="9" t="inlineStr">
        <is>
          <t>חישוב</t>
        </is>
      </c>
      <c r="F68" s="35">
        <f>F59</f>
        <v/>
      </c>
      <c r="G68" s="35">
        <f>G60+G61+G46</f>
        <v/>
      </c>
      <c r="H68" s="35">
        <f>H60+H61+H46</f>
        <v/>
      </c>
      <c r="I68" s="35">
        <f>I60+I61+I46</f>
        <v/>
      </c>
      <c r="J68" s="35">
        <f>J60+J61+J46</f>
        <v/>
      </c>
      <c r="K68" s="35">
        <f>K60+K61+K46</f>
        <v/>
      </c>
      <c r="L68" s="35">
        <f>L60+L61+L46</f>
        <v/>
      </c>
      <c r="M68" s="35">
        <f>M60+M61+M46</f>
        <v/>
      </c>
      <c r="N68" s="35">
        <f>N60+N61+N46</f>
        <v/>
      </c>
      <c r="O68" s="35">
        <f>O60+O61+O46</f>
        <v/>
      </c>
      <c r="P68" s="35">
        <f>P60+P61+P46</f>
        <v/>
      </c>
      <c r="Q68" s="35">
        <f>Q60+Q61+Q46</f>
        <v/>
      </c>
      <c r="R68" s="35">
        <f>R60+R61+R46</f>
        <v/>
      </c>
      <c r="S68" s="35">
        <f>S60+S61+S46</f>
        <v/>
      </c>
      <c r="T68" s="35">
        <f>T60+T61+T46</f>
        <v/>
      </c>
      <c r="U68" s="35">
        <f>U60+U61+U46</f>
        <v/>
      </c>
      <c r="V68" s="35">
        <f>V60+V61+V46</f>
        <v/>
      </c>
      <c r="W68" s="35">
        <f>W60+W61+W46</f>
        <v/>
      </c>
      <c r="X68" s="35">
        <f>X60+X61+X46</f>
        <v/>
      </c>
      <c r="Y68" s="35">
        <f>Y60+Y61+Y46</f>
        <v/>
      </c>
      <c r="Z68" s="35">
        <f>Z60+Z61+Z46</f>
        <v/>
      </c>
    </row>
    <row r="69">
      <c r="B69" s="6" t="inlineStr">
        <is>
          <t>תזרים מהוון — תרחיש C</t>
        </is>
      </c>
      <c r="C69" s="9" t="inlineStr">
        <is>
          <t>₪</t>
        </is>
      </c>
      <c r="D69" s="9" t="inlineStr">
        <is>
          <t>חישוב</t>
        </is>
      </c>
      <c r="F69" s="35">
        <f>F68</f>
        <v/>
      </c>
      <c r="G69" s="35">
        <f>G68/(1+'נתונים והנחות'!$F$11)^1</f>
        <v/>
      </c>
      <c r="H69" s="35">
        <f>H68/(1+'נתונים והנחות'!$F$11)^2</f>
        <v/>
      </c>
      <c r="I69" s="35">
        <f>I68/(1+'נתונים והנחות'!$F$11)^3</f>
        <v/>
      </c>
      <c r="J69" s="35">
        <f>J68/(1+'נתונים והנחות'!$F$11)^4</f>
        <v/>
      </c>
      <c r="K69" s="35">
        <f>K68/(1+'נתונים והנחות'!$F$11)^5</f>
        <v/>
      </c>
      <c r="L69" s="35">
        <f>L68/(1+'נתונים והנחות'!$F$11)^6</f>
        <v/>
      </c>
      <c r="M69" s="35">
        <f>M68/(1+'נתונים והנחות'!$F$11)^7</f>
        <v/>
      </c>
      <c r="N69" s="35">
        <f>N68/(1+'נתונים והנחות'!$F$11)^8</f>
        <v/>
      </c>
      <c r="O69" s="35">
        <f>O68/(1+'נתונים והנחות'!$F$11)^9</f>
        <v/>
      </c>
      <c r="P69" s="35">
        <f>P68/(1+'נתונים והנחות'!$F$11)^10</f>
        <v/>
      </c>
      <c r="Q69" s="35">
        <f>Q68/(1+'נתונים והנחות'!$F$11)^11</f>
        <v/>
      </c>
      <c r="R69" s="35">
        <f>R68/(1+'נתונים והנחות'!$F$11)^12</f>
        <v/>
      </c>
      <c r="S69" s="35">
        <f>S68/(1+'נתונים והנחות'!$F$11)^13</f>
        <v/>
      </c>
      <c r="T69" s="35">
        <f>T68/(1+'נתונים והנחות'!$F$11)^14</f>
        <v/>
      </c>
      <c r="U69" s="35">
        <f>U68/(1+'נתונים והנחות'!$F$11)^15</f>
        <v/>
      </c>
      <c r="V69" s="35">
        <f>V68/(1+'נתונים והנחות'!$F$11)^16</f>
        <v/>
      </c>
      <c r="W69" s="35">
        <f>W68/(1+'נתונים והנחות'!$F$11)^17</f>
        <v/>
      </c>
      <c r="X69" s="35">
        <f>X68/(1+'נתונים והנחות'!$F$11)^18</f>
        <v/>
      </c>
      <c r="Y69" s="35">
        <f>Y68/(1+'נתונים והנחות'!$F$11)^19</f>
        <v/>
      </c>
      <c r="Z69" s="35">
        <f>Z68/(1+'נתונים והנחות'!$F$11)^20</f>
        <v/>
      </c>
    </row>
    <row r="70">
      <c r="B70" s="6" t="inlineStr">
        <is>
          <t>NPV מצטבר — תרחיש C</t>
        </is>
      </c>
      <c r="C70" s="9" t="inlineStr">
        <is>
          <t>₪</t>
        </is>
      </c>
      <c r="D70" s="9" t="inlineStr">
        <is>
          <t>חישוב</t>
        </is>
      </c>
      <c r="F70" s="35">
        <f>F69</f>
        <v/>
      </c>
      <c r="G70" s="35">
        <f>F70+G69</f>
        <v/>
      </c>
      <c r="H70" s="35">
        <f>G70+H69</f>
        <v/>
      </c>
      <c r="I70" s="35">
        <f>H70+I69</f>
        <v/>
      </c>
      <c r="J70" s="35">
        <f>I70+J69</f>
        <v/>
      </c>
      <c r="K70" s="35">
        <f>J70+K69</f>
        <v/>
      </c>
      <c r="L70" s="35">
        <f>K70+L69</f>
        <v/>
      </c>
      <c r="M70" s="35">
        <f>L70+M69</f>
        <v/>
      </c>
      <c r="N70" s="35">
        <f>M70+N69</f>
        <v/>
      </c>
      <c r="O70" s="35">
        <f>N70+O69</f>
        <v/>
      </c>
      <c r="P70" s="35">
        <f>O70+P69</f>
        <v/>
      </c>
      <c r="Q70" s="35">
        <f>P70+Q69</f>
        <v/>
      </c>
      <c r="R70" s="35">
        <f>Q70+R69</f>
        <v/>
      </c>
      <c r="S70" s="35">
        <f>R70+S69</f>
        <v/>
      </c>
      <c r="T70" s="35">
        <f>S70+T69</f>
        <v/>
      </c>
      <c r="U70" s="35">
        <f>T70+U69</f>
        <v/>
      </c>
      <c r="V70" s="35">
        <f>U70+V69</f>
        <v/>
      </c>
      <c r="W70" s="35">
        <f>V70+W69</f>
        <v/>
      </c>
      <c r="X70" s="35">
        <f>W70+X69</f>
        <v/>
      </c>
      <c r="Y70" s="35">
        <f>X70+Y69</f>
        <v/>
      </c>
      <c r="Z70" s="35">
        <f>Y70+Z69</f>
        <v/>
      </c>
    </row>
    <row r="72">
      <c r="B72" s="25" t="inlineStr">
        <is>
          <t>ד. תוצאות</t>
        </is>
      </c>
    </row>
    <row r="73">
      <c r="B73" s="39" t="inlineStr">
        <is>
          <t>NPV — תרחיש A (דוד חשמל קונבנציונלי)</t>
        </is>
      </c>
      <c r="C73" s="9" t="inlineStr">
        <is>
          <t>ש"ח</t>
        </is>
      </c>
      <c r="F73" s="33">
        <f>SUM(F55:Z55)</f>
        <v/>
      </c>
    </row>
    <row r="74">
      <c r="B74" s="40" t="inlineStr">
        <is>
          <t>NPV — תרחיש B (משאבות חום (חימום מים), ללא תמריץ)</t>
        </is>
      </c>
      <c r="C74" s="9" t="inlineStr">
        <is>
          <t>ש"ח</t>
        </is>
      </c>
      <c r="F74" s="34">
        <f>SUM(F63:Z63)</f>
        <v/>
      </c>
    </row>
    <row r="75">
      <c r="B75" s="41" t="inlineStr">
        <is>
          <t>NPV — תרחיש C (משאבות חום (חימום מים), עם תמריץ)</t>
        </is>
      </c>
      <c r="C75" s="9" t="inlineStr">
        <is>
          <t>ש"ח</t>
        </is>
      </c>
      <c r="F75" s="35">
        <f>SUM(F69:Z69)</f>
        <v/>
      </c>
    </row>
    <row r="77">
      <c r="B77" s="42" t="inlineStr">
        <is>
          <t>NPV מצטבר — הצדקת השדרוג (B−A)</t>
        </is>
      </c>
      <c r="C77" s="9" t="inlineStr">
        <is>
          <t>ש"ח</t>
        </is>
      </c>
      <c r="F77" s="43">
        <f>F74-F73</f>
        <v/>
      </c>
    </row>
    <row r="78">
      <c r="B78" s="44" t="inlineStr">
        <is>
          <t>ערך התמריץ — תועלת הפחת המואץ (C−B)</t>
        </is>
      </c>
      <c r="C78" s="9" t="inlineStr">
        <is>
          <t>ש"ח</t>
        </is>
      </c>
      <c r="F78" s="45">
        <f>F75-F74</f>
        <v/>
      </c>
    </row>
    <row r="80">
      <c r="B80" s="39" t="inlineStr">
        <is>
          <t>ROI — תרחיש A</t>
        </is>
      </c>
      <c r="C80" s="9" t="inlineStr">
        <is>
          <t>%</t>
        </is>
      </c>
      <c r="F80" s="46">
        <f>IF(ISNUMBER($F$24),(SUM(F55:Z55)+$F$24)/$F$24,"PENDING")</f>
        <v/>
      </c>
    </row>
    <row r="81">
      <c r="B81" s="40" t="inlineStr">
        <is>
          <t>ROI — תרחיש B</t>
        </is>
      </c>
      <c r="C81" s="9" t="inlineStr">
        <is>
          <t>%</t>
        </is>
      </c>
      <c r="F81" s="47">
        <f>IF(ISNUMBER($F$25),(SUM(F63:Z63)+$F$25)/$F$25,"PENDING")</f>
        <v/>
      </c>
    </row>
    <row r="82">
      <c r="B82" s="41" t="inlineStr">
        <is>
          <t>ROI — תרחיש C</t>
        </is>
      </c>
      <c r="C82" s="9" t="inlineStr">
        <is>
          <t>%</t>
        </is>
      </c>
      <c r="F82" s="48">
        <f>IF(ISNUMBER($F$25),(SUM(F69:Z69)+$F$25)/$F$25,"PENDING")</f>
        <v/>
      </c>
    </row>
    <row r="84">
      <c r="B84" s="39" t="inlineStr">
        <is>
          <t>תקופת החזר A (NPV)</t>
        </is>
      </c>
      <c r="C84" s="9" t="inlineStr">
        <is>
          <t>שנים</t>
        </is>
      </c>
      <c r="F84" s="49">
        <f>IFERROR(MATCH(1,(F56:Z56&gt;0)*1,0)-2+ABS(INDEX(F56:Z56,MATCH(1,(F56:Z56&gt;0)*1,0)-1))/(INDEX(F56:Z56,MATCH(1,(F56:Z56&gt;0)*1,0))-INDEX(F56:Z56,MATCH(1,(F56:Z56&gt;0)*1,0)-1)),"לא מגיע לפירעון")</f>
        <v/>
      </c>
    </row>
    <row r="85">
      <c r="B85" s="40" t="inlineStr">
        <is>
          <t>תקופת החזר B — CapEx יעיל (NPV)</t>
        </is>
      </c>
      <c r="C85" s="9" t="inlineStr">
        <is>
          <t>שנים</t>
        </is>
      </c>
      <c r="F85" s="50">
        <f>IFERROR(MATCH(1,(F64:Z64&gt;0)*1,0)-2+ABS(INDEX(F64:Z64,MATCH(1,(F64:Z64&gt;0)*1,0)-1))/(INDEX(F64:Z64,MATCH(1,(F64:Z64&gt;0)*1,0))-INDEX(F64:Z64,MATCH(1,(F64:Z64&gt;0)*1,0)-1)),"לא מגיע לפירעון")</f>
        <v/>
      </c>
    </row>
    <row r="86">
      <c r="B86" s="41" t="inlineStr">
        <is>
          <t>תקופת החזר C — CapEx יעיל + תמריץ (NPV)</t>
        </is>
      </c>
      <c r="C86" s="9" t="inlineStr">
        <is>
          <t>שנים</t>
        </is>
      </c>
      <c r="F86" s="51">
        <f>IFERROR(MATCH(1,(F70:Z70&gt;0)*1,0)-2+ABS(INDEX(F70:Z70,MATCH(1,(F70:Z70&gt;0)*1,0)-1))/(INDEX(F70:Z70,MATCH(1,(F70:Z70&gt;0)*1,0))-INDEX(F70:Z70,MATCH(1,(F70:Z70&gt;0)*1,0)-1)),"לא מגיע לפירעון")</f>
        <v/>
      </c>
    </row>
    <row r="87">
      <c r="B87" s="42" t="inlineStr">
        <is>
          <t>תקופת החזר ΔCapEx ללא תמריץ (B−A)</t>
        </is>
      </c>
      <c r="C87" s="9" t="inlineStr">
        <is>
          <t>שנים</t>
        </is>
      </c>
      <c r="E87" s="23" t="inlineStr">
        <is>
          <t>זמן להחזר ההשקעה הנוספת | מחושב על ΔCF = CF_B − CF_A</t>
        </is>
      </c>
      <c r="F87" s="52">
        <f>IFERROR(MATCH(1,(F93:Z93&gt;0)*1,0)-2+ABS(INDEX(F93:Z93,MATCH(1,(F93:Z93&gt;0)*1,0)-1))/(INDEX(F93:Z93,MATCH(1,(F93:Z93&gt;0)*1,0))-INDEX(F93:Z93,MATCH(1,(F93:Z93&gt;0)*1,0)-1)),"לא מגיע לפירעון")</f>
        <v/>
      </c>
    </row>
    <row r="88">
      <c r="B88" s="53" t="inlineStr">
        <is>
          <t>תקופת החזר ΔCapEx עם תמריץ (C−A)</t>
        </is>
      </c>
      <c r="C88" s="54" t="inlineStr">
        <is>
          <t>שנים</t>
        </is>
      </c>
      <c r="E88" s="23" t="inlineStr">
        <is>
          <t>כולל יתרון מגן המס המואץ | מחושב על ΔCF = CF_C − CF_A</t>
        </is>
      </c>
      <c r="F88" s="55">
        <f>IFERROR(MATCH(1,(F94:Z94&gt;0)*1,0)-2+ABS(INDEX(F94:Z94,MATCH(1,(F94:Z94&gt;0)*1,0)-1))/(INDEX(F94:Z94,MATCH(1,(F94:Z94&gt;0)*1,0))-INDEX(F94:Z94,MATCH(1,(F94:Z94&gt;0)*1,0)-1)),"לא מגיע לפירעון")</f>
        <v/>
      </c>
    </row>
    <row r="91">
      <c r="B91" s="25" t="inlineStr">
        <is>
          <t>NPV מצטבר — מנקודת מבט ΔCapEx (לחישוב תקופת החזר על השקעה נוספת)</t>
        </is>
      </c>
    </row>
    <row r="92">
      <c r="B92" s="32" t="inlineStr">
        <is>
          <t>פרמטר</t>
        </is>
      </c>
      <c r="C92" s="32" t="inlineStr">
        <is>
          <t>יחידות</t>
        </is>
      </c>
      <c r="D92" s="32" t="inlineStr">
        <is>
          <t>מקור</t>
        </is>
      </c>
      <c r="E92" s="32" t="inlineStr">
        <is>
          <t>הערות</t>
        </is>
      </c>
      <c r="F92" s="32" t="inlineStr">
        <is>
          <t>שנה 0</t>
        </is>
      </c>
      <c r="G92" s="32" t="inlineStr">
        <is>
          <t>שנה 1</t>
        </is>
      </c>
      <c r="H92" s="32" t="inlineStr">
        <is>
          <t>שנה 2</t>
        </is>
      </c>
      <c r="I92" s="32" t="inlineStr">
        <is>
          <t>שנה 3</t>
        </is>
      </c>
      <c r="J92" s="32" t="inlineStr">
        <is>
          <t>שנה 4</t>
        </is>
      </c>
      <c r="K92" s="32" t="inlineStr">
        <is>
          <t>שנה 5</t>
        </is>
      </c>
      <c r="L92" s="32" t="inlineStr">
        <is>
          <t>שנה 6</t>
        </is>
      </c>
      <c r="M92" s="32" t="inlineStr">
        <is>
          <t>שנה 7</t>
        </is>
      </c>
      <c r="N92" s="32" t="inlineStr">
        <is>
          <t>שנה 8</t>
        </is>
      </c>
      <c r="O92" s="32" t="inlineStr">
        <is>
          <t>שנה 9</t>
        </is>
      </c>
      <c r="P92" s="32" t="inlineStr">
        <is>
          <t>שנה 10</t>
        </is>
      </c>
      <c r="Q92" s="32" t="inlineStr">
        <is>
          <t>שנה 11</t>
        </is>
      </c>
      <c r="R92" s="32" t="inlineStr">
        <is>
          <t>שנה 12</t>
        </is>
      </c>
      <c r="S92" s="32" t="inlineStr">
        <is>
          <t>שנה 13</t>
        </is>
      </c>
      <c r="T92" s="32" t="inlineStr">
        <is>
          <t>שנה 14</t>
        </is>
      </c>
      <c r="U92" s="32" t="inlineStr">
        <is>
          <t>שנה 15</t>
        </is>
      </c>
      <c r="V92" s="32" t="inlineStr">
        <is>
          <t>שנה 16</t>
        </is>
      </c>
      <c r="W92" s="32" t="inlineStr">
        <is>
          <t>שנה 17</t>
        </is>
      </c>
      <c r="X92" s="32" t="inlineStr">
        <is>
          <t>שנה 18</t>
        </is>
      </c>
      <c r="Y92" s="32" t="inlineStr">
        <is>
          <t>שנה 19</t>
        </is>
      </c>
      <c r="Z92" s="32" t="inlineStr">
        <is>
          <t>שנה 20</t>
        </is>
      </c>
    </row>
    <row r="93">
      <c r="B93" s="2" t="inlineStr">
        <is>
          <t>NPV מצטבר ΔCF — שדרוג ללא תמריץ (B−A)</t>
        </is>
      </c>
      <c r="C93" s="9" t="inlineStr">
        <is>
          <t>₪</t>
        </is>
      </c>
      <c r="D93" s="9" t="inlineStr">
        <is>
          <t>חישוב</t>
        </is>
      </c>
      <c r="F93" s="43">
        <f>IF(ISNUMBER($F$26),-$F$26,"PENDING")</f>
        <v/>
      </c>
      <c r="G93" s="43">
        <f>F93+(G63-G55)</f>
        <v/>
      </c>
      <c r="H93" s="43">
        <f>G93+(H63-H55)</f>
        <v/>
      </c>
      <c r="I93" s="43">
        <f>H93+(I63-I55)</f>
        <v/>
      </c>
      <c r="J93" s="43">
        <f>I93+(J63-J55)</f>
        <v/>
      </c>
      <c r="K93" s="43">
        <f>J93+(K63-K55)</f>
        <v/>
      </c>
      <c r="L93" s="43">
        <f>K93+(L63-L55)</f>
        <v/>
      </c>
      <c r="M93" s="43">
        <f>L93+(M63-M55)</f>
        <v/>
      </c>
      <c r="N93" s="43">
        <f>M93+(N63-N55)</f>
        <v/>
      </c>
      <c r="O93" s="43">
        <f>N93+(O63-O55)</f>
        <v/>
      </c>
      <c r="P93" s="43">
        <f>O93+(P63-P55)</f>
        <v/>
      </c>
      <c r="Q93" s="43">
        <f>P93+(Q63-Q55)</f>
        <v/>
      </c>
      <c r="R93" s="43">
        <f>Q93+(R63-R55)</f>
        <v/>
      </c>
      <c r="S93" s="43">
        <f>R93+(S63-S55)</f>
        <v/>
      </c>
      <c r="T93" s="43">
        <f>S93+(T63-T55)</f>
        <v/>
      </c>
      <c r="U93" s="43">
        <f>T93+(U63-U55)</f>
        <v/>
      </c>
      <c r="V93" s="43">
        <f>U93+(V63-V55)</f>
        <v/>
      </c>
      <c r="W93" s="43">
        <f>V93+(W63-W55)</f>
        <v/>
      </c>
      <c r="X93" s="43">
        <f>W93+(X63-X55)</f>
        <v/>
      </c>
      <c r="Y93" s="43">
        <f>X93+(Y63-Y55)</f>
        <v/>
      </c>
      <c r="Z93" s="43">
        <f>Y93+(Z63-Z55)</f>
        <v/>
      </c>
    </row>
    <row r="94">
      <c r="B94" s="7" t="inlineStr">
        <is>
          <t>NPV מצטבר ΔCF — שדרוג עם תמריץ (C−A)</t>
        </is>
      </c>
      <c r="C94" s="9" t="inlineStr">
        <is>
          <t>₪</t>
        </is>
      </c>
      <c r="D94" s="9" t="inlineStr">
        <is>
          <t>חישוב</t>
        </is>
      </c>
      <c r="F94" s="45">
        <f>IF(ISNUMBER($F$26),-$F$26,"PENDING")</f>
        <v/>
      </c>
      <c r="G94" s="45">
        <f>F94+(G69-G55)</f>
        <v/>
      </c>
      <c r="H94" s="45">
        <f>G94+(H69-H55)</f>
        <v/>
      </c>
      <c r="I94" s="45">
        <f>H94+(I69-I55)</f>
        <v/>
      </c>
      <c r="J94" s="45">
        <f>I94+(J69-J55)</f>
        <v/>
      </c>
      <c r="K94" s="45">
        <f>J94+(K69-K55)</f>
        <v/>
      </c>
      <c r="L94" s="45">
        <f>K94+(L69-L55)</f>
        <v/>
      </c>
      <c r="M94" s="45">
        <f>L94+(M69-M55)</f>
        <v/>
      </c>
      <c r="N94" s="45">
        <f>M94+(N69-N55)</f>
        <v/>
      </c>
      <c r="O94" s="45">
        <f>N94+(O69-O55)</f>
        <v/>
      </c>
      <c r="P94" s="45">
        <f>O94+(P69-P55)</f>
        <v/>
      </c>
      <c r="Q94" s="45">
        <f>P94+(Q69-Q55)</f>
        <v/>
      </c>
      <c r="R94" s="45">
        <f>Q94+(R69-R55)</f>
        <v/>
      </c>
      <c r="S94" s="45">
        <f>R94+(S69-S55)</f>
        <v/>
      </c>
      <c r="T94" s="45">
        <f>S94+(T69-T55)</f>
        <v/>
      </c>
      <c r="U94" s="45">
        <f>T94+(U69-U55)</f>
        <v/>
      </c>
      <c r="V94" s="45">
        <f>U94+(V69-V55)</f>
        <v/>
      </c>
      <c r="W94" s="45">
        <f>V94+(W69-W55)</f>
        <v/>
      </c>
      <c r="X94" s="45">
        <f>W94+(X69-X55)</f>
        <v/>
      </c>
      <c r="Y94" s="45">
        <f>X94+(Y69-Y55)</f>
        <v/>
      </c>
      <c r="Z94" s="45">
        <f>Y94+(Z69-Z55)</f>
        <v/>
      </c>
    </row>
    <row r="98">
      <c r="B98" s="24" t="inlineStr">
        <is>
          <t>3.2  צ'ילרים</t>
        </is>
      </c>
    </row>
    <row r="99">
      <c r="B99" s="23" t="inlineStr">
        <is>
          <t>* שדרוג מערכת קירור תעשייתית | חיסכון ~20% | אורך חיים: 17 vs 15 שנה</t>
        </is>
      </c>
    </row>
    <row r="100">
      <c r="B100" s="25" t="inlineStr">
        <is>
          <t>א. נתוני השקעה וציוד</t>
        </is>
      </c>
    </row>
    <row r="101">
      <c r="B101" s="18" t="inlineStr">
        <is>
          <t>CapEx — מערכת קירור קונבנציונלית</t>
        </is>
      </c>
      <c r="C101" s="9" t="inlineStr">
        <is>
          <t>₪</t>
        </is>
      </c>
      <c r="D101" s="9" t="inlineStr">
        <is>
          <t>נתוני רפי</t>
        </is>
      </c>
      <c r="E101" s="26" t="inlineStr">
        <is>
          <t>⚠ ממתין</t>
        </is>
      </c>
      <c r="F101" s="27" t="inlineStr">
        <is>
          <t>PENDING</t>
        </is>
      </c>
    </row>
    <row r="102">
      <c r="B102" s="18" t="inlineStr">
        <is>
          <t>CapEx — צ'ילרים</t>
        </is>
      </c>
      <c r="C102" s="9" t="inlineStr">
        <is>
          <t>₪</t>
        </is>
      </c>
      <c r="D102" s="9" t="inlineStr">
        <is>
          <t>נתוני רפי</t>
        </is>
      </c>
      <c r="E102" s="26" t="inlineStr">
        <is>
          <t>⚠ ממתין</t>
        </is>
      </c>
      <c r="F102" s="27" t="inlineStr">
        <is>
          <t>PENDING</t>
        </is>
      </c>
    </row>
    <row r="103">
      <c r="B103" s="18" t="inlineStr">
        <is>
          <t>ΔCapEx — השקעה נוספת</t>
        </is>
      </c>
      <c r="C103" s="9" t="inlineStr">
        <is>
          <t>₪</t>
        </is>
      </c>
      <c r="D103" s="9" t="inlineStr">
        <is>
          <t>חישוב</t>
        </is>
      </c>
      <c r="E103" s="9">
        <f> CapEx יעיל − CapEx בסיסי</f>
        <v/>
      </c>
      <c r="F103" s="28">
        <f>IF(ISNUMBER($F$102)*ISNUMBER($F$101),$F$102-$F$101,"PENDING")</f>
        <v/>
      </c>
    </row>
    <row r="104">
      <c r="B104" s="18" t="inlineStr">
        <is>
          <t>אורך חיי ציוד — מערכת קירור קונבנציונלית</t>
        </is>
      </c>
      <c r="C104" s="9" t="inlineStr">
        <is>
          <t>שנים</t>
        </is>
      </c>
      <c r="D104" s="9" t="inlineStr">
        <is>
          <t>ממצאי הנדסה</t>
        </is>
      </c>
      <c r="E104" s="9" t="inlineStr">
        <is>
          <t>ברירת מחדל: 15 שנה — לאשר מול רפי</t>
        </is>
      </c>
      <c r="F104" s="29" t="n">
        <v>15</v>
      </c>
    </row>
    <row r="105">
      <c r="B105" s="18" t="inlineStr">
        <is>
          <t>אורך חיי ציוד — צ'ילרים</t>
        </is>
      </c>
      <c r="C105" s="9" t="inlineStr">
        <is>
          <t>שנים</t>
        </is>
      </c>
      <c r="D105" s="9" t="inlineStr">
        <is>
          <t>ממצאי הנדסה</t>
        </is>
      </c>
      <c r="E105" s="9" t="inlineStr">
        <is>
          <t>ברירת מחדל: 17 שנה — לאשר מול רפי</t>
        </is>
      </c>
      <c r="F105" s="29" t="n">
        <v>17</v>
      </c>
    </row>
    <row r="106">
      <c r="B106" s="18" t="inlineStr">
        <is>
          <t>צריכת אנרגיה שנתית (ציוד בסיסי)</t>
        </is>
      </c>
      <c r="C106" s="9" t="inlineStr">
        <is>
          <t>קוט"ש/שנה</t>
        </is>
      </c>
      <c r="D106" s="9" t="inlineStr">
        <is>
          <t>נתוני רפי</t>
        </is>
      </c>
      <c r="E106" s="26" t="inlineStr">
        <is>
          <t>⚠ ממתין</t>
        </is>
      </c>
      <c r="F106" s="27" t="inlineStr">
        <is>
          <t>PENDING</t>
        </is>
      </c>
    </row>
    <row r="107">
      <c r="B107" s="18" t="inlineStr">
        <is>
          <t>חיסכון אנרגטי</t>
        </is>
      </c>
      <c r="C107" s="9" t="inlineStr">
        <is>
          <t>% מצריכה בסיסית</t>
        </is>
      </c>
      <c r="D107" s="9" t="inlineStr">
        <is>
          <t>ממצאי הנדסה</t>
        </is>
      </c>
      <c r="E107" s="9" t="inlineStr"/>
      <c r="F107" s="10" t="n">
        <v>0.2</v>
      </c>
    </row>
    <row r="108">
      <c r="B108" s="18" t="inlineStr">
        <is>
          <t>צריכת אנרגיה שנתית (ציוד יעיל)</t>
        </is>
      </c>
      <c r="C108" s="9" t="inlineStr">
        <is>
          <t>קוט"ש/שנה</t>
        </is>
      </c>
      <c r="D108" s="9" t="inlineStr">
        <is>
          <t>חישוב</t>
        </is>
      </c>
      <c r="E108" s="9">
        <f> צריכה בסיסית × (1 − חיסכון)</f>
        <v/>
      </c>
      <c r="F108" s="30">
        <f>IF(ISNUMBER($F$106),$F$106*(1-$F$107),"PENDING")</f>
        <v/>
      </c>
    </row>
    <row r="109">
      <c r="B109" s="18" t="inlineStr">
        <is>
          <t>גורם שחיקת ביצועים</t>
        </is>
      </c>
      <c r="C109" s="9" t="inlineStr">
        <is>
          <t>% לשנה</t>
        </is>
      </c>
      <c r="D109" s="9" t="inlineStr">
        <is>
          <t>הנחת עבודה</t>
        </is>
      </c>
      <c r="E109" s="9" t="inlineStr">
        <is>
          <t>ירידה שנתית בחיסכון האנרגטי | 0.5%-1.0%/שנה — לאשר מול רפי</t>
        </is>
      </c>
      <c r="F109" s="11" t="n">
        <v>0.005</v>
      </c>
    </row>
    <row r="110">
      <c r="B110" s="18" t="inlineStr">
        <is>
          <t>מחיר חשמל</t>
        </is>
      </c>
      <c r="C110" s="9" t="inlineStr">
        <is>
          <t>₪/קוט"ש</t>
        </is>
      </c>
      <c r="D110" s="9" t="inlineStr">
        <is>
          <t>גיליון הנחות</t>
        </is>
      </c>
      <c r="F110" s="31">
        <f>'נתונים והנחות'!$F$12/100</f>
        <v/>
      </c>
    </row>
    <row r="111">
      <c r="B111" s="18" t="inlineStr">
        <is>
          <t>OPEX אנרגיה — בסיסי (שנה 1)</t>
        </is>
      </c>
      <c r="C111" s="9" t="inlineStr">
        <is>
          <t>₪/שנה</t>
        </is>
      </c>
      <c r="D111" s="9" t="inlineStr">
        <is>
          <t>חישוב</t>
        </is>
      </c>
      <c r="E111" s="9">
        <f> kWh בסיסי × מחיר חשמל</f>
        <v/>
      </c>
      <c r="F111" s="28">
        <f>IF(ISNUMBER($F$106),$F$106*$F$110,"PENDING")</f>
        <v/>
      </c>
    </row>
    <row r="112">
      <c r="B112" s="18" t="inlineStr">
        <is>
          <t>OPEX אנרגיה — יעיל (שנה 1)</t>
        </is>
      </c>
      <c r="C112" s="9" t="inlineStr">
        <is>
          <t>₪/שנה</t>
        </is>
      </c>
      <c r="D112" s="9" t="inlineStr">
        <is>
          <t>חישוב</t>
        </is>
      </c>
      <c r="E112" s="9">
        <f> kWh יעיל × מחיר חשמל</f>
        <v/>
      </c>
      <c r="F112" s="28">
        <f>IF(ISNUMBER($F$108),$F$108*$F$110,"PENDING")</f>
        <v/>
      </c>
    </row>
    <row r="113">
      <c r="B113" s="18" t="inlineStr">
        <is>
          <t>OPEX אחר — בסיסי (תחזוקה, חלקים וכו')</t>
        </is>
      </c>
      <c r="C113" s="9" t="inlineStr">
        <is>
          <t>₪/שנה</t>
        </is>
      </c>
      <c r="D113" s="9" t="inlineStr">
        <is>
          <t>נתוני רפי</t>
        </is>
      </c>
      <c r="E113" s="26" t="inlineStr">
        <is>
          <t>⚠ ממתין — תחזוקה, חלפים, ביטוח</t>
        </is>
      </c>
      <c r="F113" s="27" t="inlineStr">
        <is>
          <t>PENDING</t>
        </is>
      </c>
    </row>
    <row r="114">
      <c r="B114" s="18" t="inlineStr">
        <is>
          <t>OPEX אחר — יעיל (תחזוקה, חלקים וכו')</t>
        </is>
      </c>
      <c r="C114" s="9" t="inlineStr">
        <is>
          <t>₪/שנה</t>
        </is>
      </c>
      <c r="D114" s="9" t="inlineStr">
        <is>
          <t>נתוני רפי</t>
        </is>
      </c>
      <c r="E114" s="26" t="inlineStr">
        <is>
          <t>⚠ ממתין — תחזוקה, חלפים, ביטוח</t>
        </is>
      </c>
      <c r="F114" s="27" t="inlineStr">
        <is>
          <t>PENDING</t>
        </is>
      </c>
    </row>
    <row r="116">
      <c r="B116" s="25" t="inlineStr">
        <is>
          <t>ב. לוחות פחת (ציוד בסיסי vs. יעיל)</t>
        </is>
      </c>
    </row>
    <row r="117">
      <c r="B117" s="32" t="inlineStr">
        <is>
          <t>פרמטר</t>
        </is>
      </c>
      <c r="C117" s="32" t="inlineStr">
        <is>
          <t>יחידות</t>
        </is>
      </c>
      <c r="D117" s="32" t="inlineStr">
        <is>
          <t>מקור</t>
        </is>
      </c>
      <c r="E117" s="32" t="inlineStr">
        <is>
          <t>הערות</t>
        </is>
      </c>
      <c r="F117" s="32" t="inlineStr">
        <is>
          <t>שנה 0 (השקעה)</t>
        </is>
      </c>
      <c r="G117" s="32" t="inlineStr">
        <is>
          <t>שנה 1</t>
        </is>
      </c>
      <c r="H117" s="32" t="inlineStr">
        <is>
          <t>שנה 2</t>
        </is>
      </c>
      <c r="I117" s="32" t="inlineStr">
        <is>
          <t>שנה 3</t>
        </is>
      </c>
      <c r="J117" s="32" t="inlineStr">
        <is>
          <t>שנה 4</t>
        </is>
      </c>
      <c r="K117" s="32" t="inlineStr">
        <is>
          <t>שנה 5</t>
        </is>
      </c>
      <c r="L117" s="32" t="inlineStr">
        <is>
          <t>שנה 6</t>
        </is>
      </c>
      <c r="M117" s="32" t="inlineStr">
        <is>
          <t>שנה 7</t>
        </is>
      </c>
      <c r="N117" s="32" t="inlineStr">
        <is>
          <t>שנה 8</t>
        </is>
      </c>
      <c r="O117" s="32" t="inlineStr">
        <is>
          <t>שנה 9</t>
        </is>
      </c>
      <c r="P117" s="32" t="inlineStr">
        <is>
          <t>שנה 10</t>
        </is>
      </c>
      <c r="Q117" s="32" t="inlineStr">
        <is>
          <t>שנה 11</t>
        </is>
      </c>
      <c r="R117" s="32" t="inlineStr">
        <is>
          <t>שנה 12</t>
        </is>
      </c>
      <c r="S117" s="32" t="inlineStr">
        <is>
          <t>שנה 13</t>
        </is>
      </c>
      <c r="T117" s="32" t="inlineStr">
        <is>
          <t>שנה 14</t>
        </is>
      </c>
      <c r="U117" s="32" t="inlineStr">
        <is>
          <t>שנה 15</t>
        </is>
      </c>
      <c r="V117" s="32" t="inlineStr">
        <is>
          <t>שנה 16</t>
        </is>
      </c>
      <c r="W117" s="32" t="inlineStr">
        <is>
          <t>שנה 17</t>
        </is>
      </c>
      <c r="X117" s="32" t="inlineStr">
        <is>
          <t>שנה 18</t>
        </is>
      </c>
      <c r="Y117" s="32" t="inlineStr">
        <is>
          <t>שנה 19</t>
        </is>
      </c>
      <c r="Z117" s="32" t="inlineStr">
        <is>
          <t>שנה 20</t>
        </is>
      </c>
    </row>
    <row r="118">
      <c r="B118" s="4" t="inlineStr">
        <is>
          <t>פחת סטנדרטי — מערכת קירור קונבנציונלית</t>
        </is>
      </c>
      <c r="C118" s="9" t="inlineStr">
        <is>
          <t>₪</t>
        </is>
      </c>
      <c r="D118" s="9" t="inlineStr">
        <is>
          <t>חישוב</t>
        </is>
      </c>
      <c r="E118" s="9" t="inlineStr">
        <is>
          <t>קו ישר | 10%/שנה | עד 10 שנים | CapEx בסיסי</t>
        </is>
      </c>
      <c r="F118" s="33" t="n">
        <v>0</v>
      </c>
      <c r="G118" s="33">
        <f>IF(ISNUMBER($F$101),$F$101*0.1,0)</f>
        <v/>
      </c>
      <c r="H118" s="33">
        <f>IF(ISNUMBER($F$101),$F$101*0.1,0)</f>
        <v/>
      </c>
      <c r="I118" s="33">
        <f>IF(ISNUMBER($F$101),$F$101*0.1,0)</f>
        <v/>
      </c>
      <c r="J118" s="33">
        <f>IF(ISNUMBER($F$101),$F$101*0.1,0)</f>
        <v/>
      </c>
      <c r="K118" s="33">
        <f>IF(ISNUMBER($F$101),$F$101*0.1,0)</f>
        <v/>
      </c>
      <c r="L118" s="33">
        <f>IF(ISNUMBER($F$101),$F$101*0.1,0)</f>
        <v/>
      </c>
      <c r="M118" s="33">
        <f>IF(ISNUMBER($F$101),$F$101*0.1,0)</f>
        <v/>
      </c>
      <c r="N118" s="33">
        <f>IF(ISNUMBER($F$101),$F$101*0.1,0)</f>
        <v/>
      </c>
      <c r="O118" s="33">
        <f>IF(ISNUMBER($F$101),$F$101*0.1,0)</f>
        <v/>
      </c>
      <c r="P118" s="33">
        <f>IF(ISNUMBER($F$101),$F$101*0.1,0)</f>
        <v/>
      </c>
      <c r="Q118" s="33">
        <f>0</f>
        <v/>
      </c>
      <c r="R118" s="33">
        <f>0</f>
        <v/>
      </c>
      <c r="S118" s="33">
        <f>0</f>
        <v/>
      </c>
      <c r="T118" s="33">
        <f>0</f>
        <v/>
      </c>
      <c r="U118" s="33">
        <f>0</f>
        <v/>
      </c>
      <c r="V118" s="33">
        <f>0</f>
        <v/>
      </c>
      <c r="W118" s="33">
        <f>0</f>
        <v/>
      </c>
      <c r="X118" s="33">
        <f>0</f>
        <v/>
      </c>
      <c r="Y118" s="33">
        <f>0</f>
        <v/>
      </c>
      <c r="Z118" s="33">
        <f>0</f>
        <v/>
      </c>
    </row>
    <row r="119">
      <c r="B119" s="4" t="inlineStr">
        <is>
          <t>מגן מס — מערכת קירור קונבנציונלית</t>
        </is>
      </c>
      <c r="C119" s="9" t="inlineStr">
        <is>
          <t>₪</t>
        </is>
      </c>
      <c r="D119" s="9" t="inlineStr">
        <is>
          <t>חישוב</t>
        </is>
      </c>
      <c r="E119" s="9">
        <f> פחת × שיעור מס</f>
        <v/>
      </c>
      <c r="F119" s="33" t="n">
        <v>0</v>
      </c>
      <c r="G119" s="33">
        <f>G118*'נתונים והנחות'!$F$10</f>
        <v/>
      </c>
      <c r="H119" s="33">
        <f>H118*'נתונים והנחות'!$F$10</f>
        <v/>
      </c>
      <c r="I119" s="33">
        <f>I118*'נתונים והנחות'!$F$10</f>
        <v/>
      </c>
      <c r="J119" s="33">
        <f>J118*'נתונים והנחות'!$F$10</f>
        <v/>
      </c>
      <c r="K119" s="33">
        <f>K118*'נתונים והנחות'!$F$10</f>
        <v/>
      </c>
      <c r="L119" s="33">
        <f>L118*'נתונים והנחות'!$F$10</f>
        <v/>
      </c>
      <c r="M119" s="33">
        <f>M118*'נתונים והנחות'!$F$10</f>
        <v/>
      </c>
      <c r="N119" s="33">
        <f>N118*'נתונים והנחות'!$F$10</f>
        <v/>
      </c>
      <c r="O119" s="33">
        <f>O118*'נתונים והנחות'!$F$10</f>
        <v/>
      </c>
      <c r="P119" s="33">
        <f>P118*'נתונים והנחות'!$F$10</f>
        <v/>
      </c>
      <c r="Q119" s="33">
        <f>Q118*'נתונים והנחות'!$F$10</f>
        <v/>
      </c>
      <c r="R119" s="33">
        <f>R118*'נתונים והנחות'!$F$10</f>
        <v/>
      </c>
      <c r="S119" s="33">
        <f>S118*'נתונים והנחות'!$F$10</f>
        <v/>
      </c>
      <c r="T119" s="33">
        <f>T118*'נתונים והנחות'!$F$10</f>
        <v/>
      </c>
      <c r="U119" s="33">
        <f>U118*'נתונים והנחות'!$F$10</f>
        <v/>
      </c>
      <c r="V119" s="33">
        <f>V118*'נתונים והנחות'!$F$10</f>
        <v/>
      </c>
      <c r="W119" s="33">
        <f>W118*'נתונים והנחות'!$F$10</f>
        <v/>
      </c>
      <c r="X119" s="33">
        <f>X118*'נתונים והנחות'!$F$10</f>
        <v/>
      </c>
      <c r="Y119" s="33">
        <f>Y118*'נתונים והנחות'!$F$10</f>
        <v/>
      </c>
      <c r="Z119" s="33">
        <f>Z118*'נתונים והנחות'!$F$10</f>
        <v/>
      </c>
    </row>
    <row r="120">
      <c r="B120" s="5" t="inlineStr">
        <is>
          <t>פחת סטנדרטי — צ'ילרים</t>
        </is>
      </c>
      <c r="C120" s="9" t="inlineStr">
        <is>
          <t>₪</t>
        </is>
      </c>
      <c r="D120" s="9" t="inlineStr">
        <is>
          <t>חישוב</t>
        </is>
      </c>
      <c r="E120" s="9" t="inlineStr">
        <is>
          <t>קו ישר | 10%/שנה | עד 10 שנים | CapEx יעיל</t>
        </is>
      </c>
      <c r="F120" s="34" t="n">
        <v>0</v>
      </c>
      <c r="G120" s="34">
        <f>IF(ISNUMBER($F$102),$F$102*0.1,0)</f>
        <v/>
      </c>
      <c r="H120" s="34">
        <f>IF(ISNUMBER($F$102),$F$102*0.1,0)</f>
        <v/>
      </c>
      <c r="I120" s="34">
        <f>IF(ISNUMBER($F$102),$F$102*0.1,0)</f>
        <v/>
      </c>
      <c r="J120" s="34">
        <f>IF(ISNUMBER($F$102),$F$102*0.1,0)</f>
        <v/>
      </c>
      <c r="K120" s="34">
        <f>IF(ISNUMBER($F$102),$F$102*0.1,0)</f>
        <v/>
      </c>
      <c r="L120" s="34">
        <f>IF(ISNUMBER($F$102),$F$102*0.1,0)</f>
        <v/>
      </c>
      <c r="M120" s="34">
        <f>IF(ISNUMBER($F$102),$F$102*0.1,0)</f>
        <v/>
      </c>
      <c r="N120" s="34">
        <f>IF(ISNUMBER($F$102),$F$102*0.1,0)</f>
        <v/>
      </c>
      <c r="O120" s="34">
        <f>IF(ISNUMBER($F$102),$F$102*0.1,0)</f>
        <v/>
      </c>
      <c r="P120" s="34">
        <f>IF(ISNUMBER($F$102),$F$102*0.1,0)</f>
        <v/>
      </c>
      <c r="Q120" s="34">
        <f>0</f>
        <v/>
      </c>
      <c r="R120" s="34">
        <f>0</f>
        <v/>
      </c>
      <c r="S120" s="34">
        <f>0</f>
        <v/>
      </c>
      <c r="T120" s="34">
        <f>0</f>
        <v/>
      </c>
      <c r="U120" s="34">
        <f>0</f>
        <v/>
      </c>
      <c r="V120" s="34">
        <f>0</f>
        <v/>
      </c>
      <c r="W120" s="34">
        <f>0</f>
        <v/>
      </c>
      <c r="X120" s="34">
        <f>0</f>
        <v/>
      </c>
      <c r="Y120" s="34">
        <f>0</f>
        <v/>
      </c>
      <c r="Z120" s="34">
        <f>0</f>
        <v/>
      </c>
    </row>
    <row r="121">
      <c r="B121" s="5" t="inlineStr">
        <is>
          <t>מגן מס סטנדרטי — צ'ילרים</t>
        </is>
      </c>
      <c r="C121" s="9" t="inlineStr">
        <is>
          <t>₪</t>
        </is>
      </c>
      <c r="D121" s="9" t="inlineStr">
        <is>
          <t>חישוב</t>
        </is>
      </c>
      <c r="E121" s="9">
        <f> פחת × שיעור מס</f>
        <v/>
      </c>
      <c r="F121" s="34" t="n">
        <v>0</v>
      </c>
      <c r="G121" s="34">
        <f>G120*'נתונים והנחות'!$F$10</f>
        <v/>
      </c>
      <c r="H121" s="34">
        <f>H120*'נתונים והנחות'!$F$10</f>
        <v/>
      </c>
      <c r="I121" s="34">
        <f>I120*'נתונים והנחות'!$F$10</f>
        <v/>
      </c>
      <c r="J121" s="34">
        <f>J120*'נתונים והנחות'!$F$10</f>
        <v/>
      </c>
      <c r="K121" s="34">
        <f>K120*'נתונים והנחות'!$F$10</f>
        <v/>
      </c>
      <c r="L121" s="34">
        <f>L120*'נתונים והנחות'!$F$10</f>
        <v/>
      </c>
      <c r="M121" s="34">
        <f>M120*'נתונים והנחות'!$F$10</f>
        <v/>
      </c>
      <c r="N121" s="34">
        <f>N120*'נתונים והנחות'!$F$10</f>
        <v/>
      </c>
      <c r="O121" s="34">
        <f>O120*'נתונים והנחות'!$F$10</f>
        <v/>
      </c>
      <c r="P121" s="34">
        <f>P120*'נתונים והנחות'!$F$10</f>
        <v/>
      </c>
      <c r="Q121" s="34">
        <f>Q120*'נתונים והנחות'!$F$10</f>
        <v/>
      </c>
      <c r="R121" s="34">
        <f>R120*'נתונים והנחות'!$F$10</f>
        <v/>
      </c>
      <c r="S121" s="34">
        <f>S120*'נתונים והנחות'!$F$10</f>
        <v/>
      </c>
      <c r="T121" s="34">
        <f>T120*'נתונים והנחות'!$F$10</f>
        <v/>
      </c>
      <c r="U121" s="34">
        <f>U120*'נתונים והנחות'!$F$10</f>
        <v/>
      </c>
      <c r="V121" s="34">
        <f>V120*'נתונים והנחות'!$F$10</f>
        <v/>
      </c>
      <c r="W121" s="34">
        <f>W120*'נתונים והנחות'!$F$10</f>
        <v/>
      </c>
      <c r="X121" s="34">
        <f>X120*'נתונים והנחות'!$F$10</f>
        <v/>
      </c>
      <c r="Y121" s="34">
        <f>Y120*'נתונים והנחות'!$F$10</f>
        <v/>
      </c>
      <c r="Z121" s="34">
        <f>Z120*'נתונים והנחות'!$F$10</f>
        <v/>
      </c>
    </row>
    <row r="122">
      <c r="B122" s="6" t="inlineStr">
        <is>
          <t>פחת מואץ — צ'ילרים</t>
        </is>
      </c>
      <c r="C122" s="9" t="inlineStr">
        <is>
          <t>₪</t>
        </is>
      </c>
      <c r="D122" s="9" t="inlineStr">
        <is>
          <t>חישוב</t>
        </is>
      </c>
      <c r="E122" s="9">
        <f> CapEx יעיל × (פחת סטנדרטי × מכפיל) | תקופה = 1 ÷ שיעור מואץ</f>
        <v/>
      </c>
      <c r="F122" s="35" t="n">
        <v>0</v>
      </c>
      <c r="G122" s="35">
        <f>IF(ISNUMBER($F$102),IF(1&lt;=ROUND(1/(0.1*'נתונים והנחות'!$F$15),0),$F$102*0.1*'נתונים והנחות'!$F$15,0),0)</f>
        <v/>
      </c>
      <c r="H122" s="35">
        <f>IF(ISNUMBER($F$102),IF(2&lt;=ROUND(1/(0.1*'נתונים והנחות'!$F$15),0),$F$102*0.1*'נתונים והנחות'!$F$15,0),0)</f>
        <v/>
      </c>
      <c r="I122" s="35">
        <f>IF(ISNUMBER($F$102),IF(3&lt;=ROUND(1/(0.1*'נתונים והנחות'!$F$15),0),$F$102*0.1*'נתונים והנחות'!$F$15,0),0)</f>
        <v/>
      </c>
      <c r="J122" s="35">
        <f>IF(ISNUMBER($F$102),IF(4&lt;=ROUND(1/(0.1*'נתונים והנחות'!$F$15),0),$F$102*0.1*'נתונים והנחות'!$F$15,0),0)</f>
        <v/>
      </c>
      <c r="K122" s="35">
        <f>IF(ISNUMBER($F$102),IF(5&lt;=ROUND(1/(0.1*'נתונים והנחות'!$F$15),0),$F$102*0.1*'נתונים והנחות'!$F$15,0),0)</f>
        <v/>
      </c>
      <c r="L122" s="35">
        <f>IF(ISNUMBER($F$102),IF(6&lt;=ROUND(1/(0.1*'נתונים והנחות'!$F$15),0),$F$102*0.1*'נתונים והנחות'!$F$15,0),0)</f>
        <v/>
      </c>
      <c r="M122" s="35">
        <f>IF(ISNUMBER($F$102),IF(7&lt;=ROUND(1/(0.1*'נתונים והנחות'!$F$15),0),$F$102*0.1*'נתונים והנחות'!$F$15,0),0)</f>
        <v/>
      </c>
      <c r="N122" s="35">
        <f>IF(ISNUMBER($F$102),IF(8&lt;=ROUND(1/(0.1*'נתונים והנחות'!$F$15),0),$F$102*0.1*'נתונים והנחות'!$F$15,0),0)</f>
        <v/>
      </c>
      <c r="O122" s="35">
        <f>IF(ISNUMBER($F$102),IF(9&lt;=ROUND(1/(0.1*'נתונים והנחות'!$F$15),0),$F$102*0.1*'נתונים והנחות'!$F$15,0),0)</f>
        <v/>
      </c>
      <c r="P122" s="35">
        <f>IF(ISNUMBER($F$102),IF(10&lt;=ROUND(1/(0.1*'נתונים והנחות'!$F$15),0),$F$102*0.1*'נתונים והנחות'!$F$15,0),0)</f>
        <v/>
      </c>
      <c r="Q122" s="35">
        <f>IF(ISNUMBER($F$102),IF(11&lt;=ROUND(1/(0.1*'נתונים והנחות'!$F$15),0),$F$102*0.1*'נתונים והנחות'!$F$15,0),0)</f>
        <v/>
      </c>
      <c r="R122" s="35">
        <f>IF(ISNUMBER($F$102),IF(12&lt;=ROUND(1/(0.1*'נתונים והנחות'!$F$15),0),$F$102*0.1*'נתונים והנחות'!$F$15,0),0)</f>
        <v/>
      </c>
      <c r="S122" s="35">
        <f>IF(ISNUMBER($F$102),IF(13&lt;=ROUND(1/(0.1*'נתונים והנחות'!$F$15),0),$F$102*0.1*'נתונים והנחות'!$F$15,0),0)</f>
        <v/>
      </c>
      <c r="T122" s="35">
        <f>IF(ISNUMBER($F$102),IF(14&lt;=ROUND(1/(0.1*'נתונים והנחות'!$F$15),0),$F$102*0.1*'נתונים והנחות'!$F$15,0),0)</f>
        <v/>
      </c>
      <c r="U122" s="35">
        <f>IF(ISNUMBER($F$102),IF(15&lt;=ROUND(1/(0.1*'נתונים והנחות'!$F$15),0),$F$102*0.1*'נתונים והנחות'!$F$15,0),0)</f>
        <v/>
      </c>
      <c r="V122" s="35">
        <f>IF(ISNUMBER($F$102),IF(16&lt;=ROUND(1/(0.1*'נתונים והנחות'!$F$15),0),$F$102*0.1*'נתונים והנחות'!$F$15,0),0)</f>
        <v/>
      </c>
      <c r="W122" s="35">
        <f>IF(ISNUMBER($F$102),IF(17&lt;=ROUND(1/(0.1*'נתונים והנחות'!$F$15),0),$F$102*0.1*'נתונים והנחות'!$F$15,0),0)</f>
        <v/>
      </c>
      <c r="X122" s="35">
        <f>IF(ISNUMBER($F$102),IF(18&lt;=ROUND(1/(0.1*'נתונים והנחות'!$F$15),0),$F$102*0.1*'נתונים והנחות'!$F$15,0),0)</f>
        <v/>
      </c>
      <c r="Y122" s="35">
        <f>IF(ISNUMBER($F$102),IF(19&lt;=ROUND(1/(0.1*'נתונים והנחות'!$F$15),0),$F$102*0.1*'נתונים והנחות'!$F$15,0),0)</f>
        <v/>
      </c>
      <c r="Z122" s="35">
        <f>IF(ISNUMBER($F$102),IF(20&lt;=ROUND(1/(0.1*'נתונים והנחות'!$F$15),0),$F$102*0.1*'נתונים והנחות'!$F$15,0),0)</f>
        <v/>
      </c>
    </row>
    <row r="123">
      <c r="B123" s="6" t="inlineStr">
        <is>
          <t>מגן מס מואץ — צ'ילרים</t>
        </is>
      </c>
      <c r="C123" s="9" t="inlineStr">
        <is>
          <t>₪</t>
        </is>
      </c>
      <c r="D123" s="9" t="inlineStr">
        <is>
          <t>חישוב</t>
        </is>
      </c>
      <c r="E123" s="9">
        <f> פחת מואץ × שיעור מס</f>
        <v/>
      </c>
      <c r="F123" s="35" t="n">
        <v>0</v>
      </c>
      <c r="G123" s="35">
        <f>G122*'נתונים והנחות'!$F$10</f>
        <v/>
      </c>
      <c r="H123" s="35">
        <f>H122*'נתונים והנחות'!$F$10</f>
        <v/>
      </c>
      <c r="I123" s="35">
        <f>I122*'נתונים והנחות'!$F$10</f>
        <v/>
      </c>
      <c r="J123" s="35">
        <f>J122*'נתונים והנחות'!$F$10</f>
        <v/>
      </c>
      <c r="K123" s="35">
        <f>K122*'נתונים והנחות'!$F$10</f>
        <v/>
      </c>
      <c r="L123" s="35">
        <f>L122*'נתונים והנחות'!$F$10</f>
        <v/>
      </c>
      <c r="M123" s="35">
        <f>M122*'נתונים והנחות'!$F$10</f>
        <v/>
      </c>
      <c r="N123" s="35">
        <f>N122*'נתונים והנחות'!$F$10</f>
        <v/>
      </c>
      <c r="O123" s="35">
        <f>O122*'נתונים והנחות'!$F$10</f>
        <v/>
      </c>
      <c r="P123" s="35">
        <f>P122*'נתונים והנחות'!$F$10</f>
        <v/>
      </c>
      <c r="Q123" s="35">
        <f>Q122*'נתונים והנחות'!$F$10</f>
        <v/>
      </c>
      <c r="R123" s="35">
        <f>R122*'נתונים והנחות'!$F$10</f>
        <v/>
      </c>
      <c r="S123" s="35">
        <f>S122*'נתונים והנחות'!$F$10</f>
        <v/>
      </c>
      <c r="T123" s="35">
        <f>T122*'נתונים והנחות'!$F$10</f>
        <v/>
      </c>
      <c r="U123" s="35">
        <f>U122*'נתונים והנחות'!$F$10</f>
        <v/>
      </c>
      <c r="V123" s="35">
        <f>V122*'נתונים והנחות'!$F$10</f>
        <v/>
      </c>
      <c r="W123" s="35">
        <f>W122*'נתונים והנחות'!$F$10</f>
        <v/>
      </c>
      <c r="X123" s="35">
        <f>X122*'נתונים והנחות'!$F$10</f>
        <v/>
      </c>
      <c r="Y123" s="35">
        <f>Y122*'נתונים והנחות'!$F$10</f>
        <v/>
      </c>
      <c r="Z123" s="35">
        <f>Z122*'נתונים והנחות'!$F$10</f>
        <v/>
      </c>
    </row>
    <row r="125">
      <c r="B125" s="25" t="inlineStr">
        <is>
          <t>ג. ניתוח תזרים מזומנים — שלושה תרחישים</t>
        </is>
      </c>
    </row>
    <row r="126">
      <c r="B126" s="32" t="inlineStr">
        <is>
          <t>פרמטר</t>
        </is>
      </c>
      <c r="C126" s="32" t="inlineStr">
        <is>
          <t>יחידות</t>
        </is>
      </c>
      <c r="D126" s="32" t="inlineStr">
        <is>
          <t>מקור</t>
        </is>
      </c>
      <c r="E126" s="32" t="inlineStr">
        <is>
          <t>הערות</t>
        </is>
      </c>
      <c r="F126" s="32" t="inlineStr">
        <is>
          <t>שנה 0 (השקעה)</t>
        </is>
      </c>
      <c r="G126" s="32" t="inlineStr">
        <is>
          <t>שנה 1</t>
        </is>
      </c>
      <c r="H126" s="32" t="inlineStr">
        <is>
          <t>שנה 2</t>
        </is>
      </c>
      <c r="I126" s="32" t="inlineStr">
        <is>
          <t>שנה 3</t>
        </is>
      </c>
      <c r="J126" s="32" t="inlineStr">
        <is>
          <t>שנה 4</t>
        </is>
      </c>
      <c r="K126" s="32" t="inlineStr">
        <is>
          <t>שנה 5</t>
        </is>
      </c>
      <c r="L126" s="32" t="inlineStr">
        <is>
          <t>שנה 6</t>
        </is>
      </c>
      <c r="M126" s="32" t="inlineStr">
        <is>
          <t>שנה 7</t>
        </is>
      </c>
      <c r="N126" s="32" t="inlineStr">
        <is>
          <t>שנה 8</t>
        </is>
      </c>
      <c r="O126" s="32" t="inlineStr">
        <is>
          <t>שנה 9</t>
        </is>
      </c>
      <c r="P126" s="32" t="inlineStr">
        <is>
          <t>שנה 10</t>
        </is>
      </c>
      <c r="Q126" s="32" t="inlineStr">
        <is>
          <t>שנה 11</t>
        </is>
      </c>
      <c r="R126" s="32" t="inlineStr">
        <is>
          <t>שנה 12</t>
        </is>
      </c>
      <c r="S126" s="32" t="inlineStr">
        <is>
          <t>שנה 13</t>
        </is>
      </c>
      <c r="T126" s="32" t="inlineStr">
        <is>
          <t>שנה 14</t>
        </is>
      </c>
      <c r="U126" s="32" t="inlineStr">
        <is>
          <t>שנה 15</t>
        </is>
      </c>
      <c r="V126" s="32" t="inlineStr">
        <is>
          <t>שנה 16</t>
        </is>
      </c>
      <c r="W126" s="32" t="inlineStr">
        <is>
          <t>שנה 17</t>
        </is>
      </c>
      <c r="X126" s="32" t="inlineStr">
        <is>
          <t>שנה 18</t>
        </is>
      </c>
      <c r="Y126" s="32" t="inlineStr">
        <is>
          <t>שנה 19</t>
        </is>
      </c>
      <c r="Z126" s="32" t="inlineStr">
        <is>
          <t>שנה 20</t>
        </is>
      </c>
    </row>
    <row r="127">
      <c r="B127" s="36" t="inlineStr">
        <is>
          <t>תרחיש A — רכישת מערכת קירור קונבנציונלית (ציוד קיים / לא יעיל)</t>
        </is>
      </c>
    </row>
    <row r="128">
      <c r="B128" s="4" t="inlineStr">
        <is>
          <t>השקעה ראשונית</t>
        </is>
      </c>
      <c r="C128" s="9" t="inlineStr">
        <is>
          <t>₪</t>
        </is>
      </c>
      <c r="D128" s="9" t="inlineStr">
        <is>
          <t>חישוב</t>
        </is>
      </c>
      <c r="F128" s="33">
        <f>IF(ISNUMBER($F$101),-$F$101,"PENDING")</f>
        <v/>
      </c>
    </row>
    <row r="129">
      <c r="B129" s="4" t="inlineStr">
        <is>
          <t>OPEX אנרגיה</t>
        </is>
      </c>
      <c r="C129" s="9" t="inlineStr">
        <is>
          <t>₪</t>
        </is>
      </c>
      <c r="D129" s="9" t="inlineStr">
        <is>
          <t>חישוב</t>
        </is>
      </c>
      <c r="F129" s="33" t="n">
        <v>0</v>
      </c>
      <c r="G129" s="33">
        <f>IF(ISNUMBER($F$111),-$F$111,0)</f>
        <v/>
      </c>
      <c r="H129" s="33">
        <f>IF(ISNUMBER($F$111),-$F$111,0)</f>
        <v/>
      </c>
      <c r="I129" s="33">
        <f>IF(ISNUMBER($F$111),-$F$111,0)</f>
        <v/>
      </c>
      <c r="J129" s="33">
        <f>IF(ISNUMBER($F$111),-$F$111,0)</f>
        <v/>
      </c>
      <c r="K129" s="33">
        <f>IF(ISNUMBER($F$111),-$F$111,0)</f>
        <v/>
      </c>
      <c r="L129" s="33">
        <f>IF(ISNUMBER($F$111),-$F$111,0)</f>
        <v/>
      </c>
      <c r="M129" s="33">
        <f>IF(ISNUMBER($F$111),-$F$111,0)</f>
        <v/>
      </c>
      <c r="N129" s="33">
        <f>IF(ISNUMBER($F$111),-$F$111,0)</f>
        <v/>
      </c>
      <c r="O129" s="33">
        <f>IF(ISNUMBER($F$111),-$F$111,0)</f>
        <v/>
      </c>
      <c r="P129" s="33">
        <f>IF(ISNUMBER($F$111),-$F$111,0)</f>
        <v/>
      </c>
      <c r="Q129" s="33">
        <f>IF(ISNUMBER($F$111),-$F$111,0)</f>
        <v/>
      </c>
      <c r="R129" s="33">
        <f>IF(ISNUMBER($F$111),-$F$111,0)</f>
        <v/>
      </c>
      <c r="S129" s="33">
        <f>IF(ISNUMBER($F$111),-$F$111,0)</f>
        <v/>
      </c>
      <c r="T129" s="33">
        <f>IF(ISNUMBER($F$111),-$F$111,0)</f>
        <v/>
      </c>
      <c r="U129" s="33">
        <f>IF(ISNUMBER($F$111),-$F$111,0)</f>
        <v/>
      </c>
      <c r="V129" s="33">
        <f>0</f>
        <v/>
      </c>
      <c r="W129" s="33">
        <f>0</f>
        <v/>
      </c>
      <c r="X129" s="33">
        <f>0</f>
        <v/>
      </c>
      <c r="Y129" s="33">
        <f>0</f>
        <v/>
      </c>
      <c r="Z129" s="33">
        <f>0</f>
        <v/>
      </c>
    </row>
    <row r="130">
      <c r="B130" s="4" t="inlineStr">
        <is>
          <t>OPEX אחר (תחזוקה וכו')</t>
        </is>
      </c>
      <c r="C130" s="9" t="inlineStr">
        <is>
          <t>₪</t>
        </is>
      </c>
      <c r="D130" s="9" t="inlineStr">
        <is>
          <t>חישוב</t>
        </is>
      </c>
      <c r="F130" s="33" t="n">
        <v>0</v>
      </c>
      <c r="G130" s="33">
        <f>IF(ISNUMBER($F$113),-$F$113,0)</f>
        <v/>
      </c>
      <c r="H130" s="33">
        <f>IF(ISNUMBER($F$113),-$F$113,0)</f>
        <v/>
      </c>
      <c r="I130" s="33">
        <f>IF(ISNUMBER($F$113),-$F$113,0)</f>
        <v/>
      </c>
      <c r="J130" s="33">
        <f>IF(ISNUMBER($F$113),-$F$113,0)</f>
        <v/>
      </c>
      <c r="K130" s="33">
        <f>IF(ISNUMBER($F$113),-$F$113,0)</f>
        <v/>
      </c>
      <c r="L130" s="33">
        <f>IF(ISNUMBER($F$113),-$F$113,0)</f>
        <v/>
      </c>
      <c r="M130" s="33">
        <f>IF(ISNUMBER($F$113),-$F$113,0)</f>
        <v/>
      </c>
      <c r="N130" s="33">
        <f>IF(ISNUMBER($F$113),-$F$113,0)</f>
        <v/>
      </c>
      <c r="O130" s="33">
        <f>IF(ISNUMBER($F$113),-$F$113,0)</f>
        <v/>
      </c>
      <c r="P130" s="33">
        <f>IF(ISNUMBER($F$113),-$F$113,0)</f>
        <v/>
      </c>
      <c r="Q130" s="33">
        <f>IF(ISNUMBER($F$113),-$F$113,0)</f>
        <v/>
      </c>
      <c r="R130" s="33">
        <f>IF(ISNUMBER($F$113),-$F$113,0)</f>
        <v/>
      </c>
      <c r="S130" s="33">
        <f>IF(ISNUMBER($F$113),-$F$113,0)</f>
        <v/>
      </c>
      <c r="T130" s="33">
        <f>IF(ISNUMBER($F$113),-$F$113,0)</f>
        <v/>
      </c>
      <c r="U130" s="33">
        <f>IF(ISNUMBER($F$113),-$F$113,0)</f>
        <v/>
      </c>
      <c r="V130" s="33">
        <f>0</f>
        <v/>
      </c>
      <c r="W130" s="33">
        <f>0</f>
        <v/>
      </c>
      <c r="X130" s="33">
        <f>0</f>
        <v/>
      </c>
      <c r="Y130" s="33">
        <f>0</f>
        <v/>
      </c>
      <c r="Z130" s="33">
        <f>0</f>
        <v/>
      </c>
    </row>
    <row r="131">
      <c r="B131" s="4" t="inlineStr">
        <is>
          <t>תזרים נקי — תרחיש A</t>
        </is>
      </c>
      <c r="C131" s="9" t="inlineStr">
        <is>
          <t>₪</t>
        </is>
      </c>
      <c r="D131" s="9" t="inlineStr">
        <is>
          <t>חישוב</t>
        </is>
      </c>
      <c r="F131" s="33">
        <f>F128</f>
        <v/>
      </c>
      <c r="G131" s="33">
        <f>G129+G130+G119</f>
        <v/>
      </c>
      <c r="H131" s="33">
        <f>H129+H130+H119</f>
        <v/>
      </c>
      <c r="I131" s="33">
        <f>I129+I130+I119</f>
        <v/>
      </c>
      <c r="J131" s="33">
        <f>J129+J130+J119</f>
        <v/>
      </c>
      <c r="K131" s="33">
        <f>K129+K130+K119</f>
        <v/>
      </c>
      <c r="L131" s="33">
        <f>L129+L130+L119</f>
        <v/>
      </c>
      <c r="M131" s="33">
        <f>M129+M130+M119</f>
        <v/>
      </c>
      <c r="N131" s="33">
        <f>N129+N130+N119</f>
        <v/>
      </c>
      <c r="O131" s="33">
        <f>O129+O130+O119</f>
        <v/>
      </c>
      <c r="P131" s="33">
        <f>P129+P130+P119</f>
        <v/>
      </c>
      <c r="Q131" s="33">
        <f>Q129+Q130+Q119</f>
        <v/>
      </c>
      <c r="R131" s="33">
        <f>R129+R130+R119</f>
        <v/>
      </c>
      <c r="S131" s="33">
        <f>S129+S130+S119</f>
        <v/>
      </c>
      <c r="T131" s="33">
        <f>T129+T130+T119</f>
        <v/>
      </c>
      <c r="U131" s="33">
        <f>U129+U130+U119</f>
        <v/>
      </c>
      <c r="V131" s="33">
        <f>V129+V130+V119</f>
        <v/>
      </c>
      <c r="W131" s="33">
        <f>W129+W130+W119</f>
        <v/>
      </c>
      <c r="X131" s="33">
        <f>X129+X130+X119</f>
        <v/>
      </c>
      <c r="Y131" s="33">
        <f>Y129+Y130+Y119</f>
        <v/>
      </c>
      <c r="Z131" s="33">
        <f>Z129+Z130+Z119</f>
        <v/>
      </c>
    </row>
    <row r="132">
      <c r="B132" s="4" t="inlineStr">
        <is>
          <t>תזרים מהוון — תרחיש A</t>
        </is>
      </c>
      <c r="C132" s="9" t="inlineStr">
        <is>
          <t>₪</t>
        </is>
      </c>
      <c r="D132" s="9" t="inlineStr">
        <is>
          <t>חישוב</t>
        </is>
      </c>
      <c r="F132" s="33">
        <f>F131</f>
        <v/>
      </c>
      <c r="G132" s="33">
        <f>G131/(1+'נתונים והנחות'!$F$11)^1</f>
        <v/>
      </c>
      <c r="H132" s="33">
        <f>H131/(1+'נתונים והנחות'!$F$11)^2</f>
        <v/>
      </c>
      <c r="I132" s="33">
        <f>I131/(1+'נתונים והנחות'!$F$11)^3</f>
        <v/>
      </c>
      <c r="J132" s="33">
        <f>J131/(1+'נתונים והנחות'!$F$11)^4</f>
        <v/>
      </c>
      <c r="K132" s="33">
        <f>K131/(1+'נתונים והנחות'!$F$11)^5</f>
        <v/>
      </c>
      <c r="L132" s="33">
        <f>L131/(1+'נתונים והנחות'!$F$11)^6</f>
        <v/>
      </c>
      <c r="M132" s="33">
        <f>M131/(1+'נתונים והנחות'!$F$11)^7</f>
        <v/>
      </c>
      <c r="N132" s="33">
        <f>N131/(1+'נתונים והנחות'!$F$11)^8</f>
        <v/>
      </c>
      <c r="O132" s="33">
        <f>O131/(1+'נתונים והנחות'!$F$11)^9</f>
        <v/>
      </c>
      <c r="P132" s="33">
        <f>P131/(1+'נתונים והנחות'!$F$11)^10</f>
        <v/>
      </c>
      <c r="Q132" s="33">
        <f>Q131/(1+'נתונים והנחות'!$F$11)^11</f>
        <v/>
      </c>
      <c r="R132" s="33">
        <f>R131/(1+'נתונים והנחות'!$F$11)^12</f>
        <v/>
      </c>
      <c r="S132" s="33">
        <f>S131/(1+'נתונים והנחות'!$F$11)^13</f>
        <v/>
      </c>
      <c r="T132" s="33">
        <f>T131/(1+'נתונים והנחות'!$F$11)^14</f>
        <v/>
      </c>
      <c r="U132" s="33">
        <f>U131/(1+'נתונים והנחות'!$F$11)^15</f>
        <v/>
      </c>
      <c r="V132" s="33">
        <f>V131/(1+'נתונים והנחות'!$F$11)^16</f>
        <v/>
      </c>
      <c r="W132" s="33">
        <f>W131/(1+'נתונים והנחות'!$F$11)^17</f>
        <v/>
      </c>
      <c r="X132" s="33">
        <f>X131/(1+'נתונים והנחות'!$F$11)^18</f>
        <v/>
      </c>
      <c r="Y132" s="33">
        <f>Y131/(1+'נתונים והנחות'!$F$11)^19</f>
        <v/>
      </c>
      <c r="Z132" s="33">
        <f>Z131/(1+'נתונים והנחות'!$F$11)^20</f>
        <v/>
      </c>
    </row>
    <row r="133">
      <c r="B133" s="4" t="inlineStr">
        <is>
          <t>NPV מצטבר — תרחיש A</t>
        </is>
      </c>
      <c r="C133" s="9" t="inlineStr">
        <is>
          <t>₪</t>
        </is>
      </c>
      <c r="D133" s="9" t="inlineStr">
        <is>
          <t>חישוב</t>
        </is>
      </c>
      <c r="F133" s="33">
        <f>F132</f>
        <v/>
      </c>
      <c r="G133" s="33">
        <f>F133+G132</f>
        <v/>
      </c>
      <c r="H133" s="33">
        <f>G133+H132</f>
        <v/>
      </c>
      <c r="I133" s="33">
        <f>H133+I132</f>
        <v/>
      </c>
      <c r="J133" s="33">
        <f>I133+J132</f>
        <v/>
      </c>
      <c r="K133" s="33">
        <f>J133+K132</f>
        <v/>
      </c>
      <c r="L133" s="33">
        <f>K133+L132</f>
        <v/>
      </c>
      <c r="M133" s="33">
        <f>L133+M132</f>
        <v/>
      </c>
      <c r="N133" s="33">
        <f>M133+N132</f>
        <v/>
      </c>
      <c r="O133" s="33">
        <f>N133+O132</f>
        <v/>
      </c>
      <c r="P133" s="33">
        <f>O133+P132</f>
        <v/>
      </c>
      <c r="Q133" s="33">
        <f>P133+Q132</f>
        <v/>
      </c>
      <c r="R133" s="33">
        <f>Q133+R132</f>
        <v/>
      </c>
      <c r="S133" s="33">
        <f>R133+S132</f>
        <v/>
      </c>
      <c r="T133" s="33">
        <f>S133+T132</f>
        <v/>
      </c>
      <c r="U133" s="33">
        <f>T133+U132</f>
        <v/>
      </c>
      <c r="V133" s="33">
        <f>U133+V132</f>
        <v/>
      </c>
      <c r="W133" s="33">
        <f>V133+W132</f>
        <v/>
      </c>
      <c r="X133" s="33">
        <f>W133+X132</f>
        <v/>
      </c>
      <c r="Y133" s="33">
        <f>X133+Y132</f>
        <v/>
      </c>
      <c r="Z133" s="33">
        <f>Y133+Z132</f>
        <v/>
      </c>
    </row>
    <row r="135">
      <c r="B135" s="37" t="inlineStr">
        <is>
          <t>תרחיש B — רכישת צ'ילרים | פחת סטנדרטי (ללא תמריץ)</t>
        </is>
      </c>
    </row>
    <row r="136">
      <c r="B136" s="5" t="inlineStr">
        <is>
          <t>השקעה ראשונית</t>
        </is>
      </c>
      <c r="C136" s="9" t="inlineStr">
        <is>
          <t>₪</t>
        </is>
      </c>
      <c r="D136" s="9" t="inlineStr">
        <is>
          <t>חישוב</t>
        </is>
      </c>
      <c r="F136" s="34">
        <f>IF(ISNUMBER($F$102),-$F$102,"PENDING")</f>
        <v/>
      </c>
    </row>
    <row r="137">
      <c r="B137" s="5" t="inlineStr">
        <is>
          <t>OPEX אנרגיה (עם שחיקה שנתית)</t>
        </is>
      </c>
      <c r="C137" s="9" t="inlineStr">
        <is>
          <t>₪</t>
        </is>
      </c>
      <c r="D137" s="9" t="inlineStr">
        <is>
          <t>חישוב</t>
        </is>
      </c>
      <c r="F137" s="34" t="n">
        <v>0</v>
      </c>
      <c r="G137" s="34">
        <f>IF(ISNUMBER($F$112),-$F$112*(1-$F$109)^0,0)</f>
        <v/>
      </c>
      <c r="H137" s="34">
        <f>IF(ISNUMBER($F$112),-$F$112*(1-$F$109)^1,0)</f>
        <v/>
      </c>
      <c r="I137" s="34">
        <f>IF(ISNUMBER($F$112),-$F$112*(1-$F$109)^2,0)</f>
        <v/>
      </c>
      <c r="J137" s="34">
        <f>IF(ISNUMBER($F$112),-$F$112*(1-$F$109)^3,0)</f>
        <v/>
      </c>
      <c r="K137" s="34">
        <f>IF(ISNUMBER($F$112),-$F$112*(1-$F$109)^4,0)</f>
        <v/>
      </c>
      <c r="L137" s="34">
        <f>IF(ISNUMBER($F$112),-$F$112*(1-$F$109)^5,0)</f>
        <v/>
      </c>
      <c r="M137" s="34">
        <f>IF(ISNUMBER($F$112),-$F$112*(1-$F$109)^6,0)</f>
        <v/>
      </c>
      <c r="N137" s="34">
        <f>IF(ISNUMBER($F$112),-$F$112*(1-$F$109)^7,0)</f>
        <v/>
      </c>
      <c r="O137" s="34">
        <f>IF(ISNUMBER($F$112),-$F$112*(1-$F$109)^8,0)</f>
        <v/>
      </c>
      <c r="P137" s="34">
        <f>IF(ISNUMBER($F$112),-$F$112*(1-$F$109)^9,0)</f>
        <v/>
      </c>
      <c r="Q137" s="34">
        <f>IF(ISNUMBER($F$112),-$F$112*(1-$F$109)^10,0)</f>
        <v/>
      </c>
      <c r="R137" s="34">
        <f>IF(ISNUMBER($F$112),-$F$112*(1-$F$109)^11,0)</f>
        <v/>
      </c>
      <c r="S137" s="34">
        <f>IF(ISNUMBER($F$112),-$F$112*(1-$F$109)^12,0)</f>
        <v/>
      </c>
      <c r="T137" s="34">
        <f>IF(ISNUMBER($F$112),-$F$112*(1-$F$109)^13,0)</f>
        <v/>
      </c>
      <c r="U137" s="34">
        <f>IF(ISNUMBER($F$112),-$F$112*(1-$F$109)^14,0)</f>
        <v/>
      </c>
      <c r="V137" s="34">
        <f>IF(ISNUMBER($F$112),-$F$112*(1-$F$109)^15,0)</f>
        <v/>
      </c>
      <c r="W137" s="34">
        <f>IF(ISNUMBER($F$112),-$F$112*(1-$F$109)^16,0)</f>
        <v/>
      </c>
      <c r="X137" s="34">
        <f>0</f>
        <v/>
      </c>
      <c r="Y137" s="34">
        <f>0</f>
        <v/>
      </c>
      <c r="Z137" s="34">
        <f>0</f>
        <v/>
      </c>
    </row>
    <row r="138">
      <c r="B138" s="5" t="inlineStr">
        <is>
          <t>OPEX אחר (תחזוקה וכו')</t>
        </is>
      </c>
      <c r="C138" s="9" t="inlineStr">
        <is>
          <t>₪</t>
        </is>
      </c>
      <c r="D138" s="9" t="inlineStr">
        <is>
          <t>חישוב</t>
        </is>
      </c>
      <c r="F138" s="34" t="n">
        <v>0</v>
      </c>
      <c r="G138" s="34">
        <f>IF(ISNUMBER($F$114),-$F$114,0)</f>
        <v/>
      </c>
      <c r="H138" s="34">
        <f>IF(ISNUMBER($F$114),-$F$114,0)</f>
        <v/>
      </c>
      <c r="I138" s="34">
        <f>IF(ISNUMBER($F$114),-$F$114,0)</f>
        <v/>
      </c>
      <c r="J138" s="34">
        <f>IF(ISNUMBER($F$114),-$F$114,0)</f>
        <v/>
      </c>
      <c r="K138" s="34">
        <f>IF(ISNUMBER($F$114),-$F$114,0)</f>
        <v/>
      </c>
      <c r="L138" s="34">
        <f>IF(ISNUMBER($F$114),-$F$114,0)</f>
        <v/>
      </c>
      <c r="M138" s="34">
        <f>IF(ISNUMBER($F$114),-$F$114,0)</f>
        <v/>
      </c>
      <c r="N138" s="34">
        <f>IF(ISNUMBER($F$114),-$F$114,0)</f>
        <v/>
      </c>
      <c r="O138" s="34">
        <f>IF(ISNUMBER($F$114),-$F$114,0)</f>
        <v/>
      </c>
      <c r="P138" s="34">
        <f>IF(ISNUMBER($F$114),-$F$114,0)</f>
        <v/>
      </c>
      <c r="Q138" s="34">
        <f>IF(ISNUMBER($F$114),-$F$114,0)</f>
        <v/>
      </c>
      <c r="R138" s="34">
        <f>IF(ISNUMBER($F$114),-$F$114,0)</f>
        <v/>
      </c>
      <c r="S138" s="34">
        <f>IF(ISNUMBER($F$114),-$F$114,0)</f>
        <v/>
      </c>
      <c r="T138" s="34">
        <f>IF(ISNUMBER($F$114),-$F$114,0)</f>
        <v/>
      </c>
      <c r="U138" s="34">
        <f>IF(ISNUMBER($F$114),-$F$114,0)</f>
        <v/>
      </c>
      <c r="V138" s="34">
        <f>IF(ISNUMBER($F$114),-$F$114,0)</f>
        <v/>
      </c>
      <c r="W138" s="34">
        <f>IF(ISNUMBER($F$114),-$F$114,0)</f>
        <v/>
      </c>
      <c r="X138" s="34">
        <f>0</f>
        <v/>
      </c>
      <c r="Y138" s="34">
        <f>0</f>
        <v/>
      </c>
      <c r="Z138" s="34">
        <f>0</f>
        <v/>
      </c>
    </row>
    <row r="139">
      <c r="B139" s="5" t="inlineStr">
        <is>
          <t>תזרים נקי — תרחיש B</t>
        </is>
      </c>
      <c r="C139" s="9" t="inlineStr">
        <is>
          <t>₪</t>
        </is>
      </c>
      <c r="D139" s="9" t="inlineStr">
        <is>
          <t>חישוב</t>
        </is>
      </c>
      <c r="F139" s="34">
        <f>F136</f>
        <v/>
      </c>
      <c r="G139" s="34">
        <f>G137+G138+G121</f>
        <v/>
      </c>
      <c r="H139" s="34">
        <f>H137+H138+H121</f>
        <v/>
      </c>
      <c r="I139" s="34">
        <f>I137+I138+I121</f>
        <v/>
      </c>
      <c r="J139" s="34">
        <f>J137+J138+J121</f>
        <v/>
      </c>
      <c r="K139" s="34">
        <f>K137+K138+K121</f>
        <v/>
      </c>
      <c r="L139" s="34">
        <f>L137+L138+L121</f>
        <v/>
      </c>
      <c r="M139" s="34">
        <f>M137+M138+M121</f>
        <v/>
      </c>
      <c r="N139" s="34">
        <f>N137+N138+N121</f>
        <v/>
      </c>
      <c r="O139" s="34">
        <f>O137+O138+O121</f>
        <v/>
      </c>
      <c r="P139" s="34">
        <f>P137+P138+P121</f>
        <v/>
      </c>
      <c r="Q139" s="34">
        <f>Q137+Q138+Q121</f>
        <v/>
      </c>
      <c r="R139" s="34">
        <f>R137+R138+R121</f>
        <v/>
      </c>
      <c r="S139" s="34">
        <f>S137+S138+S121</f>
        <v/>
      </c>
      <c r="T139" s="34">
        <f>T137+T138+T121</f>
        <v/>
      </c>
      <c r="U139" s="34">
        <f>U137+U138+U121</f>
        <v/>
      </c>
      <c r="V139" s="34">
        <f>V137+V138+V121</f>
        <v/>
      </c>
      <c r="W139" s="34">
        <f>W137+W138+W121</f>
        <v/>
      </c>
      <c r="X139" s="34">
        <f>X137+X138+X121</f>
        <v/>
      </c>
      <c r="Y139" s="34">
        <f>Y137+Y138+Y121</f>
        <v/>
      </c>
      <c r="Z139" s="34">
        <f>Z137+Z138+Z121</f>
        <v/>
      </c>
    </row>
    <row r="140">
      <c r="B140" s="5" t="inlineStr">
        <is>
          <t>תזרים מהוון — תרחיש B</t>
        </is>
      </c>
      <c r="C140" s="9" t="inlineStr">
        <is>
          <t>₪</t>
        </is>
      </c>
      <c r="D140" s="9" t="inlineStr">
        <is>
          <t>חישוב</t>
        </is>
      </c>
      <c r="F140" s="34">
        <f>F139</f>
        <v/>
      </c>
      <c r="G140" s="34">
        <f>G139/(1+'נתונים והנחות'!$F$11)^1</f>
        <v/>
      </c>
      <c r="H140" s="34">
        <f>H139/(1+'נתונים והנחות'!$F$11)^2</f>
        <v/>
      </c>
      <c r="I140" s="34">
        <f>I139/(1+'נתונים והנחות'!$F$11)^3</f>
        <v/>
      </c>
      <c r="J140" s="34">
        <f>J139/(1+'נתונים והנחות'!$F$11)^4</f>
        <v/>
      </c>
      <c r="K140" s="34">
        <f>K139/(1+'נתונים והנחות'!$F$11)^5</f>
        <v/>
      </c>
      <c r="L140" s="34">
        <f>L139/(1+'נתונים והנחות'!$F$11)^6</f>
        <v/>
      </c>
      <c r="M140" s="34">
        <f>M139/(1+'נתונים והנחות'!$F$11)^7</f>
        <v/>
      </c>
      <c r="N140" s="34">
        <f>N139/(1+'נתונים והנחות'!$F$11)^8</f>
        <v/>
      </c>
      <c r="O140" s="34">
        <f>O139/(1+'נתונים והנחות'!$F$11)^9</f>
        <v/>
      </c>
      <c r="P140" s="34">
        <f>P139/(1+'נתונים והנחות'!$F$11)^10</f>
        <v/>
      </c>
      <c r="Q140" s="34">
        <f>Q139/(1+'נתונים והנחות'!$F$11)^11</f>
        <v/>
      </c>
      <c r="R140" s="34">
        <f>R139/(1+'נתונים והנחות'!$F$11)^12</f>
        <v/>
      </c>
      <c r="S140" s="34">
        <f>S139/(1+'נתונים והנחות'!$F$11)^13</f>
        <v/>
      </c>
      <c r="T140" s="34">
        <f>T139/(1+'נתונים והנחות'!$F$11)^14</f>
        <v/>
      </c>
      <c r="U140" s="34">
        <f>U139/(1+'נתונים והנחות'!$F$11)^15</f>
        <v/>
      </c>
      <c r="V140" s="34">
        <f>V139/(1+'נתונים והנחות'!$F$11)^16</f>
        <v/>
      </c>
      <c r="W140" s="34">
        <f>W139/(1+'נתונים והנחות'!$F$11)^17</f>
        <v/>
      </c>
      <c r="X140" s="34">
        <f>X139/(1+'נתונים והנחות'!$F$11)^18</f>
        <v/>
      </c>
      <c r="Y140" s="34">
        <f>Y139/(1+'נתונים והנחות'!$F$11)^19</f>
        <v/>
      </c>
      <c r="Z140" s="34">
        <f>Z139/(1+'נתונים והנחות'!$F$11)^20</f>
        <v/>
      </c>
    </row>
    <row r="141">
      <c r="B141" s="5" t="inlineStr">
        <is>
          <t>NPV מצטבר — תרחיש B</t>
        </is>
      </c>
      <c r="C141" s="9" t="inlineStr">
        <is>
          <t>₪</t>
        </is>
      </c>
      <c r="D141" s="9" t="inlineStr">
        <is>
          <t>חישוב</t>
        </is>
      </c>
      <c r="F141" s="34">
        <f>F140</f>
        <v/>
      </c>
      <c r="G141" s="34">
        <f>F141+G140</f>
        <v/>
      </c>
      <c r="H141" s="34">
        <f>G141+H140</f>
        <v/>
      </c>
      <c r="I141" s="34">
        <f>H141+I140</f>
        <v/>
      </c>
      <c r="J141" s="34">
        <f>I141+J140</f>
        <v/>
      </c>
      <c r="K141" s="34">
        <f>J141+K140</f>
        <v/>
      </c>
      <c r="L141" s="34">
        <f>K141+L140</f>
        <v/>
      </c>
      <c r="M141" s="34">
        <f>L141+M140</f>
        <v/>
      </c>
      <c r="N141" s="34">
        <f>M141+N140</f>
        <v/>
      </c>
      <c r="O141" s="34">
        <f>N141+O140</f>
        <v/>
      </c>
      <c r="P141" s="34">
        <f>O141+P140</f>
        <v/>
      </c>
      <c r="Q141" s="34">
        <f>P141+Q140</f>
        <v/>
      </c>
      <c r="R141" s="34">
        <f>Q141+R140</f>
        <v/>
      </c>
      <c r="S141" s="34">
        <f>R141+S140</f>
        <v/>
      </c>
      <c r="T141" s="34">
        <f>S141+T140</f>
        <v/>
      </c>
      <c r="U141" s="34">
        <f>T141+U140</f>
        <v/>
      </c>
      <c r="V141" s="34">
        <f>U141+V140</f>
        <v/>
      </c>
      <c r="W141" s="34">
        <f>V141+W140</f>
        <v/>
      </c>
      <c r="X141" s="34">
        <f>W141+X140</f>
        <v/>
      </c>
      <c r="Y141" s="34">
        <f>X141+Y140</f>
        <v/>
      </c>
      <c r="Z141" s="34">
        <f>Y141+Z140</f>
        <v/>
      </c>
    </row>
    <row r="143">
      <c r="B143" s="38" t="inlineStr">
        <is>
          <t>תרחיש C — רכישת צ'ילרים | פחת מואץ (עם תמריץ)</t>
        </is>
      </c>
    </row>
    <row r="144">
      <c r="B144" s="23" t="inlineStr">
        <is>
          <t>* OPEX זהה לתרחיש B — ההבדל הוא מגן המס המואץ בלבד</t>
        </is>
      </c>
    </row>
    <row r="145">
      <c r="B145" s="6" t="inlineStr">
        <is>
          <t>תזרים נקי — תרחיש C</t>
        </is>
      </c>
      <c r="C145" s="9" t="inlineStr">
        <is>
          <t>₪</t>
        </is>
      </c>
      <c r="D145" s="9" t="inlineStr">
        <is>
          <t>חישוב</t>
        </is>
      </c>
      <c r="F145" s="35">
        <f>F136</f>
        <v/>
      </c>
      <c r="G145" s="35">
        <f>G137+G138+G123</f>
        <v/>
      </c>
      <c r="H145" s="35">
        <f>H137+H138+H123</f>
        <v/>
      </c>
      <c r="I145" s="35">
        <f>I137+I138+I123</f>
        <v/>
      </c>
      <c r="J145" s="35">
        <f>J137+J138+J123</f>
        <v/>
      </c>
      <c r="K145" s="35">
        <f>K137+K138+K123</f>
        <v/>
      </c>
      <c r="L145" s="35">
        <f>L137+L138+L123</f>
        <v/>
      </c>
      <c r="M145" s="35">
        <f>M137+M138+M123</f>
        <v/>
      </c>
      <c r="N145" s="35">
        <f>N137+N138+N123</f>
        <v/>
      </c>
      <c r="O145" s="35">
        <f>O137+O138+O123</f>
        <v/>
      </c>
      <c r="P145" s="35">
        <f>P137+P138+P123</f>
        <v/>
      </c>
      <c r="Q145" s="35">
        <f>Q137+Q138+Q123</f>
        <v/>
      </c>
      <c r="R145" s="35">
        <f>R137+R138+R123</f>
        <v/>
      </c>
      <c r="S145" s="35">
        <f>S137+S138+S123</f>
        <v/>
      </c>
      <c r="T145" s="35">
        <f>T137+T138+T123</f>
        <v/>
      </c>
      <c r="U145" s="35">
        <f>U137+U138+U123</f>
        <v/>
      </c>
      <c r="V145" s="35">
        <f>V137+V138+V123</f>
        <v/>
      </c>
      <c r="W145" s="35">
        <f>W137+W138+W123</f>
        <v/>
      </c>
      <c r="X145" s="35">
        <f>X137+X138+X123</f>
        <v/>
      </c>
      <c r="Y145" s="35">
        <f>Y137+Y138+Y123</f>
        <v/>
      </c>
      <c r="Z145" s="35">
        <f>Z137+Z138+Z123</f>
        <v/>
      </c>
    </row>
    <row r="146">
      <c r="B146" s="6" t="inlineStr">
        <is>
          <t>תזרים מהוון — תרחיש C</t>
        </is>
      </c>
      <c r="C146" s="9" t="inlineStr">
        <is>
          <t>₪</t>
        </is>
      </c>
      <c r="D146" s="9" t="inlineStr">
        <is>
          <t>חישוב</t>
        </is>
      </c>
      <c r="F146" s="35">
        <f>F145</f>
        <v/>
      </c>
      <c r="G146" s="35">
        <f>G145/(1+'נתונים והנחות'!$F$11)^1</f>
        <v/>
      </c>
      <c r="H146" s="35">
        <f>H145/(1+'נתונים והנחות'!$F$11)^2</f>
        <v/>
      </c>
      <c r="I146" s="35">
        <f>I145/(1+'נתונים והנחות'!$F$11)^3</f>
        <v/>
      </c>
      <c r="J146" s="35">
        <f>J145/(1+'נתונים והנחות'!$F$11)^4</f>
        <v/>
      </c>
      <c r="K146" s="35">
        <f>K145/(1+'נתונים והנחות'!$F$11)^5</f>
        <v/>
      </c>
      <c r="L146" s="35">
        <f>L145/(1+'נתונים והנחות'!$F$11)^6</f>
        <v/>
      </c>
      <c r="M146" s="35">
        <f>M145/(1+'נתונים והנחות'!$F$11)^7</f>
        <v/>
      </c>
      <c r="N146" s="35">
        <f>N145/(1+'נתונים והנחות'!$F$11)^8</f>
        <v/>
      </c>
      <c r="O146" s="35">
        <f>O145/(1+'נתונים והנחות'!$F$11)^9</f>
        <v/>
      </c>
      <c r="P146" s="35">
        <f>P145/(1+'נתונים והנחות'!$F$11)^10</f>
        <v/>
      </c>
      <c r="Q146" s="35">
        <f>Q145/(1+'נתונים והנחות'!$F$11)^11</f>
        <v/>
      </c>
      <c r="R146" s="35">
        <f>R145/(1+'נתונים והנחות'!$F$11)^12</f>
        <v/>
      </c>
      <c r="S146" s="35">
        <f>S145/(1+'נתונים והנחות'!$F$11)^13</f>
        <v/>
      </c>
      <c r="T146" s="35">
        <f>T145/(1+'נתונים והנחות'!$F$11)^14</f>
        <v/>
      </c>
      <c r="U146" s="35">
        <f>U145/(1+'נתונים והנחות'!$F$11)^15</f>
        <v/>
      </c>
      <c r="V146" s="35">
        <f>V145/(1+'נתונים והנחות'!$F$11)^16</f>
        <v/>
      </c>
      <c r="W146" s="35">
        <f>W145/(1+'נתונים והנחות'!$F$11)^17</f>
        <v/>
      </c>
      <c r="X146" s="35">
        <f>X145/(1+'נתונים והנחות'!$F$11)^18</f>
        <v/>
      </c>
      <c r="Y146" s="35">
        <f>Y145/(1+'נתונים והנחות'!$F$11)^19</f>
        <v/>
      </c>
      <c r="Z146" s="35">
        <f>Z145/(1+'נתונים והנחות'!$F$11)^20</f>
        <v/>
      </c>
    </row>
    <row r="147">
      <c r="B147" s="6" t="inlineStr">
        <is>
          <t>NPV מצטבר — תרחיש C</t>
        </is>
      </c>
      <c r="C147" s="9" t="inlineStr">
        <is>
          <t>₪</t>
        </is>
      </c>
      <c r="D147" s="9" t="inlineStr">
        <is>
          <t>חישוב</t>
        </is>
      </c>
      <c r="F147" s="35">
        <f>F146</f>
        <v/>
      </c>
      <c r="G147" s="35">
        <f>F147+G146</f>
        <v/>
      </c>
      <c r="H147" s="35">
        <f>G147+H146</f>
        <v/>
      </c>
      <c r="I147" s="35">
        <f>H147+I146</f>
        <v/>
      </c>
      <c r="J147" s="35">
        <f>I147+J146</f>
        <v/>
      </c>
      <c r="K147" s="35">
        <f>J147+K146</f>
        <v/>
      </c>
      <c r="L147" s="35">
        <f>K147+L146</f>
        <v/>
      </c>
      <c r="M147" s="35">
        <f>L147+M146</f>
        <v/>
      </c>
      <c r="N147" s="35">
        <f>M147+N146</f>
        <v/>
      </c>
      <c r="O147" s="35">
        <f>N147+O146</f>
        <v/>
      </c>
      <c r="P147" s="35">
        <f>O147+P146</f>
        <v/>
      </c>
      <c r="Q147" s="35">
        <f>P147+Q146</f>
        <v/>
      </c>
      <c r="R147" s="35">
        <f>Q147+R146</f>
        <v/>
      </c>
      <c r="S147" s="35">
        <f>R147+S146</f>
        <v/>
      </c>
      <c r="T147" s="35">
        <f>S147+T146</f>
        <v/>
      </c>
      <c r="U147" s="35">
        <f>T147+U146</f>
        <v/>
      </c>
      <c r="V147" s="35">
        <f>U147+V146</f>
        <v/>
      </c>
      <c r="W147" s="35">
        <f>V147+W146</f>
        <v/>
      </c>
      <c r="X147" s="35">
        <f>W147+X146</f>
        <v/>
      </c>
      <c r="Y147" s="35">
        <f>X147+Y146</f>
        <v/>
      </c>
      <c r="Z147" s="35">
        <f>Y147+Z146</f>
        <v/>
      </c>
    </row>
    <row r="149">
      <c r="B149" s="25" t="inlineStr">
        <is>
          <t>ד. תוצאות</t>
        </is>
      </c>
    </row>
    <row r="150">
      <c r="B150" s="39" t="inlineStr">
        <is>
          <t>NPV — תרחיש A (מערכת קירור קונבנציונלית)</t>
        </is>
      </c>
      <c r="C150" s="9" t="inlineStr">
        <is>
          <t>ש"ח</t>
        </is>
      </c>
      <c r="F150" s="33">
        <f>SUM(F132:Z132)</f>
        <v/>
      </c>
    </row>
    <row r="151">
      <c r="B151" s="40" t="inlineStr">
        <is>
          <t>NPV — תרחיש B (צ'ילרים, ללא תמריץ)</t>
        </is>
      </c>
      <c r="C151" s="9" t="inlineStr">
        <is>
          <t>ש"ח</t>
        </is>
      </c>
      <c r="F151" s="34">
        <f>SUM(F140:Z140)</f>
        <v/>
      </c>
    </row>
    <row r="152">
      <c r="B152" s="41" t="inlineStr">
        <is>
          <t>NPV — תרחיש C (צ'ילרים, עם תמריץ)</t>
        </is>
      </c>
      <c r="C152" s="9" t="inlineStr">
        <is>
          <t>ש"ח</t>
        </is>
      </c>
      <c r="F152" s="35">
        <f>SUM(F146:Z146)</f>
        <v/>
      </c>
    </row>
    <row r="154">
      <c r="B154" s="42" t="inlineStr">
        <is>
          <t>NPV מצטבר — הצדקת השדרוג (B−A)</t>
        </is>
      </c>
      <c r="C154" s="9" t="inlineStr">
        <is>
          <t>ש"ח</t>
        </is>
      </c>
      <c r="F154" s="43">
        <f>F151-F150</f>
        <v/>
      </c>
    </row>
    <row r="155">
      <c r="B155" s="44" t="inlineStr">
        <is>
          <t>ערך התמריץ — תועלת הפחת המואץ (C−B)</t>
        </is>
      </c>
      <c r="C155" s="9" t="inlineStr">
        <is>
          <t>ש"ח</t>
        </is>
      </c>
      <c r="F155" s="45">
        <f>F152-F151</f>
        <v/>
      </c>
    </row>
    <row r="157">
      <c r="B157" s="39" t="inlineStr">
        <is>
          <t>ROI — תרחיש A</t>
        </is>
      </c>
      <c r="C157" s="9" t="inlineStr">
        <is>
          <t>%</t>
        </is>
      </c>
      <c r="F157" s="46">
        <f>IF(ISNUMBER($F$101),(SUM(F132:Z132)+$F$101)/$F$101,"PENDING")</f>
        <v/>
      </c>
    </row>
    <row r="158">
      <c r="B158" s="40" t="inlineStr">
        <is>
          <t>ROI — תרחיש B</t>
        </is>
      </c>
      <c r="C158" s="9" t="inlineStr">
        <is>
          <t>%</t>
        </is>
      </c>
      <c r="F158" s="47">
        <f>IF(ISNUMBER($F$102),(SUM(F140:Z140)+$F$102)/$F$102,"PENDING")</f>
        <v/>
      </c>
    </row>
    <row r="159">
      <c r="B159" s="41" t="inlineStr">
        <is>
          <t>ROI — תרחיש C</t>
        </is>
      </c>
      <c r="C159" s="9" t="inlineStr">
        <is>
          <t>%</t>
        </is>
      </c>
      <c r="F159" s="48">
        <f>IF(ISNUMBER($F$102),(SUM(F146:Z146)+$F$102)/$F$102,"PENDING")</f>
        <v/>
      </c>
    </row>
    <row r="161">
      <c r="B161" s="39" t="inlineStr">
        <is>
          <t>תקופת החזר A (NPV)</t>
        </is>
      </c>
      <c r="C161" s="9" t="inlineStr">
        <is>
          <t>שנים</t>
        </is>
      </c>
      <c r="F161" s="49">
        <f>IFERROR(MATCH(1,(F133:Z133&gt;0)*1,0)-2+ABS(INDEX(F133:Z133,MATCH(1,(F133:Z133&gt;0)*1,0)-1))/(INDEX(F133:Z133,MATCH(1,(F133:Z133&gt;0)*1,0))-INDEX(F133:Z133,MATCH(1,(F133:Z133&gt;0)*1,0)-1)),"לא מגיע לפירעון")</f>
        <v/>
      </c>
    </row>
    <row r="162">
      <c r="B162" s="40" t="inlineStr">
        <is>
          <t>תקופת החזר B — CapEx יעיל (NPV)</t>
        </is>
      </c>
      <c r="C162" s="9" t="inlineStr">
        <is>
          <t>שנים</t>
        </is>
      </c>
      <c r="F162" s="50">
        <f>IFERROR(MATCH(1,(F141:Z141&gt;0)*1,0)-2+ABS(INDEX(F141:Z141,MATCH(1,(F141:Z141&gt;0)*1,0)-1))/(INDEX(F141:Z141,MATCH(1,(F141:Z141&gt;0)*1,0))-INDEX(F141:Z141,MATCH(1,(F141:Z141&gt;0)*1,0)-1)),"לא מגיע לפירעון")</f>
        <v/>
      </c>
    </row>
    <row r="163">
      <c r="B163" s="41" t="inlineStr">
        <is>
          <t>תקופת החזר C — CapEx יעיל + תמריץ (NPV)</t>
        </is>
      </c>
      <c r="C163" s="9" t="inlineStr">
        <is>
          <t>שנים</t>
        </is>
      </c>
      <c r="F163" s="51">
        <f>IFERROR(MATCH(1,(F147:Z147&gt;0)*1,0)-2+ABS(INDEX(F147:Z147,MATCH(1,(F147:Z147&gt;0)*1,0)-1))/(INDEX(F147:Z147,MATCH(1,(F147:Z147&gt;0)*1,0))-INDEX(F147:Z147,MATCH(1,(F147:Z147&gt;0)*1,0)-1)),"לא מגיע לפירעון")</f>
        <v/>
      </c>
    </row>
    <row r="164">
      <c r="B164" s="42" t="inlineStr">
        <is>
          <t>תקופת החזר ΔCapEx ללא תמריץ (B−A)</t>
        </is>
      </c>
      <c r="C164" s="9" t="inlineStr">
        <is>
          <t>שנים</t>
        </is>
      </c>
      <c r="E164" s="23" t="inlineStr">
        <is>
          <t>זמן להחזר ההשקעה הנוספת | מחושב על ΔCF = CF_B − CF_A</t>
        </is>
      </c>
      <c r="F164" s="52">
        <f>IFERROR(MATCH(1,(F170:Z170&gt;0)*1,0)-2+ABS(INDEX(F170:Z170,MATCH(1,(F170:Z170&gt;0)*1,0)-1))/(INDEX(F170:Z170,MATCH(1,(F170:Z170&gt;0)*1,0))-INDEX(F170:Z170,MATCH(1,(F170:Z170&gt;0)*1,0)-1)),"לא מגיע לפירעון")</f>
        <v/>
      </c>
    </row>
    <row r="165">
      <c r="B165" s="53" t="inlineStr">
        <is>
          <t>תקופת החזר ΔCapEx עם תמריץ (C−A)</t>
        </is>
      </c>
      <c r="C165" s="54" t="inlineStr">
        <is>
          <t>שנים</t>
        </is>
      </c>
      <c r="E165" s="23" t="inlineStr">
        <is>
          <t>כולל יתרון מגן המס המואץ | מחושב על ΔCF = CF_C − CF_A</t>
        </is>
      </c>
      <c r="F165" s="55">
        <f>IFERROR(MATCH(1,(F171:Z171&gt;0)*1,0)-2+ABS(INDEX(F171:Z171,MATCH(1,(F171:Z171&gt;0)*1,0)-1))/(INDEX(F171:Z171,MATCH(1,(F171:Z171&gt;0)*1,0))-INDEX(F171:Z171,MATCH(1,(F171:Z171&gt;0)*1,0)-1)),"לא מגיע לפירעון")</f>
        <v/>
      </c>
    </row>
    <row r="168">
      <c r="B168" s="25" t="inlineStr">
        <is>
          <t>NPV מצטבר — מנקודת מבט ΔCapEx (לחישוב תקופת החזר על השקעה נוספת)</t>
        </is>
      </c>
    </row>
    <row r="169">
      <c r="B169" s="32" t="inlineStr">
        <is>
          <t>פרמטר</t>
        </is>
      </c>
      <c r="C169" s="32" t="inlineStr">
        <is>
          <t>יחידות</t>
        </is>
      </c>
      <c r="D169" s="32" t="inlineStr">
        <is>
          <t>מקור</t>
        </is>
      </c>
      <c r="E169" s="32" t="inlineStr">
        <is>
          <t>הערות</t>
        </is>
      </c>
      <c r="F169" s="32" t="inlineStr">
        <is>
          <t>שנה 0</t>
        </is>
      </c>
      <c r="G169" s="32" t="inlineStr">
        <is>
          <t>שנה 1</t>
        </is>
      </c>
      <c r="H169" s="32" t="inlineStr">
        <is>
          <t>שנה 2</t>
        </is>
      </c>
      <c r="I169" s="32" t="inlineStr">
        <is>
          <t>שנה 3</t>
        </is>
      </c>
      <c r="J169" s="32" t="inlineStr">
        <is>
          <t>שנה 4</t>
        </is>
      </c>
      <c r="K169" s="32" t="inlineStr">
        <is>
          <t>שנה 5</t>
        </is>
      </c>
      <c r="L169" s="32" t="inlineStr">
        <is>
          <t>שנה 6</t>
        </is>
      </c>
      <c r="M169" s="32" t="inlineStr">
        <is>
          <t>שנה 7</t>
        </is>
      </c>
      <c r="N169" s="32" t="inlineStr">
        <is>
          <t>שנה 8</t>
        </is>
      </c>
      <c r="O169" s="32" t="inlineStr">
        <is>
          <t>שנה 9</t>
        </is>
      </c>
      <c r="P169" s="32" t="inlineStr">
        <is>
          <t>שנה 10</t>
        </is>
      </c>
      <c r="Q169" s="32" t="inlineStr">
        <is>
          <t>שנה 11</t>
        </is>
      </c>
      <c r="R169" s="32" t="inlineStr">
        <is>
          <t>שנה 12</t>
        </is>
      </c>
      <c r="S169" s="32" t="inlineStr">
        <is>
          <t>שנה 13</t>
        </is>
      </c>
      <c r="T169" s="32" t="inlineStr">
        <is>
          <t>שנה 14</t>
        </is>
      </c>
      <c r="U169" s="32" t="inlineStr">
        <is>
          <t>שנה 15</t>
        </is>
      </c>
      <c r="V169" s="32" t="inlineStr">
        <is>
          <t>שנה 16</t>
        </is>
      </c>
      <c r="W169" s="32" t="inlineStr">
        <is>
          <t>שנה 17</t>
        </is>
      </c>
      <c r="X169" s="32" t="inlineStr">
        <is>
          <t>שנה 18</t>
        </is>
      </c>
      <c r="Y169" s="32" t="inlineStr">
        <is>
          <t>שנה 19</t>
        </is>
      </c>
      <c r="Z169" s="32" t="inlineStr">
        <is>
          <t>שנה 20</t>
        </is>
      </c>
    </row>
    <row r="170">
      <c r="B170" s="2" t="inlineStr">
        <is>
          <t>NPV מצטבר ΔCF — שדרוג ללא תמריץ (B−A)</t>
        </is>
      </c>
      <c r="C170" s="9" t="inlineStr">
        <is>
          <t>₪</t>
        </is>
      </c>
      <c r="D170" s="9" t="inlineStr">
        <is>
          <t>חישוב</t>
        </is>
      </c>
      <c r="F170" s="43">
        <f>IF(ISNUMBER($F$103),-$F$103,"PENDING")</f>
        <v/>
      </c>
      <c r="G170" s="43">
        <f>F170+(G140-G132)</f>
        <v/>
      </c>
      <c r="H170" s="43">
        <f>G170+(H140-H132)</f>
        <v/>
      </c>
      <c r="I170" s="43">
        <f>H170+(I140-I132)</f>
        <v/>
      </c>
      <c r="J170" s="43">
        <f>I170+(J140-J132)</f>
        <v/>
      </c>
      <c r="K170" s="43">
        <f>J170+(K140-K132)</f>
        <v/>
      </c>
      <c r="L170" s="43">
        <f>K170+(L140-L132)</f>
        <v/>
      </c>
      <c r="M170" s="43">
        <f>L170+(M140-M132)</f>
        <v/>
      </c>
      <c r="N170" s="43">
        <f>M170+(N140-N132)</f>
        <v/>
      </c>
      <c r="O170" s="43">
        <f>N170+(O140-O132)</f>
        <v/>
      </c>
      <c r="P170" s="43">
        <f>O170+(P140-P132)</f>
        <v/>
      </c>
      <c r="Q170" s="43">
        <f>P170+(Q140-Q132)</f>
        <v/>
      </c>
      <c r="R170" s="43">
        <f>Q170+(R140-R132)</f>
        <v/>
      </c>
      <c r="S170" s="43">
        <f>R170+(S140-S132)</f>
        <v/>
      </c>
      <c r="T170" s="43">
        <f>S170+(T140-T132)</f>
        <v/>
      </c>
      <c r="U170" s="43">
        <f>T170+(U140-U132)</f>
        <v/>
      </c>
      <c r="V170" s="43">
        <f>U170+(V140-V132)</f>
        <v/>
      </c>
      <c r="W170" s="43">
        <f>V170+(W140-W132)</f>
        <v/>
      </c>
      <c r="X170" s="43">
        <f>W170+(X140-X132)</f>
        <v/>
      </c>
      <c r="Y170" s="43">
        <f>X170+(Y140-Y132)</f>
        <v/>
      </c>
      <c r="Z170" s="43">
        <f>Y170+(Z140-Z132)</f>
        <v/>
      </c>
    </row>
    <row r="171">
      <c r="B171" s="7" t="inlineStr">
        <is>
          <t>NPV מצטבר ΔCF — שדרוג עם תמריץ (C−A)</t>
        </is>
      </c>
      <c r="C171" s="9" t="inlineStr">
        <is>
          <t>₪</t>
        </is>
      </c>
      <c r="D171" s="9" t="inlineStr">
        <is>
          <t>חישוב</t>
        </is>
      </c>
      <c r="F171" s="45">
        <f>IF(ISNUMBER($F$103),-$F$103,"PENDING")</f>
        <v/>
      </c>
      <c r="G171" s="45">
        <f>F171+(G146-G132)</f>
        <v/>
      </c>
      <c r="H171" s="45">
        <f>G171+(H146-H132)</f>
        <v/>
      </c>
      <c r="I171" s="45">
        <f>H171+(I146-I132)</f>
        <v/>
      </c>
      <c r="J171" s="45">
        <f>I171+(J146-J132)</f>
        <v/>
      </c>
      <c r="K171" s="45">
        <f>J171+(K146-K132)</f>
        <v/>
      </c>
      <c r="L171" s="45">
        <f>K171+(L146-L132)</f>
        <v/>
      </c>
      <c r="M171" s="45">
        <f>L171+(M146-M132)</f>
        <v/>
      </c>
      <c r="N171" s="45">
        <f>M171+(N146-N132)</f>
        <v/>
      </c>
      <c r="O171" s="45">
        <f>N171+(O146-O132)</f>
        <v/>
      </c>
      <c r="P171" s="45">
        <f>O171+(P146-P132)</f>
        <v/>
      </c>
      <c r="Q171" s="45">
        <f>P171+(Q146-Q132)</f>
        <v/>
      </c>
      <c r="R171" s="45">
        <f>Q171+(R146-R132)</f>
        <v/>
      </c>
      <c r="S171" s="45">
        <f>R171+(S146-S132)</f>
        <v/>
      </c>
      <c r="T171" s="45">
        <f>S171+(T146-T132)</f>
        <v/>
      </c>
      <c r="U171" s="45">
        <f>T171+(U146-U132)</f>
        <v/>
      </c>
      <c r="V171" s="45">
        <f>U171+(V146-V132)</f>
        <v/>
      </c>
      <c r="W171" s="45">
        <f>V171+(W146-W132)</f>
        <v/>
      </c>
      <c r="X171" s="45">
        <f>W171+(X146-X132)</f>
        <v/>
      </c>
      <c r="Y171" s="45">
        <f>X171+(Y146-Y132)</f>
        <v/>
      </c>
      <c r="Z171" s="45">
        <f>Y171+(Z146-Z132)</f>
        <v/>
      </c>
    </row>
    <row r="175">
      <c r="B175" s="24" t="inlineStr">
        <is>
          <t>3.3  מדחסי VSD</t>
        </is>
      </c>
    </row>
    <row r="176">
      <c r="B176" s="23" t="inlineStr">
        <is>
          <t>* מדחסי אוויר עם בקרת מהירות משתנה | חיסכון ~20% | אורך חיים: 12 שנה</t>
        </is>
      </c>
    </row>
    <row r="177">
      <c r="B177" s="25" t="inlineStr">
        <is>
          <t>א. נתוני השקעה וציוד</t>
        </is>
      </c>
    </row>
    <row r="178">
      <c r="B178" s="18" t="inlineStr">
        <is>
          <t>CapEx — מדחס מהירות קבועה</t>
        </is>
      </c>
      <c r="C178" s="9" t="inlineStr">
        <is>
          <t>₪</t>
        </is>
      </c>
      <c r="D178" s="9" t="inlineStr">
        <is>
          <t>נתוני רפי</t>
        </is>
      </c>
      <c r="E178" s="26" t="inlineStr">
        <is>
          <t>⚠ ממתין</t>
        </is>
      </c>
      <c r="F178" s="27" t="inlineStr">
        <is>
          <t>PENDING</t>
        </is>
      </c>
    </row>
    <row r="179">
      <c r="B179" s="18" t="inlineStr">
        <is>
          <t>CapEx — מדחסי VSD</t>
        </is>
      </c>
      <c r="C179" s="9" t="inlineStr">
        <is>
          <t>₪</t>
        </is>
      </c>
      <c r="D179" s="9" t="inlineStr">
        <is>
          <t>נתוני רפי</t>
        </is>
      </c>
      <c r="E179" s="26" t="inlineStr">
        <is>
          <t>⚠ ממתין</t>
        </is>
      </c>
      <c r="F179" s="27" t="inlineStr">
        <is>
          <t>PENDING</t>
        </is>
      </c>
    </row>
    <row r="180">
      <c r="B180" s="18" t="inlineStr">
        <is>
          <t>ΔCapEx — השקעה נוספת</t>
        </is>
      </c>
      <c r="C180" s="9" t="inlineStr">
        <is>
          <t>₪</t>
        </is>
      </c>
      <c r="D180" s="9" t="inlineStr">
        <is>
          <t>חישוב</t>
        </is>
      </c>
      <c r="E180" s="9">
        <f> CapEx יעיל − CapEx בסיסי</f>
        <v/>
      </c>
      <c r="F180" s="28">
        <f>IF(ISNUMBER($F$179)*ISNUMBER($F$178),$F$179-$F$178,"PENDING")</f>
        <v/>
      </c>
    </row>
    <row r="181">
      <c r="B181" s="18" t="inlineStr">
        <is>
          <t>אורך חיי ציוד — מדחס מהירות קבועה</t>
        </is>
      </c>
      <c r="C181" s="9" t="inlineStr">
        <is>
          <t>שנים</t>
        </is>
      </c>
      <c r="D181" s="9" t="inlineStr">
        <is>
          <t>ממצאי הנדסה</t>
        </is>
      </c>
      <c r="E181" s="9" t="inlineStr">
        <is>
          <t>ברירת מחדל: 12 שנה — לאשר מול רפי</t>
        </is>
      </c>
      <c r="F181" s="29" t="n">
        <v>12</v>
      </c>
    </row>
    <row r="182">
      <c r="B182" s="18" t="inlineStr">
        <is>
          <t>אורך חיי ציוד — מדחסי VSD</t>
        </is>
      </c>
      <c r="C182" s="9" t="inlineStr">
        <is>
          <t>שנים</t>
        </is>
      </c>
      <c r="D182" s="9" t="inlineStr">
        <is>
          <t>ממצאי הנדסה</t>
        </is>
      </c>
      <c r="E182" s="9" t="inlineStr">
        <is>
          <t>ברירת מחדל: 12 שנה — לאשר מול רפי</t>
        </is>
      </c>
      <c r="F182" s="29" t="n">
        <v>12</v>
      </c>
    </row>
    <row r="183">
      <c r="B183" s="18" t="inlineStr">
        <is>
          <t>צריכת אנרגיה שנתית (ציוד בסיסי)</t>
        </is>
      </c>
      <c r="C183" s="9" t="inlineStr">
        <is>
          <t>קוט"ש/שנה</t>
        </is>
      </c>
      <c r="D183" s="9" t="inlineStr">
        <is>
          <t>נתוני רפי</t>
        </is>
      </c>
      <c r="E183" s="26" t="inlineStr">
        <is>
          <t>⚠ ממתין</t>
        </is>
      </c>
      <c r="F183" s="27" t="inlineStr">
        <is>
          <t>PENDING</t>
        </is>
      </c>
    </row>
    <row r="184">
      <c r="B184" s="18" t="inlineStr">
        <is>
          <t>חיסכון אנרגטי</t>
        </is>
      </c>
      <c r="C184" s="9" t="inlineStr">
        <is>
          <t>% מצריכה בסיסית</t>
        </is>
      </c>
      <c r="D184" s="9" t="inlineStr">
        <is>
          <t>ממצאי הנדסה</t>
        </is>
      </c>
      <c r="E184" s="9" t="inlineStr"/>
      <c r="F184" s="10" t="n">
        <v>0.2</v>
      </c>
    </row>
    <row r="185">
      <c r="B185" s="18" t="inlineStr">
        <is>
          <t>צריכת אנרגיה שנתית (ציוד יעיל)</t>
        </is>
      </c>
      <c r="C185" s="9" t="inlineStr">
        <is>
          <t>קוט"ש/שנה</t>
        </is>
      </c>
      <c r="D185" s="9" t="inlineStr">
        <is>
          <t>חישוב</t>
        </is>
      </c>
      <c r="E185" s="9">
        <f> צריכה בסיסית × (1 − חיסכון)</f>
        <v/>
      </c>
      <c r="F185" s="30">
        <f>IF(ISNUMBER($F$183),$F$183*(1-$F$184),"PENDING")</f>
        <v/>
      </c>
    </row>
    <row r="186">
      <c r="B186" s="18" t="inlineStr">
        <is>
          <t>גורם שחיקת ביצועים</t>
        </is>
      </c>
      <c r="C186" s="9" t="inlineStr">
        <is>
          <t>% לשנה</t>
        </is>
      </c>
      <c r="D186" s="9" t="inlineStr">
        <is>
          <t>הנחת עבודה</t>
        </is>
      </c>
      <c r="E186" s="9" t="inlineStr">
        <is>
          <t>ירידה שנתית בחיסכון האנרגטי | 0.5%-1.0%/שנה — לאשר מול רפי</t>
        </is>
      </c>
      <c r="F186" s="11" t="n">
        <v>0.005</v>
      </c>
    </row>
    <row r="187">
      <c r="B187" s="18" t="inlineStr">
        <is>
          <t>מחיר חשמל</t>
        </is>
      </c>
      <c r="C187" s="9" t="inlineStr">
        <is>
          <t>₪/קוט"ש</t>
        </is>
      </c>
      <c r="D187" s="9" t="inlineStr">
        <is>
          <t>גיליון הנחות</t>
        </is>
      </c>
      <c r="F187" s="31">
        <f>'נתונים והנחות'!$F$12/100</f>
        <v/>
      </c>
    </row>
    <row r="188">
      <c r="B188" s="18" t="inlineStr">
        <is>
          <t>OPEX אנרגיה — בסיסי (שנה 1)</t>
        </is>
      </c>
      <c r="C188" s="9" t="inlineStr">
        <is>
          <t>₪/שנה</t>
        </is>
      </c>
      <c r="D188" s="9" t="inlineStr">
        <is>
          <t>חישוב</t>
        </is>
      </c>
      <c r="E188" s="9">
        <f> kWh בסיסי × מחיר חשמל</f>
        <v/>
      </c>
      <c r="F188" s="28">
        <f>IF(ISNUMBER($F$183),$F$183*$F$187,"PENDING")</f>
        <v/>
      </c>
    </row>
    <row r="189">
      <c r="B189" s="18" t="inlineStr">
        <is>
          <t>OPEX אנרגיה — יעיל (שנה 1)</t>
        </is>
      </c>
      <c r="C189" s="9" t="inlineStr">
        <is>
          <t>₪/שנה</t>
        </is>
      </c>
      <c r="D189" s="9" t="inlineStr">
        <is>
          <t>חישוב</t>
        </is>
      </c>
      <c r="E189" s="9">
        <f> kWh יעיל × מחיר חשמל</f>
        <v/>
      </c>
      <c r="F189" s="28">
        <f>IF(ISNUMBER($F$185),$F$185*$F$187,"PENDING")</f>
        <v/>
      </c>
    </row>
    <row r="190">
      <c r="B190" s="18" t="inlineStr">
        <is>
          <t>OPEX אחר — בסיסי (תחזוקה, חלקים וכו')</t>
        </is>
      </c>
      <c r="C190" s="9" t="inlineStr">
        <is>
          <t>₪/שנה</t>
        </is>
      </c>
      <c r="D190" s="9" t="inlineStr">
        <is>
          <t>נתוני רפי</t>
        </is>
      </c>
      <c r="E190" s="26" t="inlineStr">
        <is>
          <t>⚠ ממתין — תחזוקה, חלפים, ביטוח</t>
        </is>
      </c>
      <c r="F190" s="27" t="inlineStr">
        <is>
          <t>PENDING</t>
        </is>
      </c>
    </row>
    <row r="191">
      <c r="B191" s="18" t="inlineStr">
        <is>
          <t>OPEX אחר — יעיל (תחזוקה, חלקים וכו')</t>
        </is>
      </c>
      <c r="C191" s="9" t="inlineStr">
        <is>
          <t>₪/שנה</t>
        </is>
      </c>
      <c r="D191" s="9" t="inlineStr">
        <is>
          <t>נתוני רפי</t>
        </is>
      </c>
      <c r="E191" s="26" t="inlineStr">
        <is>
          <t>⚠ ממתין — תחזוקה, חלפים, ביטוח</t>
        </is>
      </c>
      <c r="F191" s="27" t="inlineStr">
        <is>
          <t>PENDING</t>
        </is>
      </c>
    </row>
    <row r="193">
      <c r="B193" s="25" t="inlineStr">
        <is>
          <t>ב. לוחות פחת (ציוד בסיסי vs. יעיל)</t>
        </is>
      </c>
    </row>
    <row r="194">
      <c r="B194" s="32" t="inlineStr">
        <is>
          <t>פרמטר</t>
        </is>
      </c>
      <c r="C194" s="32" t="inlineStr">
        <is>
          <t>יחידות</t>
        </is>
      </c>
      <c r="D194" s="32" t="inlineStr">
        <is>
          <t>מקור</t>
        </is>
      </c>
      <c r="E194" s="32" t="inlineStr">
        <is>
          <t>הערות</t>
        </is>
      </c>
      <c r="F194" s="32" t="inlineStr">
        <is>
          <t>שנה 0 (השקעה)</t>
        </is>
      </c>
      <c r="G194" s="32" t="inlineStr">
        <is>
          <t>שנה 1</t>
        </is>
      </c>
      <c r="H194" s="32" t="inlineStr">
        <is>
          <t>שנה 2</t>
        </is>
      </c>
      <c r="I194" s="32" t="inlineStr">
        <is>
          <t>שנה 3</t>
        </is>
      </c>
      <c r="J194" s="32" t="inlineStr">
        <is>
          <t>שנה 4</t>
        </is>
      </c>
      <c r="K194" s="32" t="inlineStr">
        <is>
          <t>שנה 5</t>
        </is>
      </c>
      <c r="L194" s="32" t="inlineStr">
        <is>
          <t>שנה 6</t>
        </is>
      </c>
      <c r="M194" s="32" t="inlineStr">
        <is>
          <t>שנה 7</t>
        </is>
      </c>
      <c r="N194" s="32" t="inlineStr">
        <is>
          <t>שנה 8</t>
        </is>
      </c>
      <c r="O194" s="32" t="inlineStr">
        <is>
          <t>שנה 9</t>
        </is>
      </c>
      <c r="P194" s="32" t="inlineStr">
        <is>
          <t>שנה 10</t>
        </is>
      </c>
      <c r="Q194" s="32" t="inlineStr">
        <is>
          <t>שנה 11</t>
        </is>
      </c>
      <c r="R194" s="32" t="inlineStr">
        <is>
          <t>שנה 12</t>
        </is>
      </c>
      <c r="S194" s="32" t="inlineStr">
        <is>
          <t>שנה 13</t>
        </is>
      </c>
      <c r="T194" s="32" t="inlineStr">
        <is>
          <t>שנה 14</t>
        </is>
      </c>
      <c r="U194" s="32" t="inlineStr">
        <is>
          <t>שנה 15</t>
        </is>
      </c>
      <c r="V194" s="32" t="inlineStr">
        <is>
          <t>שנה 16</t>
        </is>
      </c>
      <c r="W194" s="32" t="inlineStr">
        <is>
          <t>שנה 17</t>
        </is>
      </c>
      <c r="X194" s="32" t="inlineStr">
        <is>
          <t>שנה 18</t>
        </is>
      </c>
      <c r="Y194" s="32" t="inlineStr">
        <is>
          <t>שנה 19</t>
        </is>
      </c>
      <c r="Z194" s="32" t="inlineStr">
        <is>
          <t>שנה 20</t>
        </is>
      </c>
    </row>
    <row r="195">
      <c r="B195" s="4" t="inlineStr">
        <is>
          <t>פחת סטנדרטי — מדחס מהירות קבועה</t>
        </is>
      </c>
      <c r="C195" s="9" t="inlineStr">
        <is>
          <t>₪</t>
        </is>
      </c>
      <c r="D195" s="9" t="inlineStr">
        <is>
          <t>חישוב</t>
        </is>
      </c>
      <c r="E195" s="9" t="inlineStr">
        <is>
          <t>קו ישר | 10%/שנה | עד 10 שנים | CapEx בסיסי</t>
        </is>
      </c>
      <c r="F195" s="33" t="n">
        <v>0</v>
      </c>
      <c r="G195" s="33">
        <f>IF(ISNUMBER($F$178),$F$178*0.1,0)</f>
        <v/>
      </c>
      <c r="H195" s="33">
        <f>IF(ISNUMBER($F$178),$F$178*0.1,0)</f>
        <v/>
      </c>
      <c r="I195" s="33">
        <f>IF(ISNUMBER($F$178),$F$178*0.1,0)</f>
        <v/>
      </c>
      <c r="J195" s="33">
        <f>IF(ISNUMBER($F$178),$F$178*0.1,0)</f>
        <v/>
      </c>
      <c r="K195" s="33">
        <f>IF(ISNUMBER($F$178),$F$178*0.1,0)</f>
        <v/>
      </c>
      <c r="L195" s="33">
        <f>IF(ISNUMBER($F$178),$F$178*0.1,0)</f>
        <v/>
      </c>
      <c r="M195" s="33">
        <f>IF(ISNUMBER($F$178),$F$178*0.1,0)</f>
        <v/>
      </c>
      <c r="N195" s="33">
        <f>IF(ISNUMBER($F$178),$F$178*0.1,0)</f>
        <v/>
      </c>
      <c r="O195" s="33">
        <f>IF(ISNUMBER($F$178),$F$178*0.1,0)</f>
        <v/>
      </c>
      <c r="P195" s="33">
        <f>IF(ISNUMBER($F$178),$F$178*0.1,0)</f>
        <v/>
      </c>
      <c r="Q195" s="33">
        <f>0</f>
        <v/>
      </c>
      <c r="R195" s="33">
        <f>0</f>
        <v/>
      </c>
      <c r="S195" s="33">
        <f>0</f>
        <v/>
      </c>
      <c r="T195" s="33">
        <f>0</f>
        <v/>
      </c>
      <c r="U195" s="33">
        <f>0</f>
        <v/>
      </c>
      <c r="V195" s="33">
        <f>0</f>
        <v/>
      </c>
      <c r="W195" s="33">
        <f>0</f>
        <v/>
      </c>
      <c r="X195" s="33">
        <f>0</f>
        <v/>
      </c>
      <c r="Y195" s="33">
        <f>0</f>
        <v/>
      </c>
      <c r="Z195" s="33">
        <f>0</f>
        <v/>
      </c>
    </row>
    <row r="196">
      <c r="B196" s="4" t="inlineStr">
        <is>
          <t>מגן מס — מדחס מהירות קבועה</t>
        </is>
      </c>
      <c r="C196" s="9" t="inlineStr">
        <is>
          <t>₪</t>
        </is>
      </c>
      <c r="D196" s="9" t="inlineStr">
        <is>
          <t>חישוב</t>
        </is>
      </c>
      <c r="E196" s="9">
        <f> פחת × שיעור מס</f>
        <v/>
      </c>
      <c r="F196" s="33" t="n">
        <v>0</v>
      </c>
      <c r="G196" s="33">
        <f>G195*'נתונים והנחות'!$F$10</f>
        <v/>
      </c>
      <c r="H196" s="33">
        <f>H195*'נתונים והנחות'!$F$10</f>
        <v/>
      </c>
      <c r="I196" s="33">
        <f>I195*'נתונים והנחות'!$F$10</f>
        <v/>
      </c>
      <c r="J196" s="33">
        <f>J195*'נתונים והנחות'!$F$10</f>
        <v/>
      </c>
      <c r="K196" s="33">
        <f>K195*'נתונים והנחות'!$F$10</f>
        <v/>
      </c>
      <c r="L196" s="33">
        <f>L195*'נתונים והנחות'!$F$10</f>
        <v/>
      </c>
      <c r="M196" s="33">
        <f>M195*'נתונים והנחות'!$F$10</f>
        <v/>
      </c>
      <c r="N196" s="33">
        <f>N195*'נתונים והנחות'!$F$10</f>
        <v/>
      </c>
      <c r="O196" s="33">
        <f>O195*'נתונים והנחות'!$F$10</f>
        <v/>
      </c>
      <c r="P196" s="33">
        <f>P195*'נתונים והנחות'!$F$10</f>
        <v/>
      </c>
      <c r="Q196" s="33">
        <f>Q195*'נתונים והנחות'!$F$10</f>
        <v/>
      </c>
      <c r="R196" s="33">
        <f>R195*'נתונים והנחות'!$F$10</f>
        <v/>
      </c>
      <c r="S196" s="33">
        <f>S195*'נתונים והנחות'!$F$10</f>
        <v/>
      </c>
      <c r="T196" s="33">
        <f>T195*'נתונים והנחות'!$F$10</f>
        <v/>
      </c>
      <c r="U196" s="33">
        <f>U195*'נתונים והנחות'!$F$10</f>
        <v/>
      </c>
      <c r="V196" s="33">
        <f>V195*'נתונים והנחות'!$F$10</f>
        <v/>
      </c>
      <c r="W196" s="33">
        <f>W195*'נתונים והנחות'!$F$10</f>
        <v/>
      </c>
      <c r="X196" s="33">
        <f>X195*'נתונים והנחות'!$F$10</f>
        <v/>
      </c>
      <c r="Y196" s="33">
        <f>Y195*'נתונים והנחות'!$F$10</f>
        <v/>
      </c>
      <c r="Z196" s="33">
        <f>Z195*'נתונים והנחות'!$F$10</f>
        <v/>
      </c>
    </row>
    <row r="197">
      <c r="B197" s="5" t="inlineStr">
        <is>
          <t>פחת סטנדרטי — מדחסי VSD</t>
        </is>
      </c>
      <c r="C197" s="9" t="inlineStr">
        <is>
          <t>₪</t>
        </is>
      </c>
      <c r="D197" s="9" t="inlineStr">
        <is>
          <t>חישוב</t>
        </is>
      </c>
      <c r="E197" s="9" t="inlineStr">
        <is>
          <t>קו ישר | 10%/שנה | עד 10 שנים | CapEx יעיל</t>
        </is>
      </c>
      <c r="F197" s="34" t="n">
        <v>0</v>
      </c>
      <c r="G197" s="34">
        <f>IF(ISNUMBER($F$179),$F$179*0.1,0)</f>
        <v/>
      </c>
      <c r="H197" s="34">
        <f>IF(ISNUMBER($F$179),$F$179*0.1,0)</f>
        <v/>
      </c>
      <c r="I197" s="34">
        <f>IF(ISNUMBER($F$179),$F$179*0.1,0)</f>
        <v/>
      </c>
      <c r="J197" s="34">
        <f>IF(ISNUMBER($F$179),$F$179*0.1,0)</f>
        <v/>
      </c>
      <c r="K197" s="34">
        <f>IF(ISNUMBER($F$179),$F$179*0.1,0)</f>
        <v/>
      </c>
      <c r="L197" s="34">
        <f>IF(ISNUMBER($F$179),$F$179*0.1,0)</f>
        <v/>
      </c>
      <c r="M197" s="34">
        <f>IF(ISNUMBER($F$179),$F$179*0.1,0)</f>
        <v/>
      </c>
      <c r="N197" s="34">
        <f>IF(ISNUMBER($F$179),$F$179*0.1,0)</f>
        <v/>
      </c>
      <c r="O197" s="34">
        <f>IF(ISNUMBER($F$179),$F$179*0.1,0)</f>
        <v/>
      </c>
      <c r="P197" s="34">
        <f>IF(ISNUMBER($F$179),$F$179*0.1,0)</f>
        <v/>
      </c>
      <c r="Q197" s="34">
        <f>0</f>
        <v/>
      </c>
      <c r="R197" s="34">
        <f>0</f>
        <v/>
      </c>
      <c r="S197" s="34">
        <f>0</f>
        <v/>
      </c>
      <c r="T197" s="34">
        <f>0</f>
        <v/>
      </c>
      <c r="U197" s="34">
        <f>0</f>
        <v/>
      </c>
      <c r="V197" s="34">
        <f>0</f>
        <v/>
      </c>
      <c r="W197" s="34">
        <f>0</f>
        <v/>
      </c>
      <c r="X197" s="34">
        <f>0</f>
        <v/>
      </c>
      <c r="Y197" s="34">
        <f>0</f>
        <v/>
      </c>
      <c r="Z197" s="34">
        <f>0</f>
        <v/>
      </c>
    </row>
    <row r="198">
      <c r="B198" s="5" t="inlineStr">
        <is>
          <t>מגן מס סטנדרטי — מדחסי VSD</t>
        </is>
      </c>
      <c r="C198" s="9" t="inlineStr">
        <is>
          <t>₪</t>
        </is>
      </c>
      <c r="D198" s="9" t="inlineStr">
        <is>
          <t>חישוב</t>
        </is>
      </c>
      <c r="E198" s="9">
        <f> פחת × שיעור מס</f>
        <v/>
      </c>
      <c r="F198" s="34" t="n">
        <v>0</v>
      </c>
      <c r="G198" s="34">
        <f>G197*'נתונים והנחות'!$F$10</f>
        <v/>
      </c>
      <c r="H198" s="34">
        <f>H197*'נתונים והנחות'!$F$10</f>
        <v/>
      </c>
      <c r="I198" s="34">
        <f>I197*'נתונים והנחות'!$F$10</f>
        <v/>
      </c>
      <c r="J198" s="34">
        <f>J197*'נתונים והנחות'!$F$10</f>
        <v/>
      </c>
      <c r="K198" s="34">
        <f>K197*'נתונים והנחות'!$F$10</f>
        <v/>
      </c>
      <c r="L198" s="34">
        <f>L197*'נתונים והנחות'!$F$10</f>
        <v/>
      </c>
      <c r="M198" s="34">
        <f>M197*'נתונים והנחות'!$F$10</f>
        <v/>
      </c>
      <c r="N198" s="34">
        <f>N197*'נתונים והנחות'!$F$10</f>
        <v/>
      </c>
      <c r="O198" s="34">
        <f>O197*'נתונים והנחות'!$F$10</f>
        <v/>
      </c>
      <c r="P198" s="34">
        <f>P197*'נתונים והנחות'!$F$10</f>
        <v/>
      </c>
      <c r="Q198" s="34">
        <f>Q197*'נתונים והנחות'!$F$10</f>
        <v/>
      </c>
      <c r="R198" s="34">
        <f>R197*'נתונים והנחות'!$F$10</f>
        <v/>
      </c>
      <c r="S198" s="34">
        <f>S197*'נתונים והנחות'!$F$10</f>
        <v/>
      </c>
      <c r="T198" s="34">
        <f>T197*'נתונים והנחות'!$F$10</f>
        <v/>
      </c>
      <c r="U198" s="34">
        <f>U197*'נתונים והנחות'!$F$10</f>
        <v/>
      </c>
      <c r="V198" s="34">
        <f>V197*'נתונים והנחות'!$F$10</f>
        <v/>
      </c>
      <c r="W198" s="34">
        <f>W197*'נתונים והנחות'!$F$10</f>
        <v/>
      </c>
      <c r="X198" s="34">
        <f>X197*'נתונים והנחות'!$F$10</f>
        <v/>
      </c>
      <c r="Y198" s="34">
        <f>Y197*'נתונים והנחות'!$F$10</f>
        <v/>
      </c>
      <c r="Z198" s="34">
        <f>Z197*'נתונים והנחות'!$F$10</f>
        <v/>
      </c>
    </row>
    <row r="199">
      <c r="B199" s="6" t="inlineStr">
        <is>
          <t>פחת מואץ — מדחסי VSD</t>
        </is>
      </c>
      <c r="C199" s="9" t="inlineStr">
        <is>
          <t>₪</t>
        </is>
      </c>
      <c r="D199" s="9" t="inlineStr">
        <is>
          <t>חישוב</t>
        </is>
      </c>
      <c r="E199" s="9">
        <f> CapEx יעיל × (פחת סטנדרטי × מכפיל) | תקופה = 1 ÷ שיעור מואץ</f>
        <v/>
      </c>
      <c r="F199" s="35" t="n">
        <v>0</v>
      </c>
      <c r="G199" s="35">
        <f>IF(ISNUMBER($F$179),IF(1&lt;=ROUND(1/(0.1*'נתונים והנחות'!$F$15),0),$F$179*0.1*'נתונים והנחות'!$F$15,0),0)</f>
        <v/>
      </c>
      <c r="H199" s="35">
        <f>IF(ISNUMBER($F$179),IF(2&lt;=ROUND(1/(0.1*'נתונים והנחות'!$F$15),0),$F$179*0.1*'נתונים והנחות'!$F$15,0),0)</f>
        <v/>
      </c>
      <c r="I199" s="35">
        <f>IF(ISNUMBER($F$179),IF(3&lt;=ROUND(1/(0.1*'נתונים והנחות'!$F$15),0),$F$179*0.1*'נתונים והנחות'!$F$15,0),0)</f>
        <v/>
      </c>
      <c r="J199" s="35">
        <f>IF(ISNUMBER($F$179),IF(4&lt;=ROUND(1/(0.1*'נתונים והנחות'!$F$15),0),$F$179*0.1*'נתונים והנחות'!$F$15,0),0)</f>
        <v/>
      </c>
      <c r="K199" s="35">
        <f>IF(ISNUMBER($F$179),IF(5&lt;=ROUND(1/(0.1*'נתונים והנחות'!$F$15),0),$F$179*0.1*'נתונים והנחות'!$F$15,0),0)</f>
        <v/>
      </c>
      <c r="L199" s="35">
        <f>IF(ISNUMBER($F$179),IF(6&lt;=ROUND(1/(0.1*'נתונים והנחות'!$F$15),0),$F$179*0.1*'נתונים והנחות'!$F$15,0),0)</f>
        <v/>
      </c>
      <c r="M199" s="35">
        <f>IF(ISNUMBER($F$179),IF(7&lt;=ROUND(1/(0.1*'נתונים והנחות'!$F$15),0),$F$179*0.1*'נתונים והנחות'!$F$15,0),0)</f>
        <v/>
      </c>
      <c r="N199" s="35">
        <f>IF(ISNUMBER($F$179),IF(8&lt;=ROUND(1/(0.1*'נתונים והנחות'!$F$15),0),$F$179*0.1*'נתונים והנחות'!$F$15,0),0)</f>
        <v/>
      </c>
      <c r="O199" s="35">
        <f>IF(ISNUMBER($F$179),IF(9&lt;=ROUND(1/(0.1*'נתונים והנחות'!$F$15),0),$F$179*0.1*'נתונים והנחות'!$F$15,0),0)</f>
        <v/>
      </c>
      <c r="P199" s="35">
        <f>IF(ISNUMBER($F$179),IF(10&lt;=ROUND(1/(0.1*'נתונים והנחות'!$F$15),0),$F$179*0.1*'נתונים והנחות'!$F$15,0),0)</f>
        <v/>
      </c>
      <c r="Q199" s="35">
        <f>IF(ISNUMBER($F$179),IF(11&lt;=ROUND(1/(0.1*'נתונים והנחות'!$F$15),0),$F$179*0.1*'נתונים והנחות'!$F$15,0),0)</f>
        <v/>
      </c>
      <c r="R199" s="35">
        <f>IF(ISNUMBER($F$179),IF(12&lt;=ROUND(1/(0.1*'נתונים והנחות'!$F$15),0),$F$179*0.1*'נתונים והנחות'!$F$15,0),0)</f>
        <v/>
      </c>
      <c r="S199" s="35">
        <f>IF(ISNUMBER($F$179),IF(13&lt;=ROUND(1/(0.1*'נתונים והנחות'!$F$15),0),$F$179*0.1*'נתונים והנחות'!$F$15,0),0)</f>
        <v/>
      </c>
      <c r="T199" s="35">
        <f>IF(ISNUMBER($F$179),IF(14&lt;=ROUND(1/(0.1*'נתונים והנחות'!$F$15),0),$F$179*0.1*'נתונים והנחות'!$F$15,0),0)</f>
        <v/>
      </c>
      <c r="U199" s="35">
        <f>IF(ISNUMBER($F$179),IF(15&lt;=ROUND(1/(0.1*'נתונים והנחות'!$F$15),0),$F$179*0.1*'נתונים והנחות'!$F$15,0),0)</f>
        <v/>
      </c>
      <c r="V199" s="35">
        <f>IF(ISNUMBER($F$179),IF(16&lt;=ROUND(1/(0.1*'נתונים והנחות'!$F$15),0),$F$179*0.1*'נתונים והנחות'!$F$15,0),0)</f>
        <v/>
      </c>
      <c r="W199" s="35">
        <f>IF(ISNUMBER($F$179),IF(17&lt;=ROUND(1/(0.1*'נתונים והנחות'!$F$15),0),$F$179*0.1*'נתונים והנחות'!$F$15,0),0)</f>
        <v/>
      </c>
      <c r="X199" s="35">
        <f>IF(ISNUMBER($F$179),IF(18&lt;=ROUND(1/(0.1*'נתונים והנחות'!$F$15),0),$F$179*0.1*'נתונים והנחות'!$F$15,0),0)</f>
        <v/>
      </c>
      <c r="Y199" s="35">
        <f>IF(ISNUMBER($F$179),IF(19&lt;=ROUND(1/(0.1*'נתונים והנחות'!$F$15),0),$F$179*0.1*'נתונים והנחות'!$F$15,0),0)</f>
        <v/>
      </c>
      <c r="Z199" s="35">
        <f>IF(ISNUMBER($F$179),IF(20&lt;=ROUND(1/(0.1*'נתונים והנחות'!$F$15),0),$F$179*0.1*'נתונים והנחות'!$F$15,0),0)</f>
        <v/>
      </c>
    </row>
    <row r="200">
      <c r="B200" s="6" t="inlineStr">
        <is>
          <t>מגן מס מואץ — מדחסי VSD</t>
        </is>
      </c>
      <c r="C200" s="9" t="inlineStr">
        <is>
          <t>₪</t>
        </is>
      </c>
      <c r="D200" s="9" t="inlineStr">
        <is>
          <t>חישוב</t>
        </is>
      </c>
      <c r="E200" s="9">
        <f> פחת מואץ × שיעור מס</f>
        <v/>
      </c>
      <c r="F200" s="35" t="n">
        <v>0</v>
      </c>
      <c r="G200" s="35">
        <f>G199*'נתונים והנחות'!$F$10</f>
        <v/>
      </c>
      <c r="H200" s="35">
        <f>H199*'נתונים והנחות'!$F$10</f>
        <v/>
      </c>
      <c r="I200" s="35">
        <f>I199*'נתונים והנחות'!$F$10</f>
        <v/>
      </c>
      <c r="J200" s="35">
        <f>J199*'נתונים והנחות'!$F$10</f>
        <v/>
      </c>
      <c r="K200" s="35">
        <f>K199*'נתונים והנחות'!$F$10</f>
        <v/>
      </c>
      <c r="L200" s="35">
        <f>L199*'נתונים והנחות'!$F$10</f>
        <v/>
      </c>
      <c r="M200" s="35">
        <f>M199*'נתונים והנחות'!$F$10</f>
        <v/>
      </c>
      <c r="N200" s="35">
        <f>N199*'נתונים והנחות'!$F$10</f>
        <v/>
      </c>
      <c r="O200" s="35">
        <f>O199*'נתונים והנחות'!$F$10</f>
        <v/>
      </c>
      <c r="P200" s="35">
        <f>P199*'נתונים והנחות'!$F$10</f>
        <v/>
      </c>
      <c r="Q200" s="35">
        <f>Q199*'נתונים והנחות'!$F$10</f>
        <v/>
      </c>
      <c r="R200" s="35">
        <f>R199*'נתונים והנחות'!$F$10</f>
        <v/>
      </c>
      <c r="S200" s="35">
        <f>S199*'נתונים והנחות'!$F$10</f>
        <v/>
      </c>
      <c r="T200" s="35">
        <f>T199*'נתונים והנחות'!$F$10</f>
        <v/>
      </c>
      <c r="U200" s="35">
        <f>U199*'נתונים והנחות'!$F$10</f>
        <v/>
      </c>
      <c r="V200" s="35">
        <f>V199*'נתונים והנחות'!$F$10</f>
        <v/>
      </c>
      <c r="W200" s="35">
        <f>W199*'נתונים והנחות'!$F$10</f>
        <v/>
      </c>
      <c r="X200" s="35">
        <f>X199*'נתונים והנחות'!$F$10</f>
        <v/>
      </c>
      <c r="Y200" s="35">
        <f>Y199*'נתונים והנחות'!$F$10</f>
        <v/>
      </c>
      <c r="Z200" s="35">
        <f>Z199*'נתונים והנחות'!$F$10</f>
        <v/>
      </c>
    </row>
    <row r="202">
      <c r="B202" s="25" t="inlineStr">
        <is>
          <t>ג. ניתוח תזרים מזומנים — שלושה תרחישים</t>
        </is>
      </c>
    </row>
    <row r="203">
      <c r="B203" s="32" t="inlineStr">
        <is>
          <t>פרמטר</t>
        </is>
      </c>
      <c r="C203" s="32" t="inlineStr">
        <is>
          <t>יחידות</t>
        </is>
      </c>
      <c r="D203" s="32" t="inlineStr">
        <is>
          <t>מקור</t>
        </is>
      </c>
      <c r="E203" s="32" t="inlineStr">
        <is>
          <t>הערות</t>
        </is>
      </c>
      <c r="F203" s="32" t="inlineStr">
        <is>
          <t>שנה 0 (השקעה)</t>
        </is>
      </c>
      <c r="G203" s="32" t="inlineStr">
        <is>
          <t>שנה 1</t>
        </is>
      </c>
      <c r="H203" s="32" t="inlineStr">
        <is>
          <t>שנה 2</t>
        </is>
      </c>
      <c r="I203" s="32" t="inlineStr">
        <is>
          <t>שנה 3</t>
        </is>
      </c>
      <c r="J203" s="32" t="inlineStr">
        <is>
          <t>שנה 4</t>
        </is>
      </c>
      <c r="K203" s="32" t="inlineStr">
        <is>
          <t>שנה 5</t>
        </is>
      </c>
      <c r="L203" s="32" t="inlineStr">
        <is>
          <t>שנה 6</t>
        </is>
      </c>
      <c r="M203" s="32" t="inlineStr">
        <is>
          <t>שנה 7</t>
        </is>
      </c>
      <c r="N203" s="32" t="inlineStr">
        <is>
          <t>שנה 8</t>
        </is>
      </c>
      <c r="O203" s="32" t="inlineStr">
        <is>
          <t>שנה 9</t>
        </is>
      </c>
      <c r="P203" s="32" t="inlineStr">
        <is>
          <t>שנה 10</t>
        </is>
      </c>
      <c r="Q203" s="32" t="inlineStr">
        <is>
          <t>שנה 11</t>
        </is>
      </c>
      <c r="R203" s="32" t="inlineStr">
        <is>
          <t>שנה 12</t>
        </is>
      </c>
      <c r="S203" s="32" t="inlineStr">
        <is>
          <t>שנה 13</t>
        </is>
      </c>
      <c r="T203" s="32" t="inlineStr">
        <is>
          <t>שנה 14</t>
        </is>
      </c>
      <c r="U203" s="32" t="inlineStr">
        <is>
          <t>שנה 15</t>
        </is>
      </c>
      <c r="V203" s="32" t="inlineStr">
        <is>
          <t>שנה 16</t>
        </is>
      </c>
      <c r="W203" s="32" t="inlineStr">
        <is>
          <t>שנה 17</t>
        </is>
      </c>
      <c r="X203" s="32" t="inlineStr">
        <is>
          <t>שנה 18</t>
        </is>
      </c>
      <c r="Y203" s="32" t="inlineStr">
        <is>
          <t>שנה 19</t>
        </is>
      </c>
      <c r="Z203" s="32" t="inlineStr">
        <is>
          <t>שנה 20</t>
        </is>
      </c>
    </row>
    <row r="204">
      <c r="B204" s="36" t="inlineStr">
        <is>
          <t>תרחיש A — רכישת מדחס מהירות קבועה (ציוד קיים / לא יעיל)</t>
        </is>
      </c>
    </row>
    <row r="205">
      <c r="B205" s="4" t="inlineStr">
        <is>
          <t>השקעה ראשונית</t>
        </is>
      </c>
      <c r="C205" s="9" t="inlineStr">
        <is>
          <t>₪</t>
        </is>
      </c>
      <c r="D205" s="9" t="inlineStr">
        <is>
          <t>חישוב</t>
        </is>
      </c>
      <c r="F205" s="33">
        <f>IF(ISNUMBER($F$178),-$F$178,"PENDING")</f>
        <v/>
      </c>
    </row>
    <row r="206">
      <c r="B206" s="4" t="inlineStr">
        <is>
          <t>OPEX אנרגיה</t>
        </is>
      </c>
      <c r="C206" s="9" t="inlineStr">
        <is>
          <t>₪</t>
        </is>
      </c>
      <c r="D206" s="9" t="inlineStr">
        <is>
          <t>חישוב</t>
        </is>
      </c>
      <c r="F206" s="33" t="n">
        <v>0</v>
      </c>
      <c r="G206" s="33">
        <f>IF(ISNUMBER($F$188),-$F$188,0)</f>
        <v/>
      </c>
      <c r="H206" s="33">
        <f>IF(ISNUMBER($F$188),-$F$188,0)</f>
        <v/>
      </c>
      <c r="I206" s="33">
        <f>IF(ISNUMBER($F$188),-$F$188,0)</f>
        <v/>
      </c>
      <c r="J206" s="33">
        <f>IF(ISNUMBER($F$188),-$F$188,0)</f>
        <v/>
      </c>
      <c r="K206" s="33">
        <f>IF(ISNUMBER($F$188),-$F$188,0)</f>
        <v/>
      </c>
      <c r="L206" s="33">
        <f>IF(ISNUMBER($F$188),-$F$188,0)</f>
        <v/>
      </c>
      <c r="M206" s="33">
        <f>IF(ISNUMBER($F$188),-$F$188,0)</f>
        <v/>
      </c>
      <c r="N206" s="33">
        <f>IF(ISNUMBER($F$188),-$F$188,0)</f>
        <v/>
      </c>
      <c r="O206" s="33">
        <f>IF(ISNUMBER($F$188),-$F$188,0)</f>
        <v/>
      </c>
      <c r="P206" s="33">
        <f>IF(ISNUMBER($F$188),-$F$188,0)</f>
        <v/>
      </c>
      <c r="Q206" s="33">
        <f>IF(ISNUMBER($F$188),-$F$188,0)</f>
        <v/>
      </c>
      <c r="R206" s="33">
        <f>IF(ISNUMBER($F$188),-$F$188,0)</f>
        <v/>
      </c>
      <c r="S206" s="33">
        <f>0</f>
        <v/>
      </c>
      <c r="T206" s="33">
        <f>0</f>
        <v/>
      </c>
      <c r="U206" s="33">
        <f>0</f>
        <v/>
      </c>
      <c r="V206" s="33">
        <f>0</f>
        <v/>
      </c>
      <c r="W206" s="33">
        <f>0</f>
        <v/>
      </c>
      <c r="X206" s="33">
        <f>0</f>
        <v/>
      </c>
      <c r="Y206" s="33">
        <f>0</f>
        <v/>
      </c>
      <c r="Z206" s="33">
        <f>0</f>
        <v/>
      </c>
    </row>
    <row r="207">
      <c r="B207" s="4" t="inlineStr">
        <is>
          <t>OPEX אחר (תחזוקה וכו')</t>
        </is>
      </c>
      <c r="C207" s="9" t="inlineStr">
        <is>
          <t>₪</t>
        </is>
      </c>
      <c r="D207" s="9" t="inlineStr">
        <is>
          <t>חישוב</t>
        </is>
      </c>
      <c r="F207" s="33" t="n">
        <v>0</v>
      </c>
      <c r="G207" s="33">
        <f>IF(ISNUMBER($F$190),-$F$190,0)</f>
        <v/>
      </c>
      <c r="H207" s="33">
        <f>IF(ISNUMBER($F$190),-$F$190,0)</f>
        <v/>
      </c>
      <c r="I207" s="33">
        <f>IF(ISNUMBER($F$190),-$F$190,0)</f>
        <v/>
      </c>
      <c r="J207" s="33">
        <f>IF(ISNUMBER($F$190),-$F$190,0)</f>
        <v/>
      </c>
      <c r="K207" s="33">
        <f>IF(ISNUMBER($F$190),-$F$190,0)</f>
        <v/>
      </c>
      <c r="L207" s="33">
        <f>IF(ISNUMBER($F$190),-$F$190,0)</f>
        <v/>
      </c>
      <c r="M207" s="33">
        <f>IF(ISNUMBER($F$190),-$F$190,0)</f>
        <v/>
      </c>
      <c r="N207" s="33">
        <f>IF(ISNUMBER($F$190),-$F$190,0)</f>
        <v/>
      </c>
      <c r="O207" s="33">
        <f>IF(ISNUMBER($F$190),-$F$190,0)</f>
        <v/>
      </c>
      <c r="P207" s="33">
        <f>IF(ISNUMBER($F$190),-$F$190,0)</f>
        <v/>
      </c>
      <c r="Q207" s="33">
        <f>IF(ISNUMBER($F$190),-$F$190,0)</f>
        <v/>
      </c>
      <c r="R207" s="33">
        <f>IF(ISNUMBER($F$190),-$F$190,0)</f>
        <v/>
      </c>
      <c r="S207" s="33">
        <f>0</f>
        <v/>
      </c>
      <c r="T207" s="33">
        <f>0</f>
        <v/>
      </c>
      <c r="U207" s="33">
        <f>0</f>
        <v/>
      </c>
      <c r="V207" s="33">
        <f>0</f>
        <v/>
      </c>
      <c r="W207" s="33">
        <f>0</f>
        <v/>
      </c>
      <c r="X207" s="33">
        <f>0</f>
        <v/>
      </c>
      <c r="Y207" s="33">
        <f>0</f>
        <v/>
      </c>
      <c r="Z207" s="33">
        <f>0</f>
        <v/>
      </c>
    </row>
    <row r="208">
      <c r="B208" s="4" t="inlineStr">
        <is>
          <t>תזרים נקי — תרחיש A</t>
        </is>
      </c>
      <c r="C208" s="9" t="inlineStr">
        <is>
          <t>₪</t>
        </is>
      </c>
      <c r="D208" s="9" t="inlineStr">
        <is>
          <t>חישוב</t>
        </is>
      </c>
      <c r="F208" s="33">
        <f>F205</f>
        <v/>
      </c>
      <c r="G208" s="33">
        <f>G206+G207+G196</f>
        <v/>
      </c>
      <c r="H208" s="33">
        <f>H206+H207+H196</f>
        <v/>
      </c>
      <c r="I208" s="33">
        <f>I206+I207+I196</f>
        <v/>
      </c>
      <c r="J208" s="33">
        <f>J206+J207+J196</f>
        <v/>
      </c>
      <c r="K208" s="33">
        <f>K206+K207+K196</f>
        <v/>
      </c>
      <c r="L208" s="33">
        <f>L206+L207+L196</f>
        <v/>
      </c>
      <c r="M208" s="33">
        <f>M206+M207+M196</f>
        <v/>
      </c>
      <c r="N208" s="33">
        <f>N206+N207+N196</f>
        <v/>
      </c>
      <c r="O208" s="33">
        <f>O206+O207+O196</f>
        <v/>
      </c>
      <c r="P208" s="33">
        <f>P206+P207+P196</f>
        <v/>
      </c>
      <c r="Q208" s="33">
        <f>Q206+Q207+Q196</f>
        <v/>
      </c>
      <c r="R208" s="33">
        <f>R206+R207+R196</f>
        <v/>
      </c>
      <c r="S208" s="33">
        <f>S206+S207+S196</f>
        <v/>
      </c>
      <c r="T208" s="33">
        <f>T206+T207+T196</f>
        <v/>
      </c>
      <c r="U208" s="33">
        <f>U206+U207+U196</f>
        <v/>
      </c>
      <c r="V208" s="33">
        <f>V206+V207+V196</f>
        <v/>
      </c>
      <c r="W208" s="33">
        <f>W206+W207+W196</f>
        <v/>
      </c>
      <c r="X208" s="33">
        <f>X206+X207+X196</f>
        <v/>
      </c>
      <c r="Y208" s="33">
        <f>Y206+Y207+Y196</f>
        <v/>
      </c>
      <c r="Z208" s="33">
        <f>Z206+Z207+Z196</f>
        <v/>
      </c>
    </row>
    <row r="209">
      <c r="B209" s="4" t="inlineStr">
        <is>
          <t>תזרים מהוון — תרחיש A</t>
        </is>
      </c>
      <c r="C209" s="9" t="inlineStr">
        <is>
          <t>₪</t>
        </is>
      </c>
      <c r="D209" s="9" t="inlineStr">
        <is>
          <t>חישוב</t>
        </is>
      </c>
      <c r="F209" s="33">
        <f>F208</f>
        <v/>
      </c>
      <c r="G209" s="33">
        <f>G208/(1+'נתונים והנחות'!$F$11)^1</f>
        <v/>
      </c>
      <c r="H209" s="33">
        <f>H208/(1+'נתונים והנחות'!$F$11)^2</f>
        <v/>
      </c>
      <c r="I209" s="33">
        <f>I208/(1+'נתונים והנחות'!$F$11)^3</f>
        <v/>
      </c>
      <c r="J209" s="33">
        <f>J208/(1+'נתונים והנחות'!$F$11)^4</f>
        <v/>
      </c>
      <c r="K209" s="33">
        <f>K208/(1+'נתונים והנחות'!$F$11)^5</f>
        <v/>
      </c>
      <c r="L209" s="33">
        <f>L208/(1+'נתונים והנחות'!$F$11)^6</f>
        <v/>
      </c>
      <c r="M209" s="33">
        <f>M208/(1+'נתונים והנחות'!$F$11)^7</f>
        <v/>
      </c>
      <c r="N209" s="33">
        <f>N208/(1+'נתונים והנחות'!$F$11)^8</f>
        <v/>
      </c>
      <c r="O209" s="33">
        <f>O208/(1+'נתונים והנחות'!$F$11)^9</f>
        <v/>
      </c>
      <c r="P209" s="33">
        <f>P208/(1+'נתונים והנחות'!$F$11)^10</f>
        <v/>
      </c>
      <c r="Q209" s="33">
        <f>Q208/(1+'נתונים והנחות'!$F$11)^11</f>
        <v/>
      </c>
      <c r="R209" s="33">
        <f>R208/(1+'נתונים והנחות'!$F$11)^12</f>
        <v/>
      </c>
      <c r="S209" s="33">
        <f>S208/(1+'נתונים והנחות'!$F$11)^13</f>
        <v/>
      </c>
      <c r="T209" s="33">
        <f>T208/(1+'נתונים והנחות'!$F$11)^14</f>
        <v/>
      </c>
      <c r="U209" s="33">
        <f>U208/(1+'נתונים והנחות'!$F$11)^15</f>
        <v/>
      </c>
      <c r="V209" s="33">
        <f>V208/(1+'נתונים והנחות'!$F$11)^16</f>
        <v/>
      </c>
      <c r="W209" s="33">
        <f>W208/(1+'נתונים והנחות'!$F$11)^17</f>
        <v/>
      </c>
      <c r="X209" s="33">
        <f>X208/(1+'נתונים והנחות'!$F$11)^18</f>
        <v/>
      </c>
      <c r="Y209" s="33">
        <f>Y208/(1+'נתונים והנחות'!$F$11)^19</f>
        <v/>
      </c>
      <c r="Z209" s="33">
        <f>Z208/(1+'נתונים והנחות'!$F$11)^20</f>
        <v/>
      </c>
    </row>
    <row r="210">
      <c r="B210" s="4" t="inlineStr">
        <is>
          <t>NPV מצטבר — תרחיש A</t>
        </is>
      </c>
      <c r="C210" s="9" t="inlineStr">
        <is>
          <t>₪</t>
        </is>
      </c>
      <c r="D210" s="9" t="inlineStr">
        <is>
          <t>חישוב</t>
        </is>
      </c>
      <c r="F210" s="33">
        <f>F209</f>
        <v/>
      </c>
      <c r="G210" s="33">
        <f>F210+G209</f>
        <v/>
      </c>
      <c r="H210" s="33">
        <f>G210+H209</f>
        <v/>
      </c>
      <c r="I210" s="33">
        <f>H210+I209</f>
        <v/>
      </c>
      <c r="J210" s="33">
        <f>I210+J209</f>
        <v/>
      </c>
      <c r="K210" s="33">
        <f>J210+K209</f>
        <v/>
      </c>
      <c r="L210" s="33">
        <f>K210+L209</f>
        <v/>
      </c>
      <c r="M210" s="33">
        <f>L210+M209</f>
        <v/>
      </c>
      <c r="N210" s="33">
        <f>M210+N209</f>
        <v/>
      </c>
      <c r="O210" s="33">
        <f>N210+O209</f>
        <v/>
      </c>
      <c r="P210" s="33">
        <f>O210+P209</f>
        <v/>
      </c>
      <c r="Q210" s="33">
        <f>P210+Q209</f>
        <v/>
      </c>
      <c r="R210" s="33">
        <f>Q210+R209</f>
        <v/>
      </c>
      <c r="S210" s="33">
        <f>R210+S209</f>
        <v/>
      </c>
      <c r="T210" s="33">
        <f>S210+T209</f>
        <v/>
      </c>
      <c r="U210" s="33">
        <f>T210+U209</f>
        <v/>
      </c>
      <c r="V210" s="33">
        <f>U210+V209</f>
        <v/>
      </c>
      <c r="W210" s="33">
        <f>V210+W209</f>
        <v/>
      </c>
      <c r="X210" s="33">
        <f>W210+X209</f>
        <v/>
      </c>
      <c r="Y210" s="33">
        <f>X210+Y209</f>
        <v/>
      </c>
      <c r="Z210" s="33">
        <f>Y210+Z209</f>
        <v/>
      </c>
    </row>
    <row r="212">
      <c r="B212" s="37" t="inlineStr">
        <is>
          <t>תרחיש B — רכישת מדחסי VSD | פחת סטנדרטי (ללא תמריץ)</t>
        </is>
      </c>
    </row>
    <row r="213">
      <c r="B213" s="5" t="inlineStr">
        <is>
          <t>השקעה ראשונית</t>
        </is>
      </c>
      <c r="C213" s="9" t="inlineStr">
        <is>
          <t>₪</t>
        </is>
      </c>
      <c r="D213" s="9" t="inlineStr">
        <is>
          <t>חישוב</t>
        </is>
      </c>
      <c r="F213" s="34">
        <f>IF(ISNUMBER($F$179),-$F$179,"PENDING")</f>
        <v/>
      </c>
    </row>
    <row r="214">
      <c r="B214" s="5" t="inlineStr">
        <is>
          <t>OPEX אנרגיה (עם שחיקה שנתית)</t>
        </is>
      </c>
      <c r="C214" s="9" t="inlineStr">
        <is>
          <t>₪</t>
        </is>
      </c>
      <c r="D214" s="9" t="inlineStr">
        <is>
          <t>חישוב</t>
        </is>
      </c>
      <c r="F214" s="34" t="n">
        <v>0</v>
      </c>
      <c r="G214" s="34">
        <f>IF(ISNUMBER($F$189),-$F$189*(1-$F$186)^0,0)</f>
        <v/>
      </c>
      <c r="H214" s="34">
        <f>IF(ISNUMBER($F$189),-$F$189*(1-$F$186)^1,0)</f>
        <v/>
      </c>
      <c r="I214" s="34">
        <f>IF(ISNUMBER($F$189),-$F$189*(1-$F$186)^2,0)</f>
        <v/>
      </c>
      <c r="J214" s="34">
        <f>IF(ISNUMBER($F$189),-$F$189*(1-$F$186)^3,0)</f>
        <v/>
      </c>
      <c r="K214" s="34">
        <f>IF(ISNUMBER($F$189),-$F$189*(1-$F$186)^4,0)</f>
        <v/>
      </c>
      <c r="L214" s="34">
        <f>IF(ISNUMBER($F$189),-$F$189*(1-$F$186)^5,0)</f>
        <v/>
      </c>
      <c r="M214" s="34">
        <f>IF(ISNUMBER($F$189),-$F$189*(1-$F$186)^6,0)</f>
        <v/>
      </c>
      <c r="N214" s="34">
        <f>IF(ISNUMBER($F$189),-$F$189*(1-$F$186)^7,0)</f>
        <v/>
      </c>
      <c r="O214" s="34">
        <f>IF(ISNUMBER($F$189),-$F$189*(1-$F$186)^8,0)</f>
        <v/>
      </c>
      <c r="P214" s="34">
        <f>IF(ISNUMBER($F$189),-$F$189*(1-$F$186)^9,0)</f>
        <v/>
      </c>
      <c r="Q214" s="34">
        <f>IF(ISNUMBER($F$189),-$F$189*(1-$F$186)^10,0)</f>
        <v/>
      </c>
      <c r="R214" s="34">
        <f>IF(ISNUMBER($F$189),-$F$189*(1-$F$186)^11,0)</f>
        <v/>
      </c>
      <c r="S214" s="34">
        <f>0</f>
        <v/>
      </c>
      <c r="T214" s="34">
        <f>0</f>
        <v/>
      </c>
      <c r="U214" s="34">
        <f>0</f>
        <v/>
      </c>
      <c r="V214" s="34">
        <f>0</f>
        <v/>
      </c>
      <c r="W214" s="34">
        <f>0</f>
        <v/>
      </c>
      <c r="X214" s="34">
        <f>0</f>
        <v/>
      </c>
      <c r="Y214" s="34">
        <f>0</f>
        <v/>
      </c>
      <c r="Z214" s="34">
        <f>0</f>
        <v/>
      </c>
    </row>
    <row r="215">
      <c r="B215" s="5" t="inlineStr">
        <is>
          <t>OPEX אחר (תחזוקה וכו')</t>
        </is>
      </c>
      <c r="C215" s="9" t="inlineStr">
        <is>
          <t>₪</t>
        </is>
      </c>
      <c r="D215" s="9" t="inlineStr">
        <is>
          <t>חישוב</t>
        </is>
      </c>
      <c r="F215" s="34" t="n">
        <v>0</v>
      </c>
      <c r="G215" s="34">
        <f>IF(ISNUMBER($F$191),-$F$191,0)</f>
        <v/>
      </c>
      <c r="H215" s="34">
        <f>IF(ISNUMBER($F$191),-$F$191,0)</f>
        <v/>
      </c>
      <c r="I215" s="34">
        <f>IF(ISNUMBER($F$191),-$F$191,0)</f>
        <v/>
      </c>
      <c r="J215" s="34">
        <f>IF(ISNUMBER($F$191),-$F$191,0)</f>
        <v/>
      </c>
      <c r="K215" s="34">
        <f>IF(ISNUMBER($F$191),-$F$191,0)</f>
        <v/>
      </c>
      <c r="L215" s="34">
        <f>IF(ISNUMBER($F$191),-$F$191,0)</f>
        <v/>
      </c>
      <c r="M215" s="34">
        <f>IF(ISNUMBER($F$191),-$F$191,0)</f>
        <v/>
      </c>
      <c r="N215" s="34">
        <f>IF(ISNUMBER($F$191),-$F$191,0)</f>
        <v/>
      </c>
      <c r="O215" s="34">
        <f>IF(ISNUMBER($F$191),-$F$191,0)</f>
        <v/>
      </c>
      <c r="P215" s="34">
        <f>IF(ISNUMBER($F$191),-$F$191,0)</f>
        <v/>
      </c>
      <c r="Q215" s="34">
        <f>IF(ISNUMBER($F$191),-$F$191,0)</f>
        <v/>
      </c>
      <c r="R215" s="34">
        <f>IF(ISNUMBER($F$191),-$F$191,0)</f>
        <v/>
      </c>
      <c r="S215" s="34">
        <f>0</f>
        <v/>
      </c>
      <c r="T215" s="34">
        <f>0</f>
        <v/>
      </c>
      <c r="U215" s="34">
        <f>0</f>
        <v/>
      </c>
      <c r="V215" s="34">
        <f>0</f>
        <v/>
      </c>
      <c r="W215" s="34">
        <f>0</f>
        <v/>
      </c>
      <c r="X215" s="34">
        <f>0</f>
        <v/>
      </c>
      <c r="Y215" s="34">
        <f>0</f>
        <v/>
      </c>
      <c r="Z215" s="34">
        <f>0</f>
        <v/>
      </c>
    </row>
    <row r="216">
      <c r="B216" s="5" t="inlineStr">
        <is>
          <t>תזרים נקי — תרחיש B</t>
        </is>
      </c>
      <c r="C216" s="9" t="inlineStr">
        <is>
          <t>₪</t>
        </is>
      </c>
      <c r="D216" s="9" t="inlineStr">
        <is>
          <t>חישוב</t>
        </is>
      </c>
      <c r="F216" s="34">
        <f>F213</f>
        <v/>
      </c>
      <c r="G216" s="34">
        <f>G214+G215+G198</f>
        <v/>
      </c>
      <c r="H216" s="34">
        <f>H214+H215+H198</f>
        <v/>
      </c>
      <c r="I216" s="34">
        <f>I214+I215+I198</f>
        <v/>
      </c>
      <c r="J216" s="34">
        <f>J214+J215+J198</f>
        <v/>
      </c>
      <c r="K216" s="34">
        <f>K214+K215+K198</f>
        <v/>
      </c>
      <c r="L216" s="34">
        <f>L214+L215+L198</f>
        <v/>
      </c>
      <c r="M216" s="34">
        <f>M214+M215+M198</f>
        <v/>
      </c>
      <c r="N216" s="34">
        <f>N214+N215+N198</f>
        <v/>
      </c>
      <c r="O216" s="34">
        <f>O214+O215+O198</f>
        <v/>
      </c>
      <c r="P216" s="34">
        <f>P214+P215+P198</f>
        <v/>
      </c>
      <c r="Q216" s="34">
        <f>Q214+Q215+Q198</f>
        <v/>
      </c>
      <c r="R216" s="34">
        <f>R214+R215+R198</f>
        <v/>
      </c>
      <c r="S216" s="34">
        <f>S214+S215+S198</f>
        <v/>
      </c>
      <c r="T216" s="34">
        <f>T214+T215+T198</f>
        <v/>
      </c>
      <c r="U216" s="34">
        <f>U214+U215+U198</f>
        <v/>
      </c>
      <c r="V216" s="34">
        <f>V214+V215+V198</f>
        <v/>
      </c>
      <c r="W216" s="34">
        <f>W214+W215+W198</f>
        <v/>
      </c>
      <c r="X216" s="34">
        <f>X214+X215+X198</f>
        <v/>
      </c>
      <c r="Y216" s="34">
        <f>Y214+Y215+Y198</f>
        <v/>
      </c>
      <c r="Z216" s="34">
        <f>Z214+Z215+Z198</f>
        <v/>
      </c>
    </row>
    <row r="217">
      <c r="B217" s="5" t="inlineStr">
        <is>
          <t>תזרים מהוון — תרחיש B</t>
        </is>
      </c>
      <c r="C217" s="9" t="inlineStr">
        <is>
          <t>₪</t>
        </is>
      </c>
      <c r="D217" s="9" t="inlineStr">
        <is>
          <t>חישוב</t>
        </is>
      </c>
      <c r="F217" s="34">
        <f>F216</f>
        <v/>
      </c>
      <c r="G217" s="34">
        <f>G216/(1+'נתונים והנחות'!$F$11)^1</f>
        <v/>
      </c>
      <c r="H217" s="34">
        <f>H216/(1+'נתונים והנחות'!$F$11)^2</f>
        <v/>
      </c>
      <c r="I217" s="34">
        <f>I216/(1+'נתונים והנחות'!$F$11)^3</f>
        <v/>
      </c>
      <c r="J217" s="34">
        <f>J216/(1+'נתונים והנחות'!$F$11)^4</f>
        <v/>
      </c>
      <c r="K217" s="34">
        <f>K216/(1+'נתונים והנחות'!$F$11)^5</f>
        <v/>
      </c>
      <c r="L217" s="34">
        <f>L216/(1+'נתונים והנחות'!$F$11)^6</f>
        <v/>
      </c>
      <c r="M217" s="34">
        <f>M216/(1+'נתונים והנחות'!$F$11)^7</f>
        <v/>
      </c>
      <c r="N217" s="34">
        <f>N216/(1+'נתונים והנחות'!$F$11)^8</f>
        <v/>
      </c>
      <c r="O217" s="34">
        <f>O216/(1+'נתונים והנחות'!$F$11)^9</f>
        <v/>
      </c>
      <c r="P217" s="34">
        <f>P216/(1+'נתונים והנחות'!$F$11)^10</f>
        <v/>
      </c>
      <c r="Q217" s="34">
        <f>Q216/(1+'נתונים והנחות'!$F$11)^11</f>
        <v/>
      </c>
      <c r="R217" s="34">
        <f>R216/(1+'נתונים והנחות'!$F$11)^12</f>
        <v/>
      </c>
      <c r="S217" s="34">
        <f>S216/(1+'נתונים והנחות'!$F$11)^13</f>
        <v/>
      </c>
      <c r="T217" s="34">
        <f>T216/(1+'נתונים והנחות'!$F$11)^14</f>
        <v/>
      </c>
      <c r="U217" s="34">
        <f>U216/(1+'נתונים והנחות'!$F$11)^15</f>
        <v/>
      </c>
      <c r="V217" s="34">
        <f>V216/(1+'נתונים והנחות'!$F$11)^16</f>
        <v/>
      </c>
      <c r="W217" s="34">
        <f>W216/(1+'נתונים והנחות'!$F$11)^17</f>
        <v/>
      </c>
      <c r="X217" s="34">
        <f>X216/(1+'נתונים והנחות'!$F$11)^18</f>
        <v/>
      </c>
      <c r="Y217" s="34">
        <f>Y216/(1+'נתונים והנחות'!$F$11)^19</f>
        <v/>
      </c>
      <c r="Z217" s="34">
        <f>Z216/(1+'נתונים והנחות'!$F$11)^20</f>
        <v/>
      </c>
    </row>
    <row r="218">
      <c r="B218" s="5" t="inlineStr">
        <is>
          <t>NPV מצטבר — תרחיש B</t>
        </is>
      </c>
      <c r="C218" s="9" t="inlineStr">
        <is>
          <t>₪</t>
        </is>
      </c>
      <c r="D218" s="9" t="inlineStr">
        <is>
          <t>חישוב</t>
        </is>
      </c>
      <c r="F218" s="34">
        <f>F217</f>
        <v/>
      </c>
      <c r="G218" s="34">
        <f>F218+G217</f>
        <v/>
      </c>
      <c r="H218" s="34">
        <f>G218+H217</f>
        <v/>
      </c>
      <c r="I218" s="34">
        <f>H218+I217</f>
        <v/>
      </c>
      <c r="J218" s="34">
        <f>I218+J217</f>
        <v/>
      </c>
      <c r="K218" s="34">
        <f>J218+K217</f>
        <v/>
      </c>
      <c r="L218" s="34">
        <f>K218+L217</f>
        <v/>
      </c>
      <c r="M218" s="34">
        <f>L218+M217</f>
        <v/>
      </c>
      <c r="N218" s="34">
        <f>M218+N217</f>
        <v/>
      </c>
      <c r="O218" s="34">
        <f>N218+O217</f>
        <v/>
      </c>
      <c r="P218" s="34">
        <f>O218+P217</f>
        <v/>
      </c>
      <c r="Q218" s="34">
        <f>P218+Q217</f>
        <v/>
      </c>
      <c r="R218" s="34">
        <f>Q218+R217</f>
        <v/>
      </c>
      <c r="S218" s="34">
        <f>R218+S217</f>
        <v/>
      </c>
      <c r="T218" s="34">
        <f>S218+T217</f>
        <v/>
      </c>
      <c r="U218" s="34">
        <f>T218+U217</f>
        <v/>
      </c>
      <c r="V218" s="34">
        <f>U218+V217</f>
        <v/>
      </c>
      <c r="W218" s="34">
        <f>V218+W217</f>
        <v/>
      </c>
      <c r="X218" s="34">
        <f>W218+X217</f>
        <v/>
      </c>
      <c r="Y218" s="34">
        <f>X218+Y217</f>
        <v/>
      </c>
      <c r="Z218" s="34">
        <f>Y218+Z217</f>
        <v/>
      </c>
    </row>
    <row r="220">
      <c r="B220" s="38" t="inlineStr">
        <is>
          <t>תרחיש C — רכישת מדחסי VSD | פחת מואץ (עם תמריץ)</t>
        </is>
      </c>
    </row>
    <row r="221">
      <c r="B221" s="23" t="inlineStr">
        <is>
          <t>* OPEX זהה לתרחיש B — ההבדל הוא מגן המס המואץ בלבד</t>
        </is>
      </c>
    </row>
    <row r="222">
      <c r="B222" s="6" t="inlineStr">
        <is>
          <t>תזרים נקי — תרחיש C</t>
        </is>
      </c>
      <c r="C222" s="9" t="inlineStr">
        <is>
          <t>₪</t>
        </is>
      </c>
      <c r="D222" s="9" t="inlineStr">
        <is>
          <t>חישוב</t>
        </is>
      </c>
      <c r="F222" s="35">
        <f>F213</f>
        <v/>
      </c>
      <c r="G222" s="35">
        <f>G214+G215+G200</f>
        <v/>
      </c>
      <c r="H222" s="35">
        <f>H214+H215+H200</f>
        <v/>
      </c>
      <c r="I222" s="35">
        <f>I214+I215+I200</f>
        <v/>
      </c>
      <c r="J222" s="35">
        <f>J214+J215+J200</f>
        <v/>
      </c>
      <c r="K222" s="35">
        <f>K214+K215+K200</f>
        <v/>
      </c>
      <c r="L222" s="35">
        <f>L214+L215+L200</f>
        <v/>
      </c>
      <c r="M222" s="35">
        <f>M214+M215+M200</f>
        <v/>
      </c>
      <c r="N222" s="35">
        <f>N214+N215+N200</f>
        <v/>
      </c>
      <c r="O222" s="35">
        <f>O214+O215+O200</f>
        <v/>
      </c>
      <c r="P222" s="35">
        <f>P214+P215+P200</f>
        <v/>
      </c>
      <c r="Q222" s="35">
        <f>Q214+Q215+Q200</f>
        <v/>
      </c>
      <c r="R222" s="35">
        <f>R214+R215+R200</f>
        <v/>
      </c>
      <c r="S222" s="35">
        <f>S214+S215+S200</f>
        <v/>
      </c>
      <c r="T222" s="35">
        <f>T214+T215+T200</f>
        <v/>
      </c>
      <c r="U222" s="35">
        <f>U214+U215+U200</f>
        <v/>
      </c>
      <c r="V222" s="35">
        <f>V214+V215+V200</f>
        <v/>
      </c>
      <c r="W222" s="35">
        <f>W214+W215+W200</f>
        <v/>
      </c>
      <c r="X222" s="35">
        <f>X214+X215+X200</f>
        <v/>
      </c>
      <c r="Y222" s="35">
        <f>Y214+Y215+Y200</f>
        <v/>
      </c>
      <c r="Z222" s="35">
        <f>Z214+Z215+Z200</f>
        <v/>
      </c>
    </row>
    <row r="223">
      <c r="B223" s="6" t="inlineStr">
        <is>
          <t>תזרים מהוון — תרחיש C</t>
        </is>
      </c>
      <c r="C223" s="9" t="inlineStr">
        <is>
          <t>₪</t>
        </is>
      </c>
      <c r="D223" s="9" t="inlineStr">
        <is>
          <t>חישוב</t>
        </is>
      </c>
      <c r="F223" s="35">
        <f>F222</f>
        <v/>
      </c>
      <c r="G223" s="35">
        <f>G222/(1+'נתונים והנחות'!$F$11)^1</f>
        <v/>
      </c>
      <c r="H223" s="35">
        <f>H222/(1+'נתונים והנחות'!$F$11)^2</f>
        <v/>
      </c>
      <c r="I223" s="35">
        <f>I222/(1+'נתונים והנחות'!$F$11)^3</f>
        <v/>
      </c>
      <c r="J223" s="35">
        <f>J222/(1+'נתונים והנחות'!$F$11)^4</f>
        <v/>
      </c>
      <c r="K223" s="35">
        <f>K222/(1+'נתונים והנחות'!$F$11)^5</f>
        <v/>
      </c>
      <c r="L223" s="35">
        <f>L222/(1+'נתונים והנחות'!$F$11)^6</f>
        <v/>
      </c>
      <c r="M223" s="35">
        <f>M222/(1+'נתונים והנחות'!$F$11)^7</f>
        <v/>
      </c>
      <c r="N223" s="35">
        <f>N222/(1+'נתונים והנחות'!$F$11)^8</f>
        <v/>
      </c>
      <c r="O223" s="35">
        <f>O222/(1+'נתונים והנחות'!$F$11)^9</f>
        <v/>
      </c>
      <c r="P223" s="35">
        <f>P222/(1+'נתונים והנחות'!$F$11)^10</f>
        <v/>
      </c>
      <c r="Q223" s="35">
        <f>Q222/(1+'נתונים והנחות'!$F$11)^11</f>
        <v/>
      </c>
      <c r="R223" s="35">
        <f>R222/(1+'נתונים והנחות'!$F$11)^12</f>
        <v/>
      </c>
      <c r="S223" s="35">
        <f>S222/(1+'נתונים והנחות'!$F$11)^13</f>
        <v/>
      </c>
      <c r="T223" s="35">
        <f>T222/(1+'נתונים והנחות'!$F$11)^14</f>
        <v/>
      </c>
      <c r="U223" s="35">
        <f>U222/(1+'נתונים והנחות'!$F$11)^15</f>
        <v/>
      </c>
      <c r="V223" s="35">
        <f>V222/(1+'נתונים והנחות'!$F$11)^16</f>
        <v/>
      </c>
      <c r="W223" s="35">
        <f>W222/(1+'נתונים והנחות'!$F$11)^17</f>
        <v/>
      </c>
      <c r="X223" s="35">
        <f>X222/(1+'נתונים והנחות'!$F$11)^18</f>
        <v/>
      </c>
      <c r="Y223" s="35">
        <f>Y222/(1+'נתונים והנחות'!$F$11)^19</f>
        <v/>
      </c>
      <c r="Z223" s="35">
        <f>Z222/(1+'נתונים והנחות'!$F$11)^20</f>
        <v/>
      </c>
    </row>
    <row r="224">
      <c r="B224" s="6" t="inlineStr">
        <is>
          <t>NPV מצטבר — תרחיש C</t>
        </is>
      </c>
      <c r="C224" s="9" t="inlineStr">
        <is>
          <t>₪</t>
        </is>
      </c>
      <c r="D224" s="9" t="inlineStr">
        <is>
          <t>חישוב</t>
        </is>
      </c>
      <c r="F224" s="35">
        <f>F223</f>
        <v/>
      </c>
      <c r="G224" s="35">
        <f>F224+G223</f>
        <v/>
      </c>
      <c r="H224" s="35">
        <f>G224+H223</f>
        <v/>
      </c>
      <c r="I224" s="35">
        <f>H224+I223</f>
        <v/>
      </c>
      <c r="J224" s="35">
        <f>I224+J223</f>
        <v/>
      </c>
      <c r="K224" s="35">
        <f>J224+K223</f>
        <v/>
      </c>
      <c r="L224" s="35">
        <f>K224+L223</f>
        <v/>
      </c>
      <c r="M224" s="35">
        <f>L224+M223</f>
        <v/>
      </c>
      <c r="N224" s="35">
        <f>M224+N223</f>
        <v/>
      </c>
      <c r="O224" s="35">
        <f>N224+O223</f>
        <v/>
      </c>
      <c r="P224" s="35">
        <f>O224+P223</f>
        <v/>
      </c>
      <c r="Q224" s="35">
        <f>P224+Q223</f>
        <v/>
      </c>
      <c r="R224" s="35">
        <f>Q224+R223</f>
        <v/>
      </c>
      <c r="S224" s="35">
        <f>R224+S223</f>
        <v/>
      </c>
      <c r="T224" s="35">
        <f>S224+T223</f>
        <v/>
      </c>
      <c r="U224" s="35">
        <f>T224+U223</f>
        <v/>
      </c>
      <c r="V224" s="35">
        <f>U224+V223</f>
        <v/>
      </c>
      <c r="W224" s="35">
        <f>V224+W223</f>
        <v/>
      </c>
      <c r="X224" s="35">
        <f>W224+X223</f>
        <v/>
      </c>
      <c r="Y224" s="35">
        <f>X224+Y223</f>
        <v/>
      </c>
      <c r="Z224" s="35">
        <f>Y224+Z223</f>
        <v/>
      </c>
    </row>
    <row r="226">
      <c r="B226" s="25" t="inlineStr">
        <is>
          <t>ד. תוצאות</t>
        </is>
      </c>
    </row>
    <row r="227">
      <c r="B227" s="39" t="inlineStr">
        <is>
          <t>NPV — תרחיש A (מדחס מהירות קבועה)</t>
        </is>
      </c>
      <c r="C227" s="9" t="inlineStr">
        <is>
          <t>ש"ח</t>
        </is>
      </c>
      <c r="F227" s="33">
        <f>SUM(F209:Z209)</f>
        <v/>
      </c>
    </row>
    <row r="228">
      <c r="B228" s="40" t="inlineStr">
        <is>
          <t>NPV — תרחיש B (מדחסי VSD, ללא תמריץ)</t>
        </is>
      </c>
      <c r="C228" s="9" t="inlineStr">
        <is>
          <t>ש"ח</t>
        </is>
      </c>
      <c r="F228" s="34">
        <f>SUM(F217:Z217)</f>
        <v/>
      </c>
    </row>
    <row r="229">
      <c r="B229" s="41" t="inlineStr">
        <is>
          <t>NPV — תרחיש C (מדחסי VSD, עם תמריץ)</t>
        </is>
      </c>
      <c r="C229" s="9" t="inlineStr">
        <is>
          <t>ש"ח</t>
        </is>
      </c>
      <c r="F229" s="35">
        <f>SUM(F223:Z223)</f>
        <v/>
      </c>
    </row>
    <row r="231">
      <c r="B231" s="42" t="inlineStr">
        <is>
          <t>NPV מצטבר — הצדקת השדרוג (B−A)</t>
        </is>
      </c>
      <c r="C231" s="9" t="inlineStr">
        <is>
          <t>ש"ח</t>
        </is>
      </c>
      <c r="F231" s="43">
        <f>F228-F227</f>
        <v/>
      </c>
    </row>
    <row r="232">
      <c r="B232" s="44" t="inlineStr">
        <is>
          <t>ערך התמריץ — תועלת הפחת המואץ (C−B)</t>
        </is>
      </c>
      <c r="C232" s="9" t="inlineStr">
        <is>
          <t>ש"ח</t>
        </is>
      </c>
      <c r="F232" s="45">
        <f>F229-F228</f>
        <v/>
      </c>
    </row>
    <row r="234">
      <c r="B234" s="39" t="inlineStr">
        <is>
          <t>ROI — תרחיש A</t>
        </is>
      </c>
      <c r="C234" s="9" t="inlineStr">
        <is>
          <t>%</t>
        </is>
      </c>
      <c r="F234" s="46">
        <f>IF(ISNUMBER($F$178),(SUM(F209:Z209)+$F$178)/$F$178,"PENDING")</f>
        <v/>
      </c>
    </row>
    <row r="235">
      <c r="B235" s="40" t="inlineStr">
        <is>
          <t>ROI — תרחיש B</t>
        </is>
      </c>
      <c r="C235" s="9" t="inlineStr">
        <is>
          <t>%</t>
        </is>
      </c>
      <c r="F235" s="47">
        <f>IF(ISNUMBER($F$179),(SUM(F217:Z217)+$F$179)/$F$179,"PENDING")</f>
        <v/>
      </c>
    </row>
    <row r="236">
      <c r="B236" s="41" t="inlineStr">
        <is>
          <t>ROI — תרחיש C</t>
        </is>
      </c>
      <c r="C236" s="9" t="inlineStr">
        <is>
          <t>%</t>
        </is>
      </c>
      <c r="F236" s="48">
        <f>IF(ISNUMBER($F$179),(SUM(F223:Z223)+$F$179)/$F$179,"PENDING")</f>
        <v/>
      </c>
    </row>
    <row r="238">
      <c r="B238" s="39" t="inlineStr">
        <is>
          <t>תקופת החזר A (NPV)</t>
        </is>
      </c>
      <c r="C238" s="9" t="inlineStr">
        <is>
          <t>שנים</t>
        </is>
      </c>
      <c r="F238" s="49">
        <f>IFERROR(MATCH(1,(F210:Z210&gt;0)*1,0)-2+ABS(INDEX(F210:Z210,MATCH(1,(F210:Z210&gt;0)*1,0)-1))/(INDEX(F210:Z210,MATCH(1,(F210:Z210&gt;0)*1,0))-INDEX(F210:Z210,MATCH(1,(F210:Z210&gt;0)*1,0)-1)),"לא מגיע לפירעון")</f>
        <v/>
      </c>
    </row>
    <row r="239">
      <c r="B239" s="40" t="inlineStr">
        <is>
          <t>תקופת החזר B — CapEx יעיל (NPV)</t>
        </is>
      </c>
      <c r="C239" s="9" t="inlineStr">
        <is>
          <t>שנים</t>
        </is>
      </c>
      <c r="F239" s="50">
        <f>IFERROR(MATCH(1,(F218:Z218&gt;0)*1,0)-2+ABS(INDEX(F218:Z218,MATCH(1,(F218:Z218&gt;0)*1,0)-1))/(INDEX(F218:Z218,MATCH(1,(F218:Z218&gt;0)*1,0))-INDEX(F218:Z218,MATCH(1,(F218:Z218&gt;0)*1,0)-1)),"לא מגיע לפירעון")</f>
        <v/>
      </c>
    </row>
    <row r="240">
      <c r="B240" s="41" t="inlineStr">
        <is>
          <t>תקופת החזר C — CapEx יעיל + תמריץ (NPV)</t>
        </is>
      </c>
      <c r="C240" s="9" t="inlineStr">
        <is>
          <t>שנים</t>
        </is>
      </c>
      <c r="F240" s="51">
        <f>IFERROR(MATCH(1,(F224:Z224&gt;0)*1,0)-2+ABS(INDEX(F224:Z224,MATCH(1,(F224:Z224&gt;0)*1,0)-1))/(INDEX(F224:Z224,MATCH(1,(F224:Z224&gt;0)*1,0))-INDEX(F224:Z224,MATCH(1,(F224:Z224&gt;0)*1,0)-1)),"לא מגיע לפירעון")</f>
        <v/>
      </c>
    </row>
    <row r="241">
      <c r="B241" s="42" t="inlineStr">
        <is>
          <t>תקופת החזר ΔCapEx ללא תמריץ (B−A)</t>
        </is>
      </c>
      <c r="C241" s="9" t="inlineStr">
        <is>
          <t>שנים</t>
        </is>
      </c>
      <c r="E241" s="23" t="inlineStr">
        <is>
          <t>זמן להחזר ההשקעה הנוספת | מחושב על ΔCF = CF_B − CF_A</t>
        </is>
      </c>
      <c r="F241" s="52">
        <f>IFERROR(MATCH(1,(F247:Z247&gt;0)*1,0)-2+ABS(INDEX(F247:Z247,MATCH(1,(F247:Z247&gt;0)*1,0)-1))/(INDEX(F247:Z247,MATCH(1,(F247:Z247&gt;0)*1,0))-INDEX(F247:Z247,MATCH(1,(F247:Z247&gt;0)*1,0)-1)),"לא מגיע לפירעון")</f>
        <v/>
      </c>
    </row>
    <row r="242">
      <c r="B242" s="53" t="inlineStr">
        <is>
          <t>תקופת החזר ΔCapEx עם תמריץ (C−A)</t>
        </is>
      </c>
      <c r="C242" s="54" t="inlineStr">
        <is>
          <t>שנים</t>
        </is>
      </c>
      <c r="E242" s="23" t="inlineStr">
        <is>
          <t>כולל יתרון מגן המס המואץ | מחושב על ΔCF = CF_C − CF_A</t>
        </is>
      </c>
      <c r="F242" s="55">
        <f>IFERROR(MATCH(1,(F248:Z248&gt;0)*1,0)-2+ABS(INDEX(F248:Z248,MATCH(1,(F248:Z248&gt;0)*1,0)-1))/(INDEX(F248:Z248,MATCH(1,(F248:Z248&gt;0)*1,0))-INDEX(F248:Z248,MATCH(1,(F248:Z248&gt;0)*1,0)-1)),"לא מגיע לפירעון")</f>
        <v/>
      </c>
    </row>
    <row r="245">
      <c r="B245" s="25" t="inlineStr">
        <is>
          <t>NPV מצטבר — מנקודת מבט ΔCapEx (לחישוב תקופת החזר על השקעה נוספת)</t>
        </is>
      </c>
    </row>
    <row r="246">
      <c r="B246" s="32" t="inlineStr">
        <is>
          <t>פרמטר</t>
        </is>
      </c>
      <c r="C246" s="32" t="inlineStr">
        <is>
          <t>יחידות</t>
        </is>
      </c>
      <c r="D246" s="32" t="inlineStr">
        <is>
          <t>מקור</t>
        </is>
      </c>
      <c r="E246" s="32" t="inlineStr">
        <is>
          <t>הערות</t>
        </is>
      </c>
      <c r="F246" s="32" t="inlineStr">
        <is>
          <t>שנה 0</t>
        </is>
      </c>
      <c r="G246" s="32" t="inlineStr">
        <is>
          <t>שנה 1</t>
        </is>
      </c>
      <c r="H246" s="32" t="inlineStr">
        <is>
          <t>שנה 2</t>
        </is>
      </c>
      <c r="I246" s="32" t="inlineStr">
        <is>
          <t>שנה 3</t>
        </is>
      </c>
      <c r="J246" s="32" t="inlineStr">
        <is>
          <t>שנה 4</t>
        </is>
      </c>
      <c r="K246" s="32" t="inlineStr">
        <is>
          <t>שנה 5</t>
        </is>
      </c>
      <c r="L246" s="32" t="inlineStr">
        <is>
          <t>שנה 6</t>
        </is>
      </c>
      <c r="M246" s="32" t="inlineStr">
        <is>
          <t>שנה 7</t>
        </is>
      </c>
      <c r="N246" s="32" t="inlineStr">
        <is>
          <t>שנה 8</t>
        </is>
      </c>
      <c r="O246" s="32" t="inlineStr">
        <is>
          <t>שנה 9</t>
        </is>
      </c>
      <c r="P246" s="32" t="inlineStr">
        <is>
          <t>שנה 10</t>
        </is>
      </c>
      <c r="Q246" s="32" t="inlineStr">
        <is>
          <t>שנה 11</t>
        </is>
      </c>
      <c r="R246" s="32" t="inlineStr">
        <is>
          <t>שנה 12</t>
        </is>
      </c>
      <c r="S246" s="32" t="inlineStr">
        <is>
          <t>שנה 13</t>
        </is>
      </c>
      <c r="T246" s="32" t="inlineStr">
        <is>
          <t>שנה 14</t>
        </is>
      </c>
      <c r="U246" s="32" t="inlineStr">
        <is>
          <t>שנה 15</t>
        </is>
      </c>
      <c r="V246" s="32" t="inlineStr">
        <is>
          <t>שנה 16</t>
        </is>
      </c>
      <c r="W246" s="32" t="inlineStr">
        <is>
          <t>שנה 17</t>
        </is>
      </c>
      <c r="X246" s="32" t="inlineStr">
        <is>
          <t>שנה 18</t>
        </is>
      </c>
      <c r="Y246" s="32" t="inlineStr">
        <is>
          <t>שנה 19</t>
        </is>
      </c>
      <c r="Z246" s="32" t="inlineStr">
        <is>
          <t>שנה 20</t>
        </is>
      </c>
    </row>
    <row r="247">
      <c r="B247" s="2" t="inlineStr">
        <is>
          <t>NPV מצטבר ΔCF — שדרוג ללא תמריץ (B−A)</t>
        </is>
      </c>
      <c r="C247" s="9" t="inlineStr">
        <is>
          <t>₪</t>
        </is>
      </c>
      <c r="D247" s="9" t="inlineStr">
        <is>
          <t>חישוב</t>
        </is>
      </c>
      <c r="F247" s="43">
        <f>IF(ISNUMBER($F$180),-$F$180,"PENDING")</f>
        <v/>
      </c>
      <c r="G247" s="43">
        <f>F247+(G217-G209)</f>
        <v/>
      </c>
      <c r="H247" s="43">
        <f>G247+(H217-H209)</f>
        <v/>
      </c>
      <c r="I247" s="43">
        <f>H247+(I217-I209)</f>
        <v/>
      </c>
      <c r="J247" s="43">
        <f>I247+(J217-J209)</f>
        <v/>
      </c>
      <c r="K247" s="43">
        <f>J247+(K217-K209)</f>
        <v/>
      </c>
      <c r="L247" s="43">
        <f>K247+(L217-L209)</f>
        <v/>
      </c>
      <c r="M247" s="43">
        <f>L247+(M217-M209)</f>
        <v/>
      </c>
      <c r="N247" s="43">
        <f>M247+(N217-N209)</f>
        <v/>
      </c>
      <c r="O247" s="43">
        <f>N247+(O217-O209)</f>
        <v/>
      </c>
      <c r="P247" s="43">
        <f>O247+(P217-P209)</f>
        <v/>
      </c>
      <c r="Q247" s="43">
        <f>P247+(Q217-Q209)</f>
        <v/>
      </c>
      <c r="R247" s="43">
        <f>Q247+(R217-R209)</f>
        <v/>
      </c>
      <c r="S247" s="43">
        <f>R247+(S217-S209)</f>
        <v/>
      </c>
      <c r="T247" s="43">
        <f>S247+(T217-T209)</f>
        <v/>
      </c>
      <c r="U247" s="43">
        <f>T247+(U217-U209)</f>
        <v/>
      </c>
      <c r="V247" s="43">
        <f>U247+(V217-V209)</f>
        <v/>
      </c>
      <c r="W247" s="43">
        <f>V247+(W217-W209)</f>
        <v/>
      </c>
      <c r="X247" s="43">
        <f>W247+(X217-X209)</f>
        <v/>
      </c>
      <c r="Y247" s="43">
        <f>X247+(Y217-Y209)</f>
        <v/>
      </c>
      <c r="Z247" s="43">
        <f>Y247+(Z217-Z209)</f>
        <v/>
      </c>
    </row>
    <row r="248">
      <c r="B248" s="7" t="inlineStr">
        <is>
          <t>NPV מצטבר ΔCF — שדרוג עם תמריץ (C−A)</t>
        </is>
      </c>
      <c r="C248" s="9" t="inlineStr">
        <is>
          <t>₪</t>
        </is>
      </c>
      <c r="D248" s="9" t="inlineStr">
        <is>
          <t>חישוב</t>
        </is>
      </c>
      <c r="F248" s="45">
        <f>IF(ISNUMBER($F$180),-$F$180,"PENDING")</f>
        <v/>
      </c>
      <c r="G248" s="45">
        <f>F248+(G223-G209)</f>
        <v/>
      </c>
      <c r="H248" s="45">
        <f>G248+(H223-H209)</f>
        <v/>
      </c>
      <c r="I248" s="45">
        <f>H248+(I223-I209)</f>
        <v/>
      </c>
      <c r="J248" s="45">
        <f>I248+(J223-J209)</f>
        <v/>
      </c>
      <c r="K248" s="45">
        <f>J248+(K223-K209)</f>
        <v/>
      </c>
      <c r="L248" s="45">
        <f>K248+(L223-L209)</f>
        <v/>
      </c>
      <c r="M248" s="45">
        <f>L248+(M223-M209)</f>
        <v/>
      </c>
      <c r="N248" s="45">
        <f>M248+(N223-N209)</f>
        <v/>
      </c>
      <c r="O248" s="45">
        <f>N248+(O223-O209)</f>
        <v/>
      </c>
      <c r="P248" s="45">
        <f>O248+(P223-P209)</f>
        <v/>
      </c>
      <c r="Q248" s="45">
        <f>P248+(Q223-Q209)</f>
        <v/>
      </c>
      <c r="R248" s="45">
        <f>Q248+(R223-R209)</f>
        <v/>
      </c>
      <c r="S248" s="45">
        <f>R248+(S223-S209)</f>
        <v/>
      </c>
      <c r="T248" s="45">
        <f>S248+(T223-T209)</f>
        <v/>
      </c>
      <c r="U248" s="45">
        <f>T248+(U223-U209)</f>
        <v/>
      </c>
      <c r="V248" s="45">
        <f>U248+(V223-V209)</f>
        <v/>
      </c>
      <c r="W248" s="45">
        <f>V248+(W223-W209)</f>
        <v/>
      </c>
      <c r="X248" s="45">
        <f>W248+(X223-X209)</f>
        <v/>
      </c>
      <c r="Y248" s="45">
        <f>X248+(Y223-Y209)</f>
        <v/>
      </c>
      <c r="Z248" s="45">
        <f>Y248+(Z223-Z209)</f>
        <v/>
      </c>
    </row>
    <row r="252">
      <c r="B252" s="24" t="inlineStr">
        <is>
          <t>3.4  מערכות קיטור חשמליות</t>
        </is>
      </c>
    </row>
    <row r="253">
      <c r="B253" s="23" t="inlineStr">
        <is>
          <t>* החלפת קיטור מבוסס דלק בקיטור חשמלי | חיסכון ~50% | אורך חיים: 10 vs 15 שנה</t>
        </is>
      </c>
    </row>
    <row r="254">
      <c r="B254" s="25" t="inlineStr">
        <is>
          <t>א. נתוני השקעה וציוד</t>
        </is>
      </c>
    </row>
    <row r="255">
      <c r="B255" s="18" t="inlineStr">
        <is>
          <t>CapEx — קיטור מבוסס דלק / גז</t>
        </is>
      </c>
      <c r="C255" s="9" t="inlineStr">
        <is>
          <t>₪</t>
        </is>
      </c>
      <c r="D255" s="9" t="inlineStr">
        <is>
          <t>נתוני רפי</t>
        </is>
      </c>
      <c r="E255" s="26" t="inlineStr">
        <is>
          <t>⚠ ממתין</t>
        </is>
      </c>
      <c r="F255" s="27" t="inlineStr">
        <is>
          <t>PENDING</t>
        </is>
      </c>
    </row>
    <row r="256">
      <c r="B256" s="18" t="inlineStr">
        <is>
          <t>CapEx — מערכות קיטור חשמליות</t>
        </is>
      </c>
      <c r="C256" s="9" t="inlineStr">
        <is>
          <t>₪</t>
        </is>
      </c>
      <c r="D256" s="9" t="inlineStr">
        <is>
          <t>נתוני רפי</t>
        </is>
      </c>
      <c r="E256" s="26" t="inlineStr">
        <is>
          <t>⚠ ממתין</t>
        </is>
      </c>
      <c r="F256" s="27" t="inlineStr">
        <is>
          <t>PENDING</t>
        </is>
      </c>
    </row>
    <row r="257">
      <c r="B257" s="18" t="inlineStr">
        <is>
          <t>ΔCapEx — השקעה נוספת</t>
        </is>
      </c>
      <c r="C257" s="9" t="inlineStr">
        <is>
          <t>₪</t>
        </is>
      </c>
      <c r="D257" s="9" t="inlineStr">
        <is>
          <t>חישוב</t>
        </is>
      </c>
      <c r="E257" s="9">
        <f> CapEx יעיל − CapEx בסיסי</f>
        <v/>
      </c>
      <c r="F257" s="28">
        <f>IF(ISNUMBER($F$256)*ISNUMBER($F$255),$F$256-$F$255,"PENDING")</f>
        <v/>
      </c>
    </row>
    <row r="258">
      <c r="B258" s="18" t="inlineStr">
        <is>
          <t>אורך חיי ציוד — קיטור מבוסס דלק / גז</t>
        </is>
      </c>
      <c r="C258" s="9" t="inlineStr">
        <is>
          <t>שנים</t>
        </is>
      </c>
      <c r="D258" s="9" t="inlineStr">
        <is>
          <t>ממצאי הנדסה</t>
        </is>
      </c>
      <c r="E258" s="9" t="inlineStr">
        <is>
          <t>ברירת מחדל: 15 שנה — לאשר מול רפי</t>
        </is>
      </c>
      <c r="F258" s="29" t="n">
        <v>15</v>
      </c>
    </row>
    <row r="259">
      <c r="B259" s="18" t="inlineStr">
        <is>
          <t>אורך חיי ציוד — מערכות קיטור חשמליות</t>
        </is>
      </c>
      <c r="C259" s="9" t="inlineStr">
        <is>
          <t>שנים</t>
        </is>
      </c>
      <c r="D259" s="9" t="inlineStr">
        <is>
          <t>ממצאי הנדסה</t>
        </is>
      </c>
      <c r="E259" s="9" t="inlineStr">
        <is>
          <t>ברירת מחדל: 10 שנה — לאשר מול רפי</t>
        </is>
      </c>
      <c r="F259" s="29" t="n">
        <v>10</v>
      </c>
    </row>
    <row r="260">
      <c r="B260" s="18" t="inlineStr">
        <is>
          <t>צריכת אנרגיה שנתית (ציוד בסיסי)</t>
        </is>
      </c>
      <c r="C260" s="9" t="inlineStr">
        <is>
          <t>קוט"ש/שנה</t>
        </is>
      </c>
      <c r="D260" s="9" t="inlineStr">
        <is>
          <t>נתוני רפי</t>
        </is>
      </c>
      <c r="E260" s="26" t="inlineStr">
        <is>
          <t>⚠ ממתין</t>
        </is>
      </c>
      <c r="F260" s="27" t="inlineStr">
        <is>
          <t>PENDING</t>
        </is>
      </c>
    </row>
    <row r="261">
      <c r="B261" s="18" t="inlineStr">
        <is>
          <t>חיסכון אנרגטי</t>
        </is>
      </c>
      <c r="C261" s="9" t="inlineStr">
        <is>
          <t>% מצריכה בסיסית</t>
        </is>
      </c>
      <c r="D261" s="9" t="inlineStr">
        <is>
          <t>ממצאי הנדסה</t>
        </is>
      </c>
      <c r="E261" s="9" t="inlineStr"/>
      <c r="F261" s="10" t="n">
        <v>0.5</v>
      </c>
    </row>
    <row r="262">
      <c r="B262" s="18" t="inlineStr">
        <is>
          <t>צריכת אנרגיה שנתית (ציוד יעיל)</t>
        </is>
      </c>
      <c r="C262" s="9" t="inlineStr">
        <is>
          <t>קוט"ש/שנה</t>
        </is>
      </c>
      <c r="D262" s="9" t="inlineStr">
        <is>
          <t>חישוב</t>
        </is>
      </c>
      <c r="E262" s="9">
        <f> צריכה בסיסית × (1 − חיסכון)</f>
        <v/>
      </c>
      <c r="F262" s="30">
        <f>IF(ISNUMBER($F$260),$F$260*(1-$F$261),"PENDING")</f>
        <v/>
      </c>
    </row>
    <row r="263">
      <c r="B263" s="18" t="inlineStr">
        <is>
          <t>גורם שחיקת ביצועים</t>
        </is>
      </c>
      <c r="C263" s="9" t="inlineStr">
        <is>
          <t>% לשנה</t>
        </is>
      </c>
      <c r="D263" s="9" t="inlineStr">
        <is>
          <t>הנחת עבודה</t>
        </is>
      </c>
      <c r="E263" s="9" t="inlineStr">
        <is>
          <t>ירידה שנתית בחיסכון האנרגטי | 0.5%-1.0%/שנה — לאשר מול רפי</t>
        </is>
      </c>
      <c r="F263" s="11" t="n">
        <v>0.005</v>
      </c>
    </row>
    <row r="264">
      <c r="B264" s="18" t="inlineStr">
        <is>
          <t>מחיר חשמל</t>
        </is>
      </c>
      <c r="C264" s="9" t="inlineStr">
        <is>
          <t>₪/קוט"ש</t>
        </is>
      </c>
      <c r="D264" s="9" t="inlineStr">
        <is>
          <t>גיליון הנחות</t>
        </is>
      </c>
      <c r="F264" s="31">
        <f>'נתונים והנחות'!$F$12/100</f>
        <v/>
      </c>
    </row>
    <row r="265">
      <c r="B265" s="18" t="inlineStr">
        <is>
          <t>OPEX אנרגיה — בסיסי (שנה 1)</t>
        </is>
      </c>
      <c r="C265" s="9" t="inlineStr">
        <is>
          <t>₪/שנה</t>
        </is>
      </c>
      <c r="D265" s="9" t="inlineStr">
        <is>
          <t>חישוב</t>
        </is>
      </c>
      <c r="E265" s="9">
        <f> kWh בסיסי × מחיר חשמל</f>
        <v/>
      </c>
      <c r="F265" s="28">
        <f>IF(ISNUMBER($F$260),$F$260*$F$264,"PENDING")</f>
        <v/>
      </c>
    </row>
    <row r="266">
      <c r="B266" s="18" t="inlineStr">
        <is>
          <t>OPEX אנרגיה — יעיל (שנה 1)</t>
        </is>
      </c>
      <c r="C266" s="9" t="inlineStr">
        <is>
          <t>₪/שנה</t>
        </is>
      </c>
      <c r="D266" s="9" t="inlineStr">
        <is>
          <t>חישוב</t>
        </is>
      </c>
      <c r="E266" s="9">
        <f> kWh יעיל × מחיר חשמל</f>
        <v/>
      </c>
      <c r="F266" s="28">
        <f>IF(ISNUMBER($F$262),$F$262*$F$264,"PENDING")</f>
        <v/>
      </c>
    </row>
    <row r="267">
      <c r="B267" s="18" t="inlineStr">
        <is>
          <t>OPEX אחר — בסיסי (תחזוקה, חלקים וכו')</t>
        </is>
      </c>
      <c r="C267" s="9" t="inlineStr">
        <is>
          <t>₪/שנה</t>
        </is>
      </c>
      <c r="D267" s="9" t="inlineStr">
        <is>
          <t>נתוני רפי</t>
        </is>
      </c>
      <c r="E267" s="26" t="inlineStr">
        <is>
          <t>⚠ ממתין — תחזוקה, חלפים, ביטוח</t>
        </is>
      </c>
      <c r="F267" s="27" t="inlineStr">
        <is>
          <t>PENDING</t>
        </is>
      </c>
    </row>
    <row r="268">
      <c r="B268" s="18" t="inlineStr">
        <is>
          <t>OPEX אחר — יעיל (תחזוקה, חלקים וכו')</t>
        </is>
      </c>
      <c r="C268" s="9" t="inlineStr">
        <is>
          <t>₪/שנה</t>
        </is>
      </c>
      <c r="D268" s="9" t="inlineStr">
        <is>
          <t>נתוני רפי</t>
        </is>
      </c>
      <c r="E268" s="26" t="inlineStr">
        <is>
          <t>⚠ ממתין — תחזוקה, חלפים, ביטוח</t>
        </is>
      </c>
      <c r="F268" s="27" t="inlineStr">
        <is>
          <t>PENDING</t>
        </is>
      </c>
    </row>
    <row r="270">
      <c r="B270" s="25" t="inlineStr">
        <is>
          <t>ב. לוחות פחת (ציוד בסיסי vs. יעיל)</t>
        </is>
      </c>
    </row>
    <row r="271">
      <c r="B271" s="32" t="inlineStr">
        <is>
          <t>פרמטר</t>
        </is>
      </c>
      <c r="C271" s="32" t="inlineStr">
        <is>
          <t>יחידות</t>
        </is>
      </c>
      <c r="D271" s="32" t="inlineStr">
        <is>
          <t>מקור</t>
        </is>
      </c>
      <c r="E271" s="32" t="inlineStr">
        <is>
          <t>הערות</t>
        </is>
      </c>
      <c r="F271" s="32" t="inlineStr">
        <is>
          <t>שנה 0 (השקעה)</t>
        </is>
      </c>
      <c r="G271" s="32" t="inlineStr">
        <is>
          <t>שנה 1</t>
        </is>
      </c>
      <c r="H271" s="32" t="inlineStr">
        <is>
          <t>שנה 2</t>
        </is>
      </c>
      <c r="I271" s="32" t="inlineStr">
        <is>
          <t>שנה 3</t>
        </is>
      </c>
      <c r="J271" s="32" t="inlineStr">
        <is>
          <t>שנה 4</t>
        </is>
      </c>
      <c r="K271" s="32" t="inlineStr">
        <is>
          <t>שנה 5</t>
        </is>
      </c>
      <c r="L271" s="32" t="inlineStr">
        <is>
          <t>שנה 6</t>
        </is>
      </c>
      <c r="M271" s="32" t="inlineStr">
        <is>
          <t>שנה 7</t>
        </is>
      </c>
      <c r="N271" s="32" t="inlineStr">
        <is>
          <t>שנה 8</t>
        </is>
      </c>
      <c r="O271" s="32" t="inlineStr">
        <is>
          <t>שנה 9</t>
        </is>
      </c>
      <c r="P271" s="32" t="inlineStr">
        <is>
          <t>שנה 10</t>
        </is>
      </c>
      <c r="Q271" s="32" t="inlineStr">
        <is>
          <t>שנה 11</t>
        </is>
      </c>
      <c r="R271" s="32" t="inlineStr">
        <is>
          <t>שנה 12</t>
        </is>
      </c>
      <c r="S271" s="32" t="inlineStr">
        <is>
          <t>שנה 13</t>
        </is>
      </c>
      <c r="T271" s="32" t="inlineStr">
        <is>
          <t>שנה 14</t>
        </is>
      </c>
      <c r="U271" s="32" t="inlineStr">
        <is>
          <t>שנה 15</t>
        </is>
      </c>
      <c r="V271" s="32" t="inlineStr">
        <is>
          <t>שנה 16</t>
        </is>
      </c>
      <c r="W271" s="32" t="inlineStr">
        <is>
          <t>שנה 17</t>
        </is>
      </c>
      <c r="X271" s="32" t="inlineStr">
        <is>
          <t>שנה 18</t>
        </is>
      </c>
      <c r="Y271" s="32" t="inlineStr">
        <is>
          <t>שנה 19</t>
        </is>
      </c>
      <c r="Z271" s="32" t="inlineStr">
        <is>
          <t>שנה 20</t>
        </is>
      </c>
    </row>
    <row r="272">
      <c r="B272" s="4" t="inlineStr">
        <is>
          <t>פחת סטנדרטי — קיטור מבוסס דלק / גז</t>
        </is>
      </c>
      <c r="C272" s="9" t="inlineStr">
        <is>
          <t>₪</t>
        </is>
      </c>
      <c r="D272" s="9" t="inlineStr">
        <is>
          <t>חישוב</t>
        </is>
      </c>
      <c r="E272" s="9" t="inlineStr">
        <is>
          <t>קו ישר | 10%/שנה | עד 10 שנים | CapEx בסיסי</t>
        </is>
      </c>
      <c r="F272" s="33" t="n">
        <v>0</v>
      </c>
      <c r="G272" s="33">
        <f>IF(ISNUMBER($F$255),$F$255*0.1,0)</f>
        <v/>
      </c>
      <c r="H272" s="33">
        <f>IF(ISNUMBER($F$255),$F$255*0.1,0)</f>
        <v/>
      </c>
      <c r="I272" s="33">
        <f>IF(ISNUMBER($F$255),$F$255*0.1,0)</f>
        <v/>
      </c>
      <c r="J272" s="33">
        <f>IF(ISNUMBER($F$255),$F$255*0.1,0)</f>
        <v/>
      </c>
      <c r="K272" s="33">
        <f>IF(ISNUMBER($F$255),$F$255*0.1,0)</f>
        <v/>
      </c>
      <c r="L272" s="33">
        <f>IF(ISNUMBER($F$255),$F$255*0.1,0)</f>
        <v/>
      </c>
      <c r="M272" s="33">
        <f>IF(ISNUMBER($F$255),$F$255*0.1,0)</f>
        <v/>
      </c>
      <c r="N272" s="33">
        <f>IF(ISNUMBER($F$255),$F$255*0.1,0)</f>
        <v/>
      </c>
      <c r="O272" s="33">
        <f>IF(ISNUMBER($F$255),$F$255*0.1,0)</f>
        <v/>
      </c>
      <c r="P272" s="33">
        <f>IF(ISNUMBER($F$255),$F$255*0.1,0)</f>
        <v/>
      </c>
      <c r="Q272" s="33">
        <f>0</f>
        <v/>
      </c>
      <c r="R272" s="33">
        <f>0</f>
        <v/>
      </c>
      <c r="S272" s="33">
        <f>0</f>
        <v/>
      </c>
      <c r="T272" s="33">
        <f>0</f>
        <v/>
      </c>
      <c r="U272" s="33">
        <f>0</f>
        <v/>
      </c>
      <c r="V272" s="33">
        <f>0</f>
        <v/>
      </c>
      <c r="W272" s="33">
        <f>0</f>
        <v/>
      </c>
      <c r="X272" s="33">
        <f>0</f>
        <v/>
      </c>
      <c r="Y272" s="33">
        <f>0</f>
        <v/>
      </c>
      <c r="Z272" s="33">
        <f>0</f>
        <v/>
      </c>
    </row>
    <row r="273">
      <c r="B273" s="4" t="inlineStr">
        <is>
          <t>מגן מס — קיטור מבוסס דלק / גז</t>
        </is>
      </c>
      <c r="C273" s="9" t="inlineStr">
        <is>
          <t>₪</t>
        </is>
      </c>
      <c r="D273" s="9" t="inlineStr">
        <is>
          <t>חישוב</t>
        </is>
      </c>
      <c r="E273" s="9">
        <f> פחת × שיעור מס</f>
        <v/>
      </c>
      <c r="F273" s="33" t="n">
        <v>0</v>
      </c>
      <c r="G273" s="33">
        <f>G272*'נתונים והנחות'!$F$10</f>
        <v/>
      </c>
      <c r="H273" s="33">
        <f>H272*'נתונים והנחות'!$F$10</f>
        <v/>
      </c>
      <c r="I273" s="33">
        <f>I272*'נתונים והנחות'!$F$10</f>
        <v/>
      </c>
      <c r="J273" s="33">
        <f>J272*'נתונים והנחות'!$F$10</f>
        <v/>
      </c>
      <c r="K273" s="33">
        <f>K272*'נתונים והנחות'!$F$10</f>
        <v/>
      </c>
      <c r="L273" s="33">
        <f>L272*'נתונים והנחות'!$F$10</f>
        <v/>
      </c>
      <c r="M273" s="33">
        <f>M272*'נתונים והנחות'!$F$10</f>
        <v/>
      </c>
      <c r="N273" s="33">
        <f>N272*'נתונים והנחות'!$F$10</f>
        <v/>
      </c>
      <c r="O273" s="33">
        <f>O272*'נתונים והנחות'!$F$10</f>
        <v/>
      </c>
      <c r="P273" s="33">
        <f>P272*'נתונים והנחות'!$F$10</f>
        <v/>
      </c>
      <c r="Q273" s="33">
        <f>Q272*'נתונים והנחות'!$F$10</f>
        <v/>
      </c>
      <c r="R273" s="33">
        <f>R272*'נתונים והנחות'!$F$10</f>
        <v/>
      </c>
      <c r="S273" s="33">
        <f>S272*'נתונים והנחות'!$F$10</f>
        <v/>
      </c>
      <c r="T273" s="33">
        <f>T272*'נתונים והנחות'!$F$10</f>
        <v/>
      </c>
      <c r="U273" s="33">
        <f>U272*'נתונים והנחות'!$F$10</f>
        <v/>
      </c>
      <c r="V273" s="33">
        <f>V272*'נתונים והנחות'!$F$10</f>
        <v/>
      </c>
      <c r="W273" s="33">
        <f>W272*'נתונים והנחות'!$F$10</f>
        <v/>
      </c>
      <c r="X273" s="33">
        <f>X272*'נתונים והנחות'!$F$10</f>
        <v/>
      </c>
      <c r="Y273" s="33">
        <f>Y272*'נתונים והנחות'!$F$10</f>
        <v/>
      </c>
      <c r="Z273" s="33">
        <f>Z272*'נתונים והנחות'!$F$10</f>
        <v/>
      </c>
    </row>
    <row r="274">
      <c r="B274" s="5" t="inlineStr">
        <is>
          <t>פחת סטנדרטי — מערכות קיטור חשמליות</t>
        </is>
      </c>
      <c r="C274" s="9" t="inlineStr">
        <is>
          <t>₪</t>
        </is>
      </c>
      <c r="D274" s="9" t="inlineStr">
        <is>
          <t>חישוב</t>
        </is>
      </c>
      <c r="E274" s="9" t="inlineStr">
        <is>
          <t>קו ישר | 10%/שנה | עד 10 שנים | CapEx יעיל</t>
        </is>
      </c>
      <c r="F274" s="34" t="n">
        <v>0</v>
      </c>
      <c r="G274" s="34">
        <f>IF(ISNUMBER($F$256),$F$256*0.1,0)</f>
        <v/>
      </c>
      <c r="H274" s="34">
        <f>IF(ISNUMBER($F$256),$F$256*0.1,0)</f>
        <v/>
      </c>
      <c r="I274" s="34">
        <f>IF(ISNUMBER($F$256),$F$256*0.1,0)</f>
        <v/>
      </c>
      <c r="J274" s="34">
        <f>IF(ISNUMBER($F$256),$F$256*0.1,0)</f>
        <v/>
      </c>
      <c r="K274" s="34">
        <f>IF(ISNUMBER($F$256),$F$256*0.1,0)</f>
        <v/>
      </c>
      <c r="L274" s="34">
        <f>IF(ISNUMBER($F$256),$F$256*0.1,0)</f>
        <v/>
      </c>
      <c r="M274" s="34">
        <f>IF(ISNUMBER($F$256),$F$256*0.1,0)</f>
        <v/>
      </c>
      <c r="N274" s="34">
        <f>IF(ISNUMBER($F$256),$F$256*0.1,0)</f>
        <v/>
      </c>
      <c r="O274" s="34">
        <f>IF(ISNUMBER($F$256),$F$256*0.1,0)</f>
        <v/>
      </c>
      <c r="P274" s="34">
        <f>IF(ISNUMBER($F$256),$F$256*0.1,0)</f>
        <v/>
      </c>
      <c r="Q274" s="34">
        <f>0</f>
        <v/>
      </c>
      <c r="R274" s="34">
        <f>0</f>
        <v/>
      </c>
      <c r="S274" s="34">
        <f>0</f>
        <v/>
      </c>
      <c r="T274" s="34">
        <f>0</f>
        <v/>
      </c>
      <c r="U274" s="34">
        <f>0</f>
        <v/>
      </c>
      <c r="V274" s="34">
        <f>0</f>
        <v/>
      </c>
      <c r="W274" s="34">
        <f>0</f>
        <v/>
      </c>
      <c r="X274" s="34">
        <f>0</f>
        <v/>
      </c>
      <c r="Y274" s="34">
        <f>0</f>
        <v/>
      </c>
      <c r="Z274" s="34">
        <f>0</f>
        <v/>
      </c>
    </row>
    <row r="275">
      <c r="B275" s="5" t="inlineStr">
        <is>
          <t>מגן מס סטנדרטי — מערכות קיטור חשמליות</t>
        </is>
      </c>
      <c r="C275" s="9" t="inlineStr">
        <is>
          <t>₪</t>
        </is>
      </c>
      <c r="D275" s="9" t="inlineStr">
        <is>
          <t>חישוב</t>
        </is>
      </c>
      <c r="E275" s="9">
        <f> פחת × שיעור מס</f>
        <v/>
      </c>
      <c r="F275" s="34" t="n">
        <v>0</v>
      </c>
      <c r="G275" s="34">
        <f>G274*'נתונים והנחות'!$F$10</f>
        <v/>
      </c>
      <c r="H275" s="34">
        <f>H274*'נתונים והנחות'!$F$10</f>
        <v/>
      </c>
      <c r="I275" s="34">
        <f>I274*'נתונים והנחות'!$F$10</f>
        <v/>
      </c>
      <c r="J275" s="34">
        <f>J274*'נתונים והנחות'!$F$10</f>
        <v/>
      </c>
      <c r="K275" s="34">
        <f>K274*'נתונים והנחות'!$F$10</f>
        <v/>
      </c>
      <c r="L275" s="34">
        <f>L274*'נתונים והנחות'!$F$10</f>
        <v/>
      </c>
      <c r="M275" s="34">
        <f>M274*'נתונים והנחות'!$F$10</f>
        <v/>
      </c>
      <c r="N275" s="34">
        <f>N274*'נתונים והנחות'!$F$10</f>
        <v/>
      </c>
      <c r="O275" s="34">
        <f>O274*'נתונים והנחות'!$F$10</f>
        <v/>
      </c>
      <c r="P275" s="34">
        <f>P274*'נתונים והנחות'!$F$10</f>
        <v/>
      </c>
      <c r="Q275" s="34">
        <f>Q274*'נתונים והנחות'!$F$10</f>
        <v/>
      </c>
      <c r="R275" s="34">
        <f>R274*'נתונים והנחות'!$F$10</f>
        <v/>
      </c>
      <c r="S275" s="34">
        <f>S274*'נתונים והנחות'!$F$10</f>
        <v/>
      </c>
      <c r="T275" s="34">
        <f>T274*'נתונים והנחות'!$F$10</f>
        <v/>
      </c>
      <c r="U275" s="34">
        <f>U274*'נתונים והנחות'!$F$10</f>
        <v/>
      </c>
      <c r="V275" s="34">
        <f>V274*'נתונים והנחות'!$F$10</f>
        <v/>
      </c>
      <c r="W275" s="34">
        <f>W274*'נתונים והנחות'!$F$10</f>
        <v/>
      </c>
      <c r="X275" s="34">
        <f>X274*'נתונים והנחות'!$F$10</f>
        <v/>
      </c>
      <c r="Y275" s="34">
        <f>Y274*'נתונים והנחות'!$F$10</f>
        <v/>
      </c>
      <c r="Z275" s="34">
        <f>Z274*'נתונים והנחות'!$F$10</f>
        <v/>
      </c>
    </row>
    <row r="276">
      <c r="B276" s="6" t="inlineStr">
        <is>
          <t>פחת מואץ — מערכות קיטור חשמליות</t>
        </is>
      </c>
      <c r="C276" s="9" t="inlineStr">
        <is>
          <t>₪</t>
        </is>
      </c>
      <c r="D276" s="9" t="inlineStr">
        <is>
          <t>חישוב</t>
        </is>
      </c>
      <c r="E276" s="9">
        <f> CapEx יעיל × (פחת סטנדרטי × מכפיל) | תקופה = 1 ÷ שיעור מואץ</f>
        <v/>
      </c>
      <c r="F276" s="35" t="n">
        <v>0</v>
      </c>
      <c r="G276" s="35">
        <f>IF(ISNUMBER($F$256),IF(1&lt;=ROUND(1/(0.1*'נתונים והנחות'!$F$15),0),$F$256*0.1*'נתונים והנחות'!$F$15,0),0)</f>
        <v/>
      </c>
      <c r="H276" s="35">
        <f>IF(ISNUMBER($F$256),IF(2&lt;=ROUND(1/(0.1*'נתונים והנחות'!$F$15),0),$F$256*0.1*'נתונים והנחות'!$F$15,0),0)</f>
        <v/>
      </c>
      <c r="I276" s="35">
        <f>IF(ISNUMBER($F$256),IF(3&lt;=ROUND(1/(0.1*'נתונים והנחות'!$F$15),0),$F$256*0.1*'נתונים והנחות'!$F$15,0),0)</f>
        <v/>
      </c>
      <c r="J276" s="35">
        <f>IF(ISNUMBER($F$256),IF(4&lt;=ROUND(1/(0.1*'נתונים והנחות'!$F$15),0),$F$256*0.1*'נתונים והנחות'!$F$15,0),0)</f>
        <v/>
      </c>
      <c r="K276" s="35">
        <f>IF(ISNUMBER($F$256),IF(5&lt;=ROUND(1/(0.1*'נתונים והנחות'!$F$15),0),$F$256*0.1*'נתונים והנחות'!$F$15,0),0)</f>
        <v/>
      </c>
      <c r="L276" s="35">
        <f>IF(ISNUMBER($F$256),IF(6&lt;=ROUND(1/(0.1*'נתונים והנחות'!$F$15),0),$F$256*0.1*'נתונים והנחות'!$F$15,0),0)</f>
        <v/>
      </c>
      <c r="M276" s="35">
        <f>IF(ISNUMBER($F$256),IF(7&lt;=ROUND(1/(0.1*'נתונים והנחות'!$F$15),0),$F$256*0.1*'נתונים והנחות'!$F$15,0),0)</f>
        <v/>
      </c>
      <c r="N276" s="35">
        <f>IF(ISNUMBER($F$256),IF(8&lt;=ROUND(1/(0.1*'נתונים והנחות'!$F$15),0),$F$256*0.1*'נתונים והנחות'!$F$15,0),0)</f>
        <v/>
      </c>
      <c r="O276" s="35">
        <f>IF(ISNUMBER($F$256),IF(9&lt;=ROUND(1/(0.1*'נתונים והנחות'!$F$15),0),$F$256*0.1*'נתונים והנחות'!$F$15,0),0)</f>
        <v/>
      </c>
      <c r="P276" s="35">
        <f>IF(ISNUMBER($F$256),IF(10&lt;=ROUND(1/(0.1*'נתונים והנחות'!$F$15),0),$F$256*0.1*'נתונים והנחות'!$F$15,0),0)</f>
        <v/>
      </c>
      <c r="Q276" s="35">
        <f>IF(ISNUMBER($F$256),IF(11&lt;=ROUND(1/(0.1*'נתונים והנחות'!$F$15),0),$F$256*0.1*'נתונים והנחות'!$F$15,0),0)</f>
        <v/>
      </c>
      <c r="R276" s="35">
        <f>IF(ISNUMBER($F$256),IF(12&lt;=ROUND(1/(0.1*'נתונים והנחות'!$F$15),0),$F$256*0.1*'נתונים והנחות'!$F$15,0),0)</f>
        <v/>
      </c>
      <c r="S276" s="35">
        <f>IF(ISNUMBER($F$256),IF(13&lt;=ROUND(1/(0.1*'נתונים והנחות'!$F$15),0),$F$256*0.1*'נתונים והנחות'!$F$15,0),0)</f>
        <v/>
      </c>
      <c r="T276" s="35">
        <f>IF(ISNUMBER($F$256),IF(14&lt;=ROUND(1/(0.1*'נתונים והנחות'!$F$15),0),$F$256*0.1*'נתונים והנחות'!$F$15,0),0)</f>
        <v/>
      </c>
      <c r="U276" s="35">
        <f>IF(ISNUMBER($F$256),IF(15&lt;=ROUND(1/(0.1*'נתונים והנחות'!$F$15),0),$F$256*0.1*'נתונים והנחות'!$F$15,0),0)</f>
        <v/>
      </c>
      <c r="V276" s="35">
        <f>IF(ISNUMBER($F$256),IF(16&lt;=ROUND(1/(0.1*'נתונים והנחות'!$F$15),0),$F$256*0.1*'נתונים והנחות'!$F$15,0),0)</f>
        <v/>
      </c>
      <c r="W276" s="35">
        <f>IF(ISNUMBER($F$256),IF(17&lt;=ROUND(1/(0.1*'נתונים והנחות'!$F$15),0),$F$256*0.1*'נתונים והנחות'!$F$15,0),0)</f>
        <v/>
      </c>
      <c r="X276" s="35">
        <f>IF(ISNUMBER($F$256),IF(18&lt;=ROUND(1/(0.1*'נתונים והנחות'!$F$15),0),$F$256*0.1*'נתונים והנחות'!$F$15,0),0)</f>
        <v/>
      </c>
      <c r="Y276" s="35">
        <f>IF(ISNUMBER($F$256),IF(19&lt;=ROUND(1/(0.1*'נתונים והנחות'!$F$15),0),$F$256*0.1*'נתונים והנחות'!$F$15,0),0)</f>
        <v/>
      </c>
      <c r="Z276" s="35">
        <f>IF(ISNUMBER($F$256),IF(20&lt;=ROUND(1/(0.1*'נתונים והנחות'!$F$15),0),$F$256*0.1*'נתונים והנחות'!$F$15,0),0)</f>
        <v/>
      </c>
    </row>
    <row r="277">
      <c r="B277" s="6" t="inlineStr">
        <is>
          <t>מגן מס מואץ — מערכות קיטור חשמליות</t>
        </is>
      </c>
      <c r="C277" s="9" t="inlineStr">
        <is>
          <t>₪</t>
        </is>
      </c>
      <c r="D277" s="9" t="inlineStr">
        <is>
          <t>חישוב</t>
        </is>
      </c>
      <c r="E277" s="9">
        <f> פחת מואץ × שיעור מס</f>
        <v/>
      </c>
      <c r="F277" s="35" t="n">
        <v>0</v>
      </c>
      <c r="G277" s="35">
        <f>G276*'נתונים והנחות'!$F$10</f>
        <v/>
      </c>
      <c r="H277" s="35">
        <f>H276*'נתונים והנחות'!$F$10</f>
        <v/>
      </c>
      <c r="I277" s="35">
        <f>I276*'נתונים והנחות'!$F$10</f>
        <v/>
      </c>
      <c r="J277" s="35">
        <f>J276*'נתונים והנחות'!$F$10</f>
        <v/>
      </c>
      <c r="K277" s="35">
        <f>K276*'נתונים והנחות'!$F$10</f>
        <v/>
      </c>
      <c r="L277" s="35">
        <f>L276*'נתונים והנחות'!$F$10</f>
        <v/>
      </c>
      <c r="M277" s="35">
        <f>M276*'נתונים והנחות'!$F$10</f>
        <v/>
      </c>
      <c r="N277" s="35">
        <f>N276*'נתונים והנחות'!$F$10</f>
        <v/>
      </c>
      <c r="O277" s="35">
        <f>O276*'נתונים והנחות'!$F$10</f>
        <v/>
      </c>
      <c r="P277" s="35">
        <f>P276*'נתונים והנחות'!$F$10</f>
        <v/>
      </c>
      <c r="Q277" s="35">
        <f>Q276*'נתונים והנחות'!$F$10</f>
        <v/>
      </c>
      <c r="R277" s="35">
        <f>R276*'נתונים והנחות'!$F$10</f>
        <v/>
      </c>
      <c r="S277" s="35">
        <f>S276*'נתונים והנחות'!$F$10</f>
        <v/>
      </c>
      <c r="T277" s="35">
        <f>T276*'נתונים והנחות'!$F$10</f>
        <v/>
      </c>
      <c r="U277" s="35">
        <f>U276*'נתונים והנחות'!$F$10</f>
        <v/>
      </c>
      <c r="V277" s="35">
        <f>V276*'נתונים והנחות'!$F$10</f>
        <v/>
      </c>
      <c r="W277" s="35">
        <f>W276*'נתונים והנחות'!$F$10</f>
        <v/>
      </c>
      <c r="X277" s="35">
        <f>X276*'נתונים והנחות'!$F$10</f>
        <v/>
      </c>
      <c r="Y277" s="35">
        <f>Y276*'נתונים והנחות'!$F$10</f>
        <v/>
      </c>
      <c r="Z277" s="35">
        <f>Z276*'נתונים והנחות'!$F$10</f>
        <v/>
      </c>
    </row>
    <row r="279">
      <c r="B279" s="25" t="inlineStr">
        <is>
          <t>ג. ניתוח תזרים מזומנים — שלושה תרחישים</t>
        </is>
      </c>
    </row>
    <row r="280">
      <c r="B280" s="32" t="inlineStr">
        <is>
          <t>פרמטר</t>
        </is>
      </c>
      <c r="C280" s="32" t="inlineStr">
        <is>
          <t>יחידות</t>
        </is>
      </c>
      <c r="D280" s="32" t="inlineStr">
        <is>
          <t>מקור</t>
        </is>
      </c>
      <c r="E280" s="32" t="inlineStr">
        <is>
          <t>הערות</t>
        </is>
      </c>
      <c r="F280" s="32" t="inlineStr">
        <is>
          <t>שנה 0 (השקעה)</t>
        </is>
      </c>
      <c r="G280" s="32" t="inlineStr">
        <is>
          <t>שנה 1</t>
        </is>
      </c>
      <c r="H280" s="32" t="inlineStr">
        <is>
          <t>שנה 2</t>
        </is>
      </c>
      <c r="I280" s="32" t="inlineStr">
        <is>
          <t>שנה 3</t>
        </is>
      </c>
      <c r="J280" s="32" t="inlineStr">
        <is>
          <t>שנה 4</t>
        </is>
      </c>
      <c r="K280" s="32" t="inlineStr">
        <is>
          <t>שנה 5</t>
        </is>
      </c>
      <c r="L280" s="32" t="inlineStr">
        <is>
          <t>שנה 6</t>
        </is>
      </c>
      <c r="M280" s="32" t="inlineStr">
        <is>
          <t>שנה 7</t>
        </is>
      </c>
      <c r="N280" s="32" t="inlineStr">
        <is>
          <t>שנה 8</t>
        </is>
      </c>
      <c r="O280" s="32" t="inlineStr">
        <is>
          <t>שנה 9</t>
        </is>
      </c>
      <c r="P280" s="32" t="inlineStr">
        <is>
          <t>שנה 10</t>
        </is>
      </c>
      <c r="Q280" s="32" t="inlineStr">
        <is>
          <t>שנה 11</t>
        </is>
      </c>
      <c r="R280" s="32" t="inlineStr">
        <is>
          <t>שנה 12</t>
        </is>
      </c>
      <c r="S280" s="32" t="inlineStr">
        <is>
          <t>שנה 13</t>
        </is>
      </c>
      <c r="T280" s="32" t="inlineStr">
        <is>
          <t>שנה 14</t>
        </is>
      </c>
      <c r="U280" s="32" t="inlineStr">
        <is>
          <t>שנה 15</t>
        </is>
      </c>
      <c r="V280" s="32" t="inlineStr">
        <is>
          <t>שנה 16</t>
        </is>
      </c>
      <c r="W280" s="32" t="inlineStr">
        <is>
          <t>שנה 17</t>
        </is>
      </c>
      <c r="X280" s="32" t="inlineStr">
        <is>
          <t>שנה 18</t>
        </is>
      </c>
      <c r="Y280" s="32" t="inlineStr">
        <is>
          <t>שנה 19</t>
        </is>
      </c>
      <c r="Z280" s="32" t="inlineStr">
        <is>
          <t>שנה 20</t>
        </is>
      </c>
    </row>
    <row r="281">
      <c r="B281" s="36" t="inlineStr">
        <is>
          <t>תרחיש A — רכישת קיטור מבוסס דלק / גז (ציוד קיים / לא יעיל)</t>
        </is>
      </c>
    </row>
    <row r="282">
      <c r="B282" s="4" t="inlineStr">
        <is>
          <t>השקעה ראשונית</t>
        </is>
      </c>
      <c r="C282" s="9" t="inlineStr">
        <is>
          <t>₪</t>
        </is>
      </c>
      <c r="D282" s="9" t="inlineStr">
        <is>
          <t>חישוב</t>
        </is>
      </c>
      <c r="F282" s="33">
        <f>IF(ISNUMBER($F$255),-$F$255,"PENDING")</f>
        <v/>
      </c>
    </row>
    <row r="283">
      <c r="B283" s="4" t="inlineStr">
        <is>
          <t>OPEX אנרגיה</t>
        </is>
      </c>
      <c r="C283" s="9" t="inlineStr">
        <is>
          <t>₪</t>
        </is>
      </c>
      <c r="D283" s="9" t="inlineStr">
        <is>
          <t>חישוב</t>
        </is>
      </c>
      <c r="F283" s="33" t="n">
        <v>0</v>
      </c>
      <c r="G283" s="33">
        <f>IF(ISNUMBER($F$265),-$F$265,0)</f>
        <v/>
      </c>
      <c r="H283" s="33">
        <f>IF(ISNUMBER($F$265),-$F$265,0)</f>
        <v/>
      </c>
      <c r="I283" s="33">
        <f>IF(ISNUMBER($F$265),-$F$265,0)</f>
        <v/>
      </c>
      <c r="J283" s="33">
        <f>IF(ISNUMBER($F$265),-$F$265,0)</f>
        <v/>
      </c>
      <c r="K283" s="33">
        <f>IF(ISNUMBER($F$265),-$F$265,0)</f>
        <v/>
      </c>
      <c r="L283" s="33">
        <f>IF(ISNUMBER($F$265),-$F$265,0)</f>
        <v/>
      </c>
      <c r="M283" s="33">
        <f>IF(ISNUMBER($F$265),-$F$265,0)</f>
        <v/>
      </c>
      <c r="N283" s="33">
        <f>IF(ISNUMBER($F$265),-$F$265,0)</f>
        <v/>
      </c>
      <c r="O283" s="33">
        <f>IF(ISNUMBER($F$265),-$F$265,0)</f>
        <v/>
      </c>
      <c r="P283" s="33">
        <f>IF(ISNUMBER($F$265),-$F$265,0)</f>
        <v/>
      </c>
      <c r="Q283" s="33">
        <f>IF(ISNUMBER($F$265),-$F$265,0)</f>
        <v/>
      </c>
      <c r="R283" s="33">
        <f>IF(ISNUMBER($F$265),-$F$265,0)</f>
        <v/>
      </c>
      <c r="S283" s="33">
        <f>IF(ISNUMBER($F$265),-$F$265,0)</f>
        <v/>
      </c>
      <c r="T283" s="33">
        <f>IF(ISNUMBER($F$265),-$F$265,0)</f>
        <v/>
      </c>
      <c r="U283" s="33">
        <f>IF(ISNUMBER($F$265),-$F$265,0)</f>
        <v/>
      </c>
      <c r="V283" s="33">
        <f>0</f>
        <v/>
      </c>
      <c r="W283" s="33">
        <f>0</f>
        <v/>
      </c>
      <c r="X283" s="33">
        <f>0</f>
        <v/>
      </c>
      <c r="Y283" s="33">
        <f>0</f>
        <v/>
      </c>
      <c r="Z283" s="33">
        <f>0</f>
        <v/>
      </c>
    </row>
    <row r="284">
      <c r="B284" s="4" t="inlineStr">
        <is>
          <t>OPEX אחר (תחזוקה וכו')</t>
        </is>
      </c>
      <c r="C284" s="9" t="inlineStr">
        <is>
          <t>₪</t>
        </is>
      </c>
      <c r="D284" s="9" t="inlineStr">
        <is>
          <t>חישוב</t>
        </is>
      </c>
      <c r="F284" s="33" t="n">
        <v>0</v>
      </c>
      <c r="G284" s="33">
        <f>IF(ISNUMBER($F$267),-$F$267,0)</f>
        <v/>
      </c>
      <c r="H284" s="33">
        <f>IF(ISNUMBER($F$267),-$F$267,0)</f>
        <v/>
      </c>
      <c r="I284" s="33">
        <f>IF(ISNUMBER($F$267),-$F$267,0)</f>
        <v/>
      </c>
      <c r="J284" s="33">
        <f>IF(ISNUMBER($F$267),-$F$267,0)</f>
        <v/>
      </c>
      <c r="K284" s="33">
        <f>IF(ISNUMBER($F$267),-$F$267,0)</f>
        <v/>
      </c>
      <c r="L284" s="33">
        <f>IF(ISNUMBER($F$267),-$F$267,0)</f>
        <v/>
      </c>
      <c r="M284" s="33">
        <f>IF(ISNUMBER($F$267),-$F$267,0)</f>
        <v/>
      </c>
      <c r="N284" s="33">
        <f>IF(ISNUMBER($F$267),-$F$267,0)</f>
        <v/>
      </c>
      <c r="O284" s="33">
        <f>IF(ISNUMBER($F$267),-$F$267,0)</f>
        <v/>
      </c>
      <c r="P284" s="33">
        <f>IF(ISNUMBER($F$267),-$F$267,0)</f>
        <v/>
      </c>
      <c r="Q284" s="33">
        <f>IF(ISNUMBER($F$267),-$F$267,0)</f>
        <v/>
      </c>
      <c r="R284" s="33">
        <f>IF(ISNUMBER($F$267),-$F$267,0)</f>
        <v/>
      </c>
      <c r="S284" s="33">
        <f>IF(ISNUMBER($F$267),-$F$267,0)</f>
        <v/>
      </c>
      <c r="T284" s="33">
        <f>IF(ISNUMBER($F$267),-$F$267,0)</f>
        <v/>
      </c>
      <c r="U284" s="33">
        <f>IF(ISNUMBER($F$267),-$F$267,0)</f>
        <v/>
      </c>
      <c r="V284" s="33">
        <f>0</f>
        <v/>
      </c>
      <c r="W284" s="33">
        <f>0</f>
        <v/>
      </c>
      <c r="X284" s="33">
        <f>0</f>
        <v/>
      </c>
      <c r="Y284" s="33">
        <f>0</f>
        <v/>
      </c>
      <c r="Z284" s="33">
        <f>0</f>
        <v/>
      </c>
    </row>
    <row r="285">
      <c r="B285" s="4" t="inlineStr">
        <is>
          <t>תזרים נקי — תרחיש A</t>
        </is>
      </c>
      <c r="C285" s="9" t="inlineStr">
        <is>
          <t>₪</t>
        </is>
      </c>
      <c r="D285" s="9" t="inlineStr">
        <is>
          <t>חישוב</t>
        </is>
      </c>
      <c r="F285" s="33">
        <f>F282</f>
        <v/>
      </c>
      <c r="G285" s="33">
        <f>G283+G284+G273</f>
        <v/>
      </c>
      <c r="H285" s="33">
        <f>H283+H284+H273</f>
        <v/>
      </c>
      <c r="I285" s="33">
        <f>I283+I284+I273</f>
        <v/>
      </c>
      <c r="J285" s="33">
        <f>J283+J284+J273</f>
        <v/>
      </c>
      <c r="K285" s="33">
        <f>K283+K284+K273</f>
        <v/>
      </c>
      <c r="L285" s="33">
        <f>L283+L284+L273</f>
        <v/>
      </c>
      <c r="M285" s="33">
        <f>M283+M284+M273</f>
        <v/>
      </c>
      <c r="N285" s="33">
        <f>N283+N284+N273</f>
        <v/>
      </c>
      <c r="O285" s="33">
        <f>O283+O284+O273</f>
        <v/>
      </c>
      <c r="P285" s="33">
        <f>P283+P284+P273</f>
        <v/>
      </c>
      <c r="Q285" s="33">
        <f>Q283+Q284+Q273</f>
        <v/>
      </c>
      <c r="R285" s="33">
        <f>R283+R284+R273</f>
        <v/>
      </c>
      <c r="S285" s="33">
        <f>S283+S284+S273</f>
        <v/>
      </c>
      <c r="T285" s="33">
        <f>T283+T284+T273</f>
        <v/>
      </c>
      <c r="U285" s="33">
        <f>U283+U284+U273</f>
        <v/>
      </c>
      <c r="V285" s="33">
        <f>V283+V284+V273</f>
        <v/>
      </c>
      <c r="W285" s="33">
        <f>W283+W284+W273</f>
        <v/>
      </c>
      <c r="X285" s="33">
        <f>X283+X284+X273</f>
        <v/>
      </c>
      <c r="Y285" s="33">
        <f>Y283+Y284+Y273</f>
        <v/>
      </c>
      <c r="Z285" s="33">
        <f>Z283+Z284+Z273</f>
        <v/>
      </c>
    </row>
    <row r="286">
      <c r="B286" s="4" t="inlineStr">
        <is>
          <t>תזרים מהוון — תרחיש A</t>
        </is>
      </c>
      <c r="C286" s="9" t="inlineStr">
        <is>
          <t>₪</t>
        </is>
      </c>
      <c r="D286" s="9" t="inlineStr">
        <is>
          <t>חישוב</t>
        </is>
      </c>
      <c r="F286" s="33">
        <f>F285</f>
        <v/>
      </c>
      <c r="G286" s="33">
        <f>G285/(1+'נתונים והנחות'!$F$11)^1</f>
        <v/>
      </c>
      <c r="H286" s="33">
        <f>H285/(1+'נתונים והנחות'!$F$11)^2</f>
        <v/>
      </c>
      <c r="I286" s="33">
        <f>I285/(1+'נתונים והנחות'!$F$11)^3</f>
        <v/>
      </c>
      <c r="J286" s="33">
        <f>J285/(1+'נתונים והנחות'!$F$11)^4</f>
        <v/>
      </c>
      <c r="K286" s="33">
        <f>K285/(1+'נתונים והנחות'!$F$11)^5</f>
        <v/>
      </c>
      <c r="L286" s="33">
        <f>L285/(1+'נתונים והנחות'!$F$11)^6</f>
        <v/>
      </c>
      <c r="M286" s="33">
        <f>M285/(1+'נתונים והנחות'!$F$11)^7</f>
        <v/>
      </c>
      <c r="N286" s="33">
        <f>N285/(1+'נתונים והנחות'!$F$11)^8</f>
        <v/>
      </c>
      <c r="O286" s="33">
        <f>O285/(1+'נתונים והנחות'!$F$11)^9</f>
        <v/>
      </c>
      <c r="P286" s="33">
        <f>P285/(1+'נתונים והנחות'!$F$11)^10</f>
        <v/>
      </c>
      <c r="Q286" s="33">
        <f>Q285/(1+'נתונים והנחות'!$F$11)^11</f>
        <v/>
      </c>
      <c r="R286" s="33">
        <f>R285/(1+'נתונים והנחות'!$F$11)^12</f>
        <v/>
      </c>
      <c r="S286" s="33">
        <f>S285/(1+'נתונים והנחות'!$F$11)^13</f>
        <v/>
      </c>
      <c r="T286" s="33">
        <f>T285/(1+'נתונים והנחות'!$F$11)^14</f>
        <v/>
      </c>
      <c r="U286" s="33">
        <f>U285/(1+'נתונים והנחות'!$F$11)^15</f>
        <v/>
      </c>
      <c r="V286" s="33">
        <f>V285/(1+'נתונים והנחות'!$F$11)^16</f>
        <v/>
      </c>
      <c r="W286" s="33">
        <f>W285/(1+'נתונים והנחות'!$F$11)^17</f>
        <v/>
      </c>
      <c r="X286" s="33">
        <f>X285/(1+'נתונים והנחות'!$F$11)^18</f>
        <v/>
      </c>
      <c r="Y286" s="33">
        <f>Y285/(1+'נתונים והנחות'!$F$11)^19</f>
        <v/>
      </c>
      <c r="Z286" s="33">
        <f>Z285/(1+'נתונים והנחות'!$F$11)^20</f>
        <v/>
      </c>
    </row>
    <row r="287">
      <c r="B287" s="4" t="inlineStr">
        <is>
          <t>NPV מצטבר — תרחיש A</t>
        </is>
      </c>
      <c r="C287" s="9" t="inlineStr">
        <is>
          <t>₪</t>
        </is>
      </c>
      <c r="D287" s="9" t="inlineStr">
        <is>
          <t>חישוב</t>
        </is>
      </c>
      <c r="F287" s="33">
        <f>F286</f>
        <v/>
      </c>
      <c r="G287" s="33">
        <f>F287+G286</f>
        <v/>
      </c>
      <c r="H287" s="33">
        <f>G287+H286</f>
        <v/>
      </c>
      <c r="I287" s="33">
        <f>H287+I286</f>
        <v/>
      </c>
      <c r="J287" s="33">
        <f>I287+J286</f>
        <v/>
      </c>
      <c r="K287" s="33">
        <f>J287+K286</f>
        <v/>
      </c>
      <c r="L287" s="33">
        <f>K287+L286</f>
        <v/>
      </c>
      <c r="M287" s="33">
        <f>L287+M286</f>
        <v/>
      </c>
      <c r="N287" s="33">
        <f>M287+N286</f>
        <v/>
      </c>
      <c r="O287" s="33">
        <f>N287+O286</f>
        <v/>
      </c>
      <c r="P287" s="33">
        <f>O287+P286</f>
        <v/>
      </c>
      <c r="Q287" s="33">
        <f>P287+Q286</f>
        <v/>
      </c>
      <c r="R287" s="33">
        <f>Q287+R286</f>
        <v/>
      </c>
      <c r="S287" s="33">
        <f>R287+S286</f>
        <v/>
      </c>
      <c r="T287" s="33">
        <f>S287+T286</f>
        <v/>
      </c>
      <c r="U287" s="33">
        <f>T287+U286</f>
        <v/>
      </c>
      <c r="V287" s="33">
        <f>U287+V286</f>
        <v/>
      </c>
      <c r="W287" s="33">
        <f>V287+W286</f>
        <v/>
      </c>
      <c r="X287" s="33">
        <f>W287+X286</f>
        <v/>
      </c>
      <c r="Y287" s="33">
        <f>X287+Y286</f>
        <v/>
      </c>
      <c r="Z287" s="33">
        <f>Y287+Z286</f>
        <v/>
      </c>
    </row>
    <row r="289">
      <c r="B289" s="37" t="inlineStr">
        <is>
          <t>תרחיש B — רכישת מערכות קיטור חשמליות | פחת סטנדרטי (ללא תמריץ)</t>
        </is>
      </c>
    </row>
    <row r="290">
      <c r="B290" s="5" t="inlineStr">
        <is>
          <t>השקעה ראשונית</t>
        </is>
      </c>
      <c r="C290" s="9" t="inlineStr">
        <is>
          <t>₪</t>
        </is>
      </c>
      <c r="D290" s="9" t="inlineStr">
        <is>
          <t>חישוב</t>
        </is>
      </c>
      <c r="F290" s="34">
        <f>IF(ISNUMBER($F$256),-$F$256,"PENDING")</f>
        <v/>
      </c>
    </row>
    <row r="291">
      <c r="B291" s="5" t="inlineStr">
        <is>
          <t>OPEX אנרגיה (עם שחיקה שנתית)</t>
        </is>
      </c>
      <c r="C291" s="9" t="inlineStr">
        <is>
          <t>₪</t>
        </is>
      </c>
      <c r="D291" s="9" t="inlineStr">
        <is>
          <t>חישוב</t>
        </is>
      </c>
      <c r="F291" s="34" t="n">
        <v>0</v>
      </c>
      <c r="G291" s="34">
        <f>IF(ISNUMBER($F$266),-$F$266*(1-$F$263)^0,0)</f>
        <v/>
      </c>
      <c r="H291" s="34">
        <f>IF(ISNUMBER($F$266),-$F$266*(1-$F$263)^1,0)</f>
        <v/>
      </c>
      <c r="I291" s="34">
        <f>IF(ISNUMBER($F$266),-$F$266*(1-$F$263)^2,0)</f>
        <v/>
      </c>
      <c r="J291" s="34">
        <f>IF(ISNUMBER($F$266),-$F$266*(1-$F$263)^3,0)</f>
        <v/>
      </c>
      <c r="K291" s="34">
        <f>IF(ISNUMBER($F$266),-$F$266*(1-$F$263)^4,0)</f>
        <v/>
      </c>
      <c r="L291" s="34">
        <f>IF(ISNUMBER($F$266),-$F$266*(1-$F$263)^5,0)</f>
        <v/>
      </c>
      <c r="M291" s="34">
        <f>IF(ISNUMBER($F$266),-$F$266*(1-$F$263)^6,0)</f>
        <v/>
      </c>
      <c r="N291" s="34">
        <f>IF(ISNUMBER($F$266),-$F$266*(1-$F$263)^7,0)</f>
        <v/>
      </c>
      <c r="O291" s="34">
        <f>IF(ISNUMBER($F$266),-$F$266*(1-$F$263)^8,0)</f>
        <v/>
      </c>
      <c r="P291" s="34">
        <f>IF(ISNUMBER($F$266),-$F$266*(1-$F$263)^9,0)</f>
        <v/>
      </c>
      <c r="Q291" s="34">
        <f>0</f>
        <v/>
      </c>
      <c r="R291" s="34">
        <f>0</f>
        <v/>
      </c>
      <c r="S291" s="34">
        <f>0</f>
        <v/>
      </c>
      <c r="T291" s="34">
        <f>0</f>
        <v/>
      </c>
      <c r="U291" s="34">
        <f>0</f>
        <v/>
      </c>
      <c r="V291" s="34">
        <f>0</f>
        <v/>
      </c>
      <c r="W291" s="34">
        <f>0</f>
        <v/>
      </c>
      <c r="X291" s="34">
        <f>0</f>
        <v/>
      </c>
      <c r="Y291" s="34">
        <f>0</f>
        <v/>
      </c>
      <c r="Z291" s="34">
        <f>0</f>
        <v/>
      </c>
    </row>
    <row r="292">
      <c r="B292" s="5" t="inlineStr">
        <is>
          <t>OPEX אחר (תחזוקה וכו')</t>
        </is>
      </c>
      <c r="C292" s="9" t="inlineStr">
        <is>
          <t>₪</t>
        </is>
      </c>
      <c r="D292" s="9" t="inlineStr">
        <is>
          <t>חישוב</t>
        </is>
      </c>
      <c r="F292" s="34" t="n">
        <v>0</v>
      </c>
      <c r="G292" s="34">
        <f>IF(ISNUMBER($F$268),-$F$268,0)</f>
        <v/>
      </c>
      <c r="H292" s="34">
        <f>IF(ISNUMBER($F$268),-$F$268,0)</f>
        <v/>
      </c>
      <c r="I292" s="34">
        <f>IF(ISNUMBER($F$268),-$F$268,0)</f>
        <v/>
      </c>
      <c r="J292" s="34">
        <f>IF(ISNUMBER($F$268),-$F$268,0)</f>
        <v/>
      </c>
      <c r="K292" s="34">
        <f>IF(ISNUMBER($F$268),-$F$268,0)</f>
        <v/>
      </c>
      <c r="L292" s="34">
        <f>IF(ISNUMBER($F$268),-$F$268,0)</f>
        <v/>
      </c>
      <c r="M292" s="34">
        <f>IF(ISNUMBER($F$268),-$F$268,0)</f>
        <v/>
      </c>
      <c r="N292" s="34">
        <f>IF(ISNUMBER($F$268),-$F$268,0)</f>
        <v/>
      </c>
      <c r="O292" s="34">
        <f>IF(ISNUMBER($F$268),-$F$268,0)</f>
        <v/>
      </c>
      <c r="P292" s="34">
        <f>IF(ISNUMBER($F$268),-$F$268,0)</f>
        <v/>
      </c>
      <c r="Q292" s="34">
        <f>0</f>
        <v/>
      </c>
      <c r="R292" s="34">
        <f>0</f>
        <v/>
      </c>
      <c r="S292" s="34">
        <f>0</f>
        <v/>
      </c>
      <c r="T292" s="34">
        <f>0</f>
        <v/>
      </c>
      <c r="U292" s="34">
        <f>0</f>
        <v/>
      </c>
      <c r="V292" s="34">
        <f>0</f>
        <v/>
      </c>
      <c r="W292" s="34">
        <f>0</f>
        <v/>
      </c>
      <c r="X292" s="34">
        <f>0</f>
        <v/>
      </c>
      <c r="Y292" s="34">
        <f>0</f>
        <v/>
      </c>
      <c r="Z292" s="34">
        <f>0</f>
        <v/>
      </c>
    </row>
    <row r="293">
      <c r="B293" s="5" t="inlineStr">
        <is>
          <t>תזרים נקי — תרחיש B</t>
        </is>
      </c>
      <c r="C293" s="9" t="inlineStr">
        <is>
          <t>₪</t>
        </is>
      </c>
      <c r="D293" s="9" t="inlineStr">
        <is>
          <t>חישוב</t>
        </is>
      </c>
      <c r="F293" s="34">
        <f>F290</f>
        <v/>
      </c>
      <c r="G293" s="34">
        <f>G291+G292+G275</f>
        <v/>
      </c>
      <c r="H293" s="34">
        <f>H291+H292+H275</f>
        <v/>
      </c>
      <c r="I293" s="34">
        <f>I291+I292+I275</f>
        <v/>
      </c>
      <c r="J293" s="34">
        <f>J291+J292+J275</f>
        <v/>
      </c>
      <c r="K293" s="34">
        <f>K291+K292+K275</f>
        <v/>
      </c>
      <c r="L293" s="34">
        <f>L291+L292+L275</f>
        <v/>
      </c>
      <c r="M293" s="34">
        <f>M291+M292+M275</f>
        <v/>
      </c>
      <c r="N293" s="34">
        <f>N291+N292+N275</f>
        <v/>
      </c>
      <c r="O293" s="34">
        <f>O291+O292+O275</f>
        <v/>
      </c>
      <c r="P293" s="34">
        <f>P291+P292+P275</f>
        <v/>
      </c>
      <c r="Q293" s="34">
        <f>Q291+Q292+Q275</f>
        <v/>
      </c>
      <c r="R293" s="34">
        <f>R291+R292+R275</f>
        <v/>
      </c>
      <c r="S293" s="34">
        <f>S291+S292+S275</f>
        <v/>
      </c>
      <c r="T293" s="34">
        <f>T291+T292+T275</f>
        <v/>
      </c>
      <c r="U293" s="34">
        <f>U291+U292+U275</f>
        <v/>
      </c>
      <c r="V293" s="34">
        <f>V291+V292+V275</f>
        <v/>
      </c>
      <c r="W293" s="34">
        <f>W291+W292+W275</f>
        <v/>
      </c>
      <c r="X293" s="34">
        <f>X291+X292+X275</f>
        <v/>
      </c>
      <c r="Y293" s="34">
        <f>Y291+Y292+Y275</f>
        <v/>
      </c>
      <c r="Z293" s="34">
        <f>Z291+Z292+Z275</f>
        <v/>
      </c>
    </row>
    <row r="294">
      <c r="B294" s="5" t="inlineStr">
        <is>
          <t>תזרים מהוון — תרחיש B</t>
        </is>
      </c>
      <c r="C294" s="9" t="inlineStr">
        <is>
          <t>₪</t>
        </is>
      </c>
      <c r="D294" s="9" t="inlineStr">
        <is>
          <t>חישוב</t>
        </is>
      </c>
      <c r="F294" s="34">
        <f>F293</f>
        <v/>
      </c>
      <c r="G294" s="34">
        <f>G293/(1+'נתונים והנחות'!$F$11)^1</f>
        <v/>
      </c>
      <c r="H294" s="34">
        <f>H293/(1+'נתונים והנחות'!$F$11)^2</f>
        <v/>
      </c>
      <c r="I294" s="34">
        <f>I293/(1+'נתונים והנחות'!$F$11)^3</f>
        <v/>
      </c>
      <c r="J294" s="34">
        <f>J293/(1+'נתונים והנחות'!$F$11)^4</f>
        <v/>
      </c>
      <c r="K294" s="34">
        <f>K293/(1+'נתונים והנחות'!$F$11)^5</f>
        <v/>
      </c>
      <c r="L294" s="34">
        <f>L293/(1+'נתונים והנחות'!$F$11)^6</f>
        <v/>
      </c>
      <c r="M294" s="34">
        <f>M293/(1+'נתונים והנחות'!$F$11)^7</f>
        <v/>
      </c>
      <c r="N294" s="34">
        <f>N293/(1+'נתונים והנחות'!$F$11)^8</f>
        <v/>
      </c>
      <c r="O294" s="34">
        <f>O293/(1+'נתונים והנחות'!$F$11)^9</f>
        <v/>
      </c>
      <c r="P294" s="34">
        <f>P293/(1+'נתונים והנחות'!$F$11)^10</f>
        <v/>
      </c>
      <c r="Q294" s="34">
        <f>Q293/(1+'נתונים והנחות'!$F$11)^11</f>
        <v/>
      </c>
      <c r="R294" s="34">
        <f>R293/(1+'נתונים והנחות'!$F$11)^12</f>
        <v/>
      </c>
      <c r="S294" s="34">
        <f>S293/(1+'נתונים והנחות'!$F$11)^13</f>
        <v/>
      </c>
      <c r="T294" s="34">
        <f>T293/(1+'נתונים והנחות'!$F$11)^14</f>
        <v/>
      </c>
      <c r="U294" s="34">
        <f>U293/(1+'נתונים והנחות'!$F$11)^15</f>
        <v/>
      </c>
      <c r="V294" s="34">
        <f>V293/(1+'נתונים והנחות'!$F$11)^16</f>
        <v/>
      </c>
      <c r="W294" s="34">
        <f>W293/(1+'נתונים והנחות'!$F$11)^17</f>
        <v/>
      </c>
      <c r="X294" s="34">
        <f>X293/(1+'נתונים והנחות'!$F$11)^18</f>
        <v/>
      </c>
      <c r="Y294" s="34">
        <f>Y293/(1+'נתונים והנחות'!$F$11)^19</f>
        <v/>
      </c>
      <c r="Z294" s="34">
        <f>Z293/(1+'נתונים והנחות'!$F$11)^20</f>
        <v/>
      </c>
    </row>
    <row r="295">
      <c r="B295" s="5" t="inlineStr">
        <is>
          <t>NPV מצטבר — תרחיש B</t>
        </is>
      </c>
      <c r="C295" s="9" t="inlineStr">
        <is>
          <t>₪</t>
        </is>
      </c>
      <c r="D295" s="9" t="inlineStr">
        <is>
          <t>חישוב</t>
        </is>
      </c>
      <c r="F295" s="34">
        <f>F294</f>
        <v/>
      </c>
      <c r="G295" s="34">
        <f>F295+G294</f>
        <v/>
      </c>
      <c r="H295" s="34">
        <f>G295+H294</f>
        <v/>
      </c>
      <c r="I295" s="34">
        <f>H295+I294</f>
        <v/>
      </c>
      <c r="J295" s="34">
        <f>I295+J294</f>
        <v/>
      </c>
      <c r="K295" s="34">
        <f>J295+K294</f>
        <v/>
      </c>
      <c r="L295" s="34">
        <f>K295+L294</f>
        <v/>
      </c>
      <c r="M295" s="34">
        <f>L295+M294</f>
        <v/>
      </c>
      <c r="N295" s="34">
        <f>M295+N294</f>
        <v/>
      </c>
      <c r="O295" s="34">
        <f>N295+O294</f>
        <v/>
      </c>
      <c r="P295" s="34">
        <f>O295+P294</f>
        <v/>
      </c>
      <c r="Q295" s="34">
        <f>P295+Q294</f>
        <v/>
      </c>
      <c r="R295" s="34">
        <f>Q295+R294</f>
        <v/>
      </c>
      <c r="S295" s="34">
        <f>R295+S294</f>
        <v/>
      </c>
      <c r="T295" s="34">
        <f>S295+T294</f>
        <v/>
      </c>
      <c r="U295" s="34">
        <f>T295+U294</f>
        <v/>
      </c>
      <c r="V295" s="34">
        <f>U295+V294</f>
        <v/>
      </c>
      <c r="W295" s="34">
        <f>V295+W294</f>
        <v/>
      </c>
      <c r="X295" s="34">
        <f>W295+X294</f>
        <v/>
      </c>
      <c r="Y295" s="34">
        <f>X295+Y294</f>
        <v/>
      </c>
      <c r="Z295" s="34">
        <f>Y295+Z294</f>
        <v/>
      </c>
    </row>
    <row r="297">
      <c r="B297" s="38" t="inlineStr">
        <is>
          <t>תרחיש C — רכישת מערכות קיטור חשמליות | פחת מואץ (עם תמריץ)</t>
        </is>
      </c>
    </row>
    <row r="298">
      <c r="B298" s="23" t="inlineStr">
        <is>
          <t>* OPEX זהה לתרחיש B — ההבדל הוא מגן המס המואץ בלבד</t>
        </is>
      </c>
    </row>
    <row r="299">
      <c r="B299" s="6" t="inlineStr">
        <is>
          <t>תזרים נקי — תרחיש C</t>
        </is>
      </c>
      <c r="C299" s="9" t="inlineStr">
        <is>
          <t>₪</t>
        </is>
      </c>
      <c r="D299" s="9" t="inlineStr">
        <is>
          <t>חישוב</t>
        </is>
      </c>
      <c r="F299" s="35">
        <f>F290</f>
        <v/>
      </c>
      <c r="G299" s="35">
        <f>G291+G292+G277</f>
        <v/>
      </c>
      <c r="H299" s="35">
        <f>H291+H292+H277</f>
        <v/>
      </c>
      <c r="I299" s="35">
        <f>I291+I292+I277</f>
        <v/>
      </c>
      <c r="J299" s="35">
        <f>J291+J292+J277</f>
        <v/>
      </c>
      <c r="K299" s="35">
        <f>K291+K292+K277</f>
        <v/>
      </c>
      <c r="L299" s="35">
        <f>L291+L292+L277</f>
        <v/>
      </c>
      <c r="M299" s="35">
        <f>M291+M292+M277</f>
        <v/>
      </c>
      <c r="N299" s="35">
        <f>N291+N292+N277</f>
        <v/>
      </c>
      <c r="O299" s="35">
        <f>O291+O292+O277</f>
        <v/>
      </c>
      <c r="P299" s="35">
        <f>P291+P292+P277</f>
        <v/>
      </c>
      <c r="Q299" s="35">
        <f>Q291+Q292+Q277</f>
        <v/>
      </c>
      <c r="R299" s="35">
        <f>R291+R292+R277</f>
        <v/>
      </c>
      <c r="S299" s="35">
        <f>S291+S292+S277</f>
        <v/>
      </c>
      <c r="T299" s="35">
        <f>T291+T292+T277</f>
        <v/>
      </c>
      <c r="U299" s="35">
        <f>U291+U292+U277</f>
        <v/>
      </c>
      <c r="V299" s="35">
        <f>V291+V292+V277</f>
        <v/>
      </c>
      <c r="W299" s="35">
        <f>W291+W292+W277</f>
        <v/>
      </c>
      <c r="X299" s="35">
        <f>X291+X292+X277</f>
        <v/>
      </c>
      <c r="Y299" s="35">
        <f>Y291+Y292+Y277</f>
        <v/>
      </c>
      <c r="Z299" s="35">
        <f>Z291+Z292+Z277</f>
        <v/>
      </c>
    </row>
    <row r="300">
      <c r="B300" s="6" t="inlineStr">
        <is>
          <t>תזרים מהוון — תרחיש C</t>
        </is>
      </c>
      <c r="C300" s="9" t="inlineStr">
        <is>
          <t>₪</t>
        </is>
      </c>
      <c r="D300" s="9" t="inlineStr">
        <is>
          <t>חישוב</t>
        </is>
      </c>
      <c r="F300" s="35">
        <f>F299</f>
        <v/>
      </c>
      <c r="G300" s="35">
        <f>G299/(1+'נתונים והנחות'!$F$11)^1</f>
        <v/>
      </c>
      <c r="H300" s="35">
        <f>H299/(1+'נתונים והנחות'!$F$11)^2</f>
        <v/>
      </c>
      <c r="I300" s="35">
        <f>I299/(1+'נתונים והנחות'!$F$11)^3</f>
        <v/>
      </c>
      <c r="J300" s="35">
        <f>J299/(1+'נתונים והנחות'!$F$11)^4</f>
        <v/>
      </c>
      <c r="K300" s="35">
        <f>K299/(1+'נתונים והנחות'!$F$11)^5</f>
        <v/>
      </c>
      <c r="L300" s="35">
        <f>L299/(1+'נתונים והנחות'!$F$11)^6</f>
        <v/>
      </c>
      <c r="M300" s="35">
        <f>M299/(1+'נתונים והנחות'!$F$11)^7</f>
        <v/>
      </c>
      <c r="N300" s="35">
        <f>N299/(1+'נתונים והנחות'!$F$11)^8</f>
        <v/>
      </c>
      <c r="O300" s="35">
        <f>O299/(1+'נתונים והנחות'!$F$11)^9</f>
        <v/>
      </c>
      <c r="P300" s="35">
        <f>P299/(1+'נתונים והנחות'!$F$11)^10</f>
        <v/>
      </c>
      <c r="Q300" s="35">
        <f>Q299/(1+'נתונים והנחות'!$F$11)^11</f>
        <v/>
      </c>
      <c r="R300" s="35">
        <f>R299/(1+'נתונים והנחות'!$F$11)^12</f>
        <v/>
      </c>
      <c r="S300" s="35">
        <f>S299/(1+'נתונים והנחות'!$F$11)^13</f>
        <v/>
      </c>
      <c r="T300" s="35">
        <f>T299/(1+'נתונים והנחות'!$F$11)^14</f>
        <v/>
      </c>
      <c r="U300" s="35">
        <f>U299/(1+'נתונים והנחות'!$F$11)^15</f>
        <v/>
      </c>
      <c r="V300" s="35">
        <f>V299/(1+'נתונים והנחות'!$F$11)^16</f>
        <v/>
      </c>
      <c r="W300" s="35">
        <f>W299/(1+'נתונים והנחות'!$F$11)^17</f>
        <v/>
      </c>
      <c r="X300" s="35">
        <f>X299/(1+'נתונים והנחות'!$F$11)^18</f>
        <v/>
      </c>
      <c r="Y300" s="35">
        <f>Y299/(1+'נתונים והנחות'!$F$11)^19</f>
        <v/>
      </c>
      <c r="Z300" s="35">
        <f>Z299/(1+'נתונים והנחות'!$F$11)^20</f>
        <v/>
      </c>
    </row>
    <row r="301">
      <c r="B301" s="6" t="inlineStr">
        <is>
          <t>NPV מצטבר — תרחיש C</t>
        </is>
      </c>
      <c r="C301" s="9" t="inlineStr">
        <is>
          <t>₪</t>
        </is>
      </c>
      <c r="D301" s="9" t="inlineStr">
        <is>
          <t>חישוב</t>
        </is>
      </c>
      <c r="F301" s="35">
        <f>F300</f>
        <v/>
      </c>
      <c r="G301" s="35">
        <f>F301+G300</f>
        <v/>
      </c>
      <c r="H301" s="35">
        <f>G301+H300</f>
        <v/>
      </c>
      <c r="I301" s="35">
        <f>H301+I300</f>
        <v/>
      </c>
      <c r="J301" s="35">
        <f>I301+J300</f>
        <v/>
      </c>
      <c r="K301" s="35">
        <f>J301+K300</f>
        <v/>
      </c>
      <c r="L301" s="35">
        <f>K301+L300</f>
        <v/>
      </c>
      <c r="M301" s="35">
        <f>L301+M300</f>
        <v/>
      </c>
      <c r="N301" s="35">
        <f>M301+N300</f>
        <v/>
      </c>
      <c r="O301" s="35">
        <f>N301+O300</f>
        <v/>
      </c>
      <c r="P301" s="35">
        <f>O301+P300</f>
        <v/>
      </c>
      <c r="Q301" s="35">
        <f>P301+Q300</f>
        <v/>
      </c>
      <c r="R301" s="35">
        <f>Q301+R300</f>
        <v/>
      </c>
      <c r="S301" s="35">
        <f>R301+S300</f>
        <v/>
      </c>
      <c r="T301" s="35">
        <f>S301+T300</f>
        <v/>
      </c>
      <c r="U301" s="35">
        <f>T301+U300</f>
        <v/>
      </c>
      <c r="V301" s="35">
        <f>U301+V300</f>
        <v/>
      </c>
      <c r="W301" s="35">
        <f>V301+W300</f>
        <v/>
      </c>
      <c r="X301" s="35">
        <f>W301+X300</f>
        <v/>
      </c>
      <c r="Y301" s="35">
        <f>X301+Y300</f>
        <v/>
      </c>
      <c r="Z301" s="35">
        <f>Y301+Z300</f>
        <v/>
      </c>
    </row>
    <row r="303">
      <c r="B303" s="25" t="inlineStr">
        <is>
          <t>ד. תוצאות</t>
        </is>
      </c>
    </row>
    <row r="304">
      <c r="B304" s="39" t="inlineStr">
        <is>
          <t>NPV — תרחיש A (קיטור מבוסס דלק / גז)</t>
        </is>
      </c>
      <c r="C304" s="9" t="inlineStr">
        <is>
          <t>ש"ח</t>
        </is>
      </c>
      <c r="F304" s="33">
        <f>SUM(F286:Z286)</f>
        <v/>
      </c>
    </row>
    <row r="305">
      <c r="B305" s="40" t="inlineStr">
        <is>
          <t>NPV — תרחיש B (מערכות קיטור חשמליות, ללא תמריץ)</t>
        </is>
      </c>
      <c r="C305" s="9" t="inlineStr">
        <is>
          <t>ש"ח</t>
        </is>
      </c>
      <c r="F305" s="34">
        <f>SUM(F294:Z294)</f>
        <v/>
      </c>
    </row>
    <row r="306">
      <c r="B306" s="41" t="inlineStr">
        <is>
          <t>NPV — תרחיש C (מערכות קיטור חשמליות, עם תמריץ)</t>
        </is>
      </c>
      <c r="C306" s="9" t="inlineStr">
        <is>
          <t>ש"ח</t>
        </is>
      </c>
      <c r="F306" s="35">
        <f>SUM(F300:Z300)</f>
        <v/>
      </c>
    </row>
    <row r="308">
      <c r="B308" s="42" t="inlineStr">
        <is>
          <t>NPV מצטבר — הצדקת השדרוג (B−A)</t>
        </is>
      </c>
      <c r="C308" s="9" t="inlineStr">
        <is>
          <t>ש"ח</t>
        </is>
      </c>
      <c r="F308" s="43">
        <f>F305-F304</f>
        <v/>
      </c>
    </row>
    <row r="309">
      <c r="B309" s="44" t="inlineStr">
        <is>
          <t>ערך התמריץ — תועלת הפחת המואץ (C−B)</t>
        </is>
      </c>
      <c r="C309" s="9" t="inlineStr">
        <is>
          <t>ש"ח</t>
        </is>
      </c>
      <c r="F309" s="45">
        <f>F306-F305</f>
        <v/>
      </c>
    </row>
    <row r="311">
      <c r="B311" s="39" t="inlineStr">
        <is>
          <t>ROI — תרחיש A</t>
        </is>
      </c>
      <c r="C311" s="9" t="inlineStr">
        <is>
          <t>%</t>
        </is>
      </c>
      <c r="F311" s="46">
        <f>IF(ISNUMBER($F$255),(SUM(F286:Z286)+$F$255)/$F$255,"PENDING")</f>
        <v/>
      </c>
    </row>
    <row r="312">
      <c r="B312" s="40" t="inlineStr">
        <is>
          <t>ROI — תרחיש B</t>
        </is>
      </c>
      <c r="C312" s="9" t="inlineStr">
        <is>
          <t>%</t>
        </is>
      </c>
      <c r="F312" s="47">
        <f>IF(ISNUMBER($F$256),(SUM(F294:Z294)+$F$256)/$F$256,"PENDING")</f>
        <v/>
      </c>
    </row>
    <row r="313">
      <c r="B313" s="41" t="inlineStr">
        <is>
          <t>ROI — תרחיש C</t>
        </is>
      </c>
      <c r="C313" s="9" t="inlineStr">
        <is>
          <t>%</t>
        </is>
      </c>
      <c r="F313" s="48">
        <f>IF(ISNUMBER($F$256),(SUM(F300:Z300)+$F$256)/$F$256,"PENDING")</f>
        <v/>
      </c>
    </row>
    <row r="315">
      <c r="B315" s="39" t="inlineStr">
        <is>
          <t>תקופת החזר A (NPV)</t>
        </is>
      </c>
      <c r="C315" s="9" t="inlineStr">
        <is>
          <t>שנים</t>
        </is>
      </c>
      <c r="F315" s="49">
        <f>IFERROR(MATCH(1,(F287:Z287&gt;0)*1,0)-2+ABS(INDEX(F287:Z287,MATCH(1,(F287:Z287&gt;0)*1,0)-1))/(INDEX(F287:Z287,MATCH(1,(F287:Z287&gt;0)*1,0))-INDEX(F287:Z287,MATCH(1,(F287:Z287&gt;0)*1,0)-1)),"לא מגיע לפירעון")</f>
        <v/>
      </c>
    </row>
    <row r="316">
      <c r="B316" s="40" t="inlineStr">
        <is>
          <t>תקופת החזר B — CapEx יעיל (NPV)</t>
        </is>
      </c>
      <c r="C316" s="9" t="inlineStr">
        <is>
          <t>שנים</t>
        </is>
      </c>
      <c r="F316" s="50">
        <f>IFERROR(MATCH(1,(F295:Z295&gt;0)*1,0)-2+ABS(INDEX(F295:Z295,MATCH(1,(F295:Z295&gt;0)*1,0)-1))/(INDEX(F295:Z295,MATCH(1,(F295:Z295&gt;0)*1,0))-INDEX(F295:Z295,MATCH(1,(F295:Z295&gt;0)*1,0)-1)),"לא מגיע לפירעון")</f>
        <v/>
      </c>
    </row>
    <row r="317">
      <c r="B317" s="41" t="inlineStr">
        <is>
          <t>תקופת החזר C — CapEx יעיל + תמריץ (NPV)</t>
        </is>
      </c>
      <c r="C317" s="9" t="inlineStr">
        <is>
          <t>שנים</t>
        </is>
      </c>
      <c r="F317" s="51">
        <f>IFERROR(MATCH(1,(F301:Z301&gt;0)*1,0)-2+ABS(INDEX(F301:Z301,MATCH(1,(F301:Z301&gt;0)*1,0)-1))/(INDEX(F301:Z301,MATCH(1,(F301:Z301&gt;0)*1,0))-INDEX(F301:Z301,MATCH(1,(F301:Z301&gt;0)*1,0)-1)),"לא מגיע לפירעון")</f>
        <v/>
      </c>
    </row>
    <row r="318">
      <c r="B318" s="42" t="inlineStr">
        <is>
          <t>תקופת החזר ΔCapEx ללא תמריץ (B−A)</t>
        </is>
      </c>
      <c r="C318" s="9" t="inlineStr">
        <is>
          <t>שנים</t>
        </is>
      </c>
      <c r="E318" s="23" t="inlineStr">
        <is>
          <t>זמן להחזר ההשקעה הנוספת | מחושב על ΔCF = CF_B − CF_A</t>
        </is>
      </c>
      <c r="F318" s="52">
        <f>IFERROR(MATCH(1,(F324:Z324&gt;0)*1,0)-2+ABS(INDEX(F324:Z324,MATCH(1,(F324:Z324&gt;0)*1,0)-1))/(INDEX(F324:Z324,MATCH(1,(F324:Z324&gt;0)*1,0))-INDEX(F324:Z324,MATCH(1,(F324:Z324&gt;0)*1,0)-1)),"לא מגיע לפירעון")</f>
        <v/>
      </c>
    </row>
    <row r="319">
      <c r="B319" s="53" t="inlineStr">
        <is>
          <t>תקופת החזר ΔCapEx עם תמריץ (C−A)</t>
        </is>
      </c>
      <c r="C319" s="54" t="inlineStr">
        <is>
          <t>שנים</t>
        </is>
      </c>
      <c r="E319" s="23" t="inlineStr">
        <is>
          <t>כולל יתרון מגן המס המואץ | מחושב על ΔCF = CF_C − CF_A</t>
        </is>
      </c>
      <c r="F319" s="55">
        <f>IFERROR(MATCH(1,(F325:Z325&gt;0)*1,0)-2+ABS(INDEX(F325:Z325,MATCH(1,(F325:Z325&gt;0)*1,0)-1))/(INDEX(F325:Z325,MATCH(1,(F325:Z325&gt;0)*1,0))-INDEX(F325:Z325,MATCH(1,(F325:Z325&gt;0)*1,0)-1)),"לא מגיע לפירעון")</f>
        <v/>
      </c>
    </row>
    <row r="322">
      <c r="B322" s="25" t="inlineStr">
        <is>
          <t>NPV מצטבר — מנקודת מבט ΔCapEx (לחישוב תקופת החזר על השקעה נוספת)</t>
        </is>
      </c>
    </row>
    <row r="323">
      <c r="B323" s="32" t="inlineStr">
        <is>
          <t>פרמטר</t>
        </is>
      </c>
      <c r="C323" s="32" t="inlineStr">
        <is>
          <t>יחידות</t>
        </is>
      </c>
      <c r="D323" s="32" t="inlineStr">
        <is>
          <t>מקור</t>
        </is>
      </c>
      <c r="E323" s="32" t="inlineStr">
        <is>
          <t>הערות</t>
        </is>
      </c>
      <c r="F323" s="32" t="inlineStr">
        <is>
          <t>שנה 0</t>
        </is>
      </c>
      <c r="G323" s="32" t="inlineStr">
        <is>
          <t>שנה 1</t>
        </is>
      </c>
      <c r="H323" s="32" t="inlineStr">
        <is>
          <t>שנה 2</t>
        </is>
      </c>
      <c r="I323" s="32" t="inlineStr">
        <is>
          <t>שנה 3</t>
        </is>
      </c>
      <c r="J323" s="32" t="inlineStr">
        <is>
          <t>שנה 4</t>
        </is>
      </c>
      <c r="K323" s="32" t="inlineStr">
        <is>
          <t>שנה 5</t>
        </is>
      </c>
      <c r="L323" s="32" t="inlineStr">
        <is>
          <t>שנה 6</t>
        </is>
      </c>
      <c r="M323" s="32" t="inlineStr">
        <is>
          <t>שנה 7</t>
        </is>
      </c>
      <c r="N323" s="32" t="inlineStr">
        <is>
          <t>שנה 8</t>
        </is>
      </c>
      <c r="O323" s="32" t="inlineStr">
        <is>
          <t>שנה 9</t>
        </is>
      </c>
      <c r="P323" s="32" t="inlineStr">
        <is>
          <t>שנה 10</t>
        </is>
      </c>
      <c r="Q323" s="32" t="inlineStr">
        <is>
          <t>שנה 11</t>
        </is>
      </c>
      <c r="R323" s="32" t="inlineStr">
        <is>
          <t>שנה 12</t>
        </is>
      </c>
      <c r="S323" s="32" t="inlineStr">
        <is>
          <t>שנה 13</t>
        </is>
      </c>
      <c r="T323" s="32" t="inlineStr">
        <is>
          <t>שנה 14</t>
        </is>
      </c>
      <c r="U323" s="32" t="inlineStr">
        <is>
          <t>שנה 15</t>
        </is>
      </c>
      <c r="V323" s="32" t="inlineStr">
        <is>
          <t>שנה 16</t>
        </is>
      </c>
      <c r="W323" s="32" t="inlineStr">
        <is>
          <t>שנה 17</t>
        </is>
      </c>
      <c r="X323" s="32" t="inlineStr">
        <is>
          <t>שנה 18</t>
        </is>
      </c>
      <c r="Y323" s="32" t="inlineStr">
        <is>
          <t>שנה 19</t>
        </is>
      </c>
      <c r="Z323" s="32" t="inlineStr">
        <is>
          <t>שנה 20</t>
        </is>
      </c>
    </row>
    <row r="324">
      <c r="B324" s="2" t="inlineStr">
        <is>
          <t>NPV מצטבר ΔCF — שדרוג ללא תמריץ (B−A)</t>
        </is>
      </c>
      <c r="C324" s="9" t="inlineStr">
        <is>
          <t>₪</t>
        </is>
      </c>
      <c r="D324" s="9" t="inlineStr">
        <is>
          <t>חישוב</t>
        </is>
      </c>
      <c r="F324" s="43">
        <f>IF(ISNUMBER($F$257),-$F$257,"PENDING")</f>
        <v/>
      </c>
      <c r="G324" s="43">
        <f>F324+(G294-G286)</f>
        <v/>
      </c>
      <c r="H324" s="43">
        <f>G324+(H294-H286)</f>
        <v/>
      </c>
      <c r="I324" s="43">
        <f>H324+(I294-I286)</f>
        <v/>
      </c>
      <c r="J324" s="43">
        <f>I324+(J294-J286)</f>
        <v/>
      </c>
      <c r="K324" s="43">
        <f>J324+(K294-K286)</f>
        <v/>
      </c>
      <c r="L324" s="43">
        <f>K324+(L294-L286)</f>
        <v/>
      </c>
      <c r="M324" s="43">
        <f>L324+(M294-M286)</f>
        <v/>
      </c>
      <c r="N324" s="43">
        <f>M324+(N294-N286)</f>
        <v/>
      </c>
      <c r="O324" s="43">
        <f>N324+(O294-O286)</f>
        <v/>
      </c>
      <c r="P324" s="43">
        <f>O324+(P294-P286)</f>
        <v/>
      </c>
      <c r="Q324" s="43">
        <f>P324+(Q294-Q286)</f>
        <v/>
      </c>
      <c r="R324" s="43">
        <f>Q324+(R294-R286)</f>
        <v/>
      </c>
      <c r="S324" s="43">
        <f>R324+(S294-S286)</f>
        <v/>
      </c>
      <c r="T324" s="43">
        <f>S324+(T294-T286)</f>
        <v/>
      </c>
      <c r="U324" s="43">
        <f>T324+(U294-U286)</f>
        <v/>
      </c>
      <c r="V324" s="43">
        <f>U324+(V294-V286)</f>
        <v/>
      </c>
      <c r="W324" s="43">
        <f>V324+(W294-W286)</f>
        <v/>
      </c>
      <c r="X324" s="43">
        <f>W324+(X294-X286)</f>
        <v/>
      </c>
      <c r="Y324" s="43">
        <f>X324+(Y294-Y286)</f>
        <v/>
      </c>
      <c r="Z324" s="43">
        <f>Y324+(Z294-Z286)</f>
        <v/>
      </c>
    </row>
    <row r="325">
      <c r="B325" s="7" t="inlineStr">
        <is>
          <t>NPV מצטבר ΔCF — שדרוג עם תמריץ (C−A)</t>
        </is>
      </c>
      <c r="C325" s="9" t="inlineStr">
        <is>
          <t>₪</t>
        </is>
      </c>
      <c r="D325" s="9" t="inlineStr">
        <is>
          <t>חישוב</t>
        </is>
      </c>
      <c r="F325" s="45">
        <f>IF(ISNUMBER($F$257),-$F$257,"PENDING")</f>
        <v/>
      </c>
      <c r="G325" s="45">
        <f>F325+(G300-G286)</f>
        <v/>
      </c>
      <c r="H325" s="45">
        <f>G325+(H300-H286)</f>
        <v/>
      </c>
      <c r="I325" s="45">
        <f>H325+(I300-I286)</f>
        <v/>
      </c>
      <c r="J325" s="45">
        <f>I325+(J300-J286)</f>
        <v/>
      </c>
      <c r="K325" s="45">
        <f>J325+(K300-K286)</f>
        <v/>
      </c>
      <c r="L325" s="45">
        <f>K325+(L300-L286)</f>
        <v/>
      </c>
      <c r="M325" s="45">
        <f>L325+(M300-M286)</f>
        <v/>
      </c>
      <c r="N325" s="45">
        <f>M325+(N300-N286)</f>
        <v/>
      </c>
      <c r="O325" s="45">
        <f>N325+(O300-O286)</f>
        <v/>
      </c>
      <c r="P325" s="45">
        <f>O325+(P300-P286)</f>
        <v/>
      </c>
      <c r="Q325" s="45">
        <f>P325+(Q300-Q286)</f>
        <v/>
      </c>
      <c r="R325" s="45">
        <f>Q325+(R300-R286)</f>
        <v/>
      </c>
      <c r="S325" s="45">
        <f>R325+(S300-S286)</f>
        <v/>
      </c>
      <c r="T325" s="45">
        <f>S325+(T300-T286)</f>
        <v/>
      </c>
      <c r="U325" s="45">
        <f>T325+(U300-U286)</f>
        <v/>
      </c>
      <c r="V325" s="45">
        <f>U325+(V300-V286)</f>
        <v/>
      </c>
      <c r="W325" s="45">
        <f>V325+(W300-W286)</f>
        <v/>
      </c>
      <c r="X325" s="45">
        <f>W325+(X300-X286)</f>
        <v/>
      </c>
      <c r="Y325" s="45">
        <f>X325+(Y300-Y286)</f>
        <v/>
      </c>
      <c r="Z325" s="45">
        <f>Y325+(Z300-Z286)</f>
        <v/>
      </c>
    </row>
    <row r="329">
      <c r="B329" s="8" t="inlineStr">
        <is>
          <t>4. סיכום השוואתי לפי טכנולוגיה</t>
        </is>
      </c>
    </row>
    <row r="330">
      <c r="B330" s="23" t="inlineStr">
        <is>
          <t>* מכפיל פחת = 'נתונים והנחות'!F15 — שנה שם ותוצאות מתעדכנות אוטומטית | OPEX וCapEx ממתינים לנתוני רפי</t>
        </is>
      </c>
    </row>
    <row r="331">
      <c r="B331" s="32" t="inlineStr">
        <is>
          <t>טכנולוגיה</t>
        </is>
      </c>
      <c r="C331" s="32" t="inlineStr">
        <is>
          <t>NPV A (בסיסי)</t>
        </is>
      </c>
      <c r="D331" s="32" t="inlineStr">
        <is>
          <t>NPV B (יעיל, ללא)</t>
        </is>
      </c>
      <c r="E331" s="32" t="inlineStr">
        <is>
          <t>NPV C (יעיל, עם)</t>
        </is>
      </c>
      <c r="F331" s="32" t="inlineStr">
        <is>
          <t>ΔNPV B−A</t>
        </is>
      </c>
      <c r="G331" s="32" t="inlineStr">
        <is>
          <t>ערך תמריץ C−B</t>
        </is>
      </c>
      <c r="H331" s="32" t="inlineStr">
        <is>
          <t>ROI A</t>
        </is>
      </c>
      <c r="I331" s="32" t="inlineStr">
        <is>
          <t>ROI B</t>
        </is>
      </c>
      <c r="J331" s="32" t="inlineStr">
        <is>
          <t>ROI C</t>
        </is>
      </c>
      <c r="K331" s="32" t="inlineStr">
        <is>
          <t>החזר B (שנים)</t>
        </is>
      </c>
      <c r="L331" s="32" t="inlineStr">
        <is>
          <t>החזר C (שנים)</t>
        </is>
      </c>
      <c r="M331" s="32" t="inlineStr">
        <is>
          <t>החזר ΔCapEx B−A</t>
        </is>
      </c>
      <c r="N331" s="32" t="inlineStr">
        <is>
          <t>החזר ΔCapEx C−A</t>
        </is>
      </c>
    </row>
    <row r="332">
      <c r="B332" s="18" t="inlineStr">
        <is>
          <t>משאבות חום (חימום מים)</t>
        </is>
      </c>
      <c r="C332" s="33">
        <f>$F$73</f>
        <v/>
      </c>
      <c r="D332" s="34">
        <f>$F$74</f>
        <v/>
      </c>
      <c r="E332" s="35">
        <f>$F$75</f>
        <v/>
      </c>
      <c r="F332" s="43">
        <f>$F$77</f>
        <v/>
      </c>
      <c r="G332" s="45">
        <f>$F$78</f>
        <v/>
      </c>
      <c r="H332" s="46">
        <f>$F$80</f>
        <v/>
      </c>
      <c r="I332" s="47">
        <f>$F$81</f>
        <v/>
      </c>
      <c r="J332" s="48">
        <f>$F$82</f>
        <v/>
      </c>
      <c r="K332" s="50">
        <f>$F$85</f>
        <v/>
      </c>
      <c r="L332" s="51">
        <f>$F$86</f>
        <v/>
      </c>
      <c r="M332" s="56">
        <f>$F$87</f>
        <v/>
      </c>
      <c r="N332" s="57">
        <f>$F$88</f>
        <v/>
      </c>
    </row>
    <row r="333">
      <c r="B333" s="18" t="inlineStr">
        <is>
          <t>צ'ילרים</t>
        </is>
      </c>
      <c r="C333" s="33">
        <f>$F$150</f>
        <v/>
      </c>
      <c r="D333" s="34">
        <f>$F$151</f>
        <v/>
      </c>
      <c r="E333" s="35">
        <f>$F$152</f>
        <v/>
      </c>
      <c r="F333" s="43">
        <f>$F$154</f>
        <v/>
      </c>
      <c r="G333" s="45">
        <f>$F$155</f>
        <v/>
      </c>
      <c r="H333" s="46">
        <f>$F$157</f>
        <v/>
      </c>
      <c r="I333" s="47">
        <f>$F$158</f>
        <v/>
      </c>
      <c r="J333" s="48">
        <f>$F$159</f>
        <v/>
      </c>
      <c r="K333" s="50">
        <f>$F$162</f>
        <v/>
      </c>
      <c r="L333" s="51">
        <f>$F$163</f>
        <v/>
      </c>
      <c r="M333" s="56">
        <f>$F$164</f>
        <v/>
      </c>
      <c r="N333" s="57">
        <f>$F$165</f>
        <v/>
      </c>
    </row>
    <row r="334">
      <c r="B334" s="18" t="inlineStr">
        <is>
          <t>מדחסי VSD</t>
        </is>
      </c>
      <c r="C334" s="33">
        <f>$F$227</f>
        <v/>
      </c>
      <c r="D334" s="34">
        <f>$F$228</f>
        <v/>
      </c>
      <c r="E334" s="35">
        <f>$F$229</f>
        <v/>
      </c>
      <c r="F334" s="43">
        <f>$F$231</f>
        <v/>
      </c>
      <c r="G334" s="45">
        <f>$F$232</f>
        <v/>
      </c>
      <c r="H334" s="46">
        <f>$F$234</f>
        <v/>
      </c>
      <c r="I334" s="47">
        <f>$F$235</f>
        <v/>
      </c>
      <c r="J334" s="48">
        <f>$F$236</f>
        <v/>
      </c>
      <c r="K334" s="50">
        <f>$F$239</f>
        <v/>
      </c>
      <c r="L334" s="51">
        <f>$F$240</f>
        <v/>
      </c>
      <c r="M334" s="56">
        <f>$F$241</f>
        <v/>
      </c>
      <c r="N334" s="57">
        <f>$F$242</f>
        <v/>
      </c>
    </row>
    <row r="335">
      <c r="B335" s="18" t="inlineStr">
        <is>
          <t>מערכות קיטור חשמליות</t>
        </is>
      </c>
      <c r="C335" s="33">
        <f>$F$304</f>
        <v/>
      </c>
      <c r="D335" s="34">
        <f>$F$305</f>
        <v/>
      </c>
      <c r="E335" s="35">
        <f>$F$306</f>
        <v/>
      </c>
      <c r="F335" s="43">
        <f>$F$308</f>
        <v/>
      </c>
      <c r="G335" s="45">
        <f>$F$309</f>
        <v/>
      </c>
      <c r="H335" s="46">
        <f>$F$311</f>
        <v/>
      </c>
      <c r="I335" s="47">
        <f>$F$312</f>
        <v/>
      </c>
      <c r="J335" s="48">
        <f>$F$313</f>
        <v/>
      </c>
      <c r="K335" s="50">
        <f>$F$316</f>
        <v/>
      </c>
      <c r="L335" s="51">
        <f>$F$317</f>
        <v/>
      </c>
      <c r="M335" s="56">
        <f>$F$318</f>
        <v/>
      </c>
      <c r="N335" s="57">
        <f>$F$319</f>
        <v/>
      </c>
    </row>
    <row r="337">
      <c r="B337" s="58" t="inlineStr">
        <is>
          <t>** כל ערכי PENDING מתעדכנים אוטומטית עם קבלת נתוני רפי (CapEx, kWh, OPEX אחר)</t>
        </is>
      </c>
    </row>
  </sheetData>
  <mergeCells count="45">
    <mergeCell ref="B226:H226"/>
    <mergeCell ref="B245:Z245"/>
    <mergeCell ref="B289:Z289"/>
    <mergeCell ref="B19:Z19"/>
    <mergeCell ref="B168:Z168"/>
    <mergeCell ref="B99:Z99"/>
    <mergeCell ref="B270:Z270"/>
    <mergeCell ref="B329:N329"/>
    <mergeCell ref="B279:Z279"/>
    <mergeCell ref="B15:H15"/>
    <mergeCell ref="B127:Z127"/>
    <mergeCell ref="B254:Z254"/>
    <mergeCell ref="B143:Z143"/>
    <mergeCell ref="B281:Z281"/>
    <mergeCell ref="B177:Z177"/>
    <mergeCell ref="B204:Z204"/>
    <mergeCell ref="B212:Z212"/>
    <mergeCell ref="B50:Z50"/>
    <mergeCell ref="B72:H72"/>
    <mergeCell ref="B135:Z135"/>
    <mergeCell ref="B100:Z100"/>
    <mergeCell ref="B91:Z91"/>
    <mergeCell ref="B149:H149"/>
    <mergeCell ref="B252:Z252"/>
    <mergeCell ref="B125:Z125"/>
    <mergeCell ref="B22:Z22"/>
    <mergeCell ref="B66:Z66"/>
    <mergeCell ref="B193:Z193"/>
    <mergeCell ref="B202:Z202"/>
    <mergeCell ref="B303:H303"/>
    <mergeCell ref="B220:Z220"/>
    <mergeCell ref="B58:Z58"/>
    <mergeCell ref="B21:Z21"/>
    <mergeCell ref="B48:Z48"/>
    <mergeCell ref="B176:Z176"/>
    <mergeCell ref="B39:Z39"/>
    <mergeCell ref="B297:Z297"/>
    <mergeCell ref="B253:Z253"/>
    <mergeCell ref="B322:Z322"/>
    <mergeCell ref="B98:Z98"/>
    <mergeCell ref="B23:Z23"/>
    <mergeCell ref="B8:Z8"/>
    <mergeCell ref="B10:H10"/>
    <mergeCell ref="B175:Z175"/>
    <mergeCell ref="B116:Z1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2026-05-31T10:27:14Z</dcterms:created>
  <dcterms:modified xsi:type="dcterms:W3CDTF">2026-05-31T10:27:14Z</dcterms:modified>
</cp:coreProperties>
</file>