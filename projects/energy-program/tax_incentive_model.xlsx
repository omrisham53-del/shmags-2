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נתונים והנחות" sheetId="1" state="visible" r:id="rId1"/>
    <sheet name="ניתו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0.0&quot;×&quot;"/>
    <numFmt numFmtId="167" formatCode="#,##0.000"/>
    <numFmt numFmtId="168" formatCode="0.0"/>
    <numFmt numFmtId="169" formatCode="#,##0 ₪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C00000"/>
      <sz val="14"/>
    </font>
    <font>
      <name val="Arial"/>
      <i val="1"/>
      <color rgb="00595959"/>
      <sz val="9"/>
    </font>
    <font>
      <name val="Arial"/>
      <b val="1"/>
      <color rgb="00FFFFFF"/>
      <sz val="13"/>
    </font>
    <font>
      <name val="Arial"/>
      <b val="1"/>
      <color rgb="00C00000"/>
      <sz val="13"/>
    </font>
    <font>
      <name val="Arial"/>
      <i val="1"/>
      <color rgb="00FF0000"/>
      <sz val="10"/>
    </font>
    <font>
      <name val="Arial"/>
      <b val="1"/>
      <sz val="10"/>
    </font>
    <font>
      <name val="Arial"/>
      <i val="1"/>
      <color rgb="00FF0000"/>
      <sz val="9"/>
    </font>
  </fonts>
  <fills count="11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6B6B"/>
      </patternFill>
    </fill>
    <fill>
      <patternFill patternType="solid">
        <fgColor rgb="004472C4"/>
      </patternFill>
    </fill>
    <fill>
      <patternFill patternType="solid">
        <fgColor rgb="001F4E7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right" vertical="center" readingOrder="2"/>
    </xf>
    <xf numFmtId="0" fontId="2" fillId="3" borderId="0" applyAlignment="1" pivotButton="0" quotePrefix="0" xfId="0">
      <alignment horizontal="right" vertical="center" readingOrder="2"/>
    </xf>
    <xf numFmtId="0" fontId="2" fillId="4" borderId="0" applyAlignment="1" pivotButton="0" quotePrefix="0" xfId="0">
      <alignment horizontal="right" vertical="center" readingOrder="2"/>
    </xf>
    <xf numFmtId="0" fontId="2" fillId="5" borderId="0" applyAlignment="1" pivotButton="0" quotePrefix="0" xfId="0">
      <alignment horizontal="right" vertical="center" readingOrder="2"/>
    </xf>
    <xf numFmtId="0" fontId="2" fillId="6" borderId="0" applyAlignment="1" pivotButton="0" quotePrefix="0" xfId="0">
      <alignment horizontal="right" vertical="center" readingOrder="2"/>
    </xf>
    <xf numFmtId="0" fontId="2" fillId="7" borderId="0" applyAlignment="1" pivotButton="0" quotePrefix="0" xfId="0">
      <alignment horizontal="right" vertical="center" readingOrder="2"/>
    </xf>
    <xf numFmtId="0" fontId="3" fillId="8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164" fontId="0" fillId="3" borderId="0" applyAlignment="1" pivotButton="0" quotePrefix="0" xfId="0">
      <alignment horizontal="center" vertical="center" readingOrder="2"/>
    </xf>
    <xf numFmtId="164" fontId="0" fillId="2" borderId="0" applyAlignment="1" pivotButton="0" quotePrefix="0" xfId="0">
      <alignment horizontal="center" vertical="center" readingOrder="2"/>
    </xf>
    <xf numFmtId="165" fontId="0" fillId="2" borderId="0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right" vertical="center" readingOrder="2"/>
    </xf>
    <xf numFmtId="0" fontId="3" fillId="7" borderId="0" applyAlignment="1" pivotButton="0" quotePrefix="0" xfId="0">
      <alignment horizontal="center" vertical="center" readingOrder="2"/>
    </xf>
    <xf numFmtId="0" fontId="4" fillId="7" borderId="0" applyAlignment="1" pivotButton="0" quotePrefix="0" xfId="0">
      <alignment horizontal="right" vertical="center" readingOrder="2"/>
    </xf>
    <xf numFmtId="166" fontId="5" fillId="2" borderId="0" applyAlignment="1" pivotButton="0" quotePrefix="0" xfId="0">
      <alignment horizontal="center" vertical="center" readingOrder="2"/>
    </xf>
    <xf numFmtId="0" fontId="6" fillId="0" borderId="0" pivotButton="0" quotePrefix="0" xfId="0"/>
    <xf numFmtId="0" fontId="2" fillId="0" borderId="0" applyAlignment="1" pivotButton="0" quotePrefix="0" xfId="0">
      <alignment horizontal="right" vertical="center" readingOrder="2"/>
    </xf>
    <xf numFmtId="164" fontId="0" fillId="0" borderId="0" applyAlignment="1" pivotButton="0" quotePrefix="0" xfId="0">
      <alignment horizontal="center" vertical="center" readingOrder="2"/>
    </xf>
    <xf numFmtId="0" fontId="7" fillId="8" borderId="0" applyAlignment="1" pivotButton="0" quotePrefix="0" xfId="0">
      <alignment horizontal="right" vertical="center" readingOrder="2"/>
    </xf>
    <xf numFmtId="167" fontId="0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3" fillId="9" borderId="0" applyAlignment="1" pivotButton="0" quotePrefix="0" xfId="0">
      <alignment horizontal="right" vertical="center" readingOrder="2"/>
    </xf>
    <xf numFmtId="0" fontId="1" fillId="10" borderId="0" applyAlignment="1" pivotButton="0" quotePrefix="0" xfId="0">
      <alignment horizontal="right" vertical="center" readingOrder="2"/>
    </xf>
    <xf numFmtId="0" fontId="9" fillId="0" borderId="0" applyAlignment="1" pivotButton="0" quotePrefix="0" xfId="0">
      <alignment horizontal="right" vertical="center" readingOrder="2"/>
    </xf>
    <xf numFmtId="0" fontId="9" fillId="2" borderId="0" applyAlignment="1" pivotButton="0" quotePrefix="0" xfId="0">
      <alignment horizontal="center" vertical="center" readingOrder="2"/>
    </xf>
    <xf numFmtId="3" fontId="0" fillId="0" borderId="0" applyAlignment="1" pivotButton="0" quotePrefix="0" xfId="0">
      <alignment horizontal="center" vertical="center" readingOrder="2"/>
    </xf>
    <xf numFmtId="168" fontId="0" fillId="3" borderId="0" applyAlignment="1" pivotButton="0" quotePrefix="0" xfId="0">
      <alignment horizontal="center" vertical="center" readingOrder="2"/>
    </xf>
    <xf numFmtId="167" fontId="0" fillId="0" borderId="0" applyAlignment="1" pivotButton="0" quotePrefix="0" xfId="0">
      <alignment horizontal="center" vertical="center" readingOrder="2"/>
    </xf>
    <xf numFmtId="169" fontId="0" fillId="0" borderId="0" applyAlignment="1" pivotButton="0" quotePrefix="0" xfId="0">
      <alignment horizontal="center" vertical="center" readingOrder="2"/>
    </xf>
    <xf numFmtId="0" fontId="1" fillId="10" borderId="0" applyAlignment="1" pivotButton="0" quotePrefix="0" xfId="0">
      <alignment horizontal="center" vertical="center" readingOrder="2"/>
    </xf>
    <xf numFmtId="169" fontId="0" fillId="4" borderId="0" applyAlignment="1" pivotButton="0" quotePrefix="0" xfId="0">
      <alignment horizontal="center" vertical="center" readingOrder="2"/>
    </xf>
    <xf numFmtId="169" fontId="0" fillId="5" borderId="0" applyAlignment="1" pivotButton="0" quotePrefix="0" xfId="0">
      <alignment horizontal="center" vertical="center" readingOrder="2"/>
    </xf>
    <xf numFmtId="169" fontId="0" fillId="6" borderId="0" applyAlignment="1" pivotButton="0" quotePrefix="0" xfId="0">
      <alignment horizontal="center" vertical="center" readingOrder="2"/>
    </xf>
    <xf numFmtId="0" fontId="10" fillId="5" borderId="0" applyAlignment="1" pivotButton="0" quotePrefix="0" xfId="0">
      <alignment horizontal="right" vertical="center" readingOrder="2"/>
    </xf>
    <xf numFmtId="0" fontId="10" fillId="6" borderId="0" applyAlignment="1" pivotButton="0" quotePrefix="0" xfId="0">
      <alignment horizontal="right" vertical="center" readingOrder="2"/>
    </xf>
    <xf numFmtId="0" fontId="10" fillId="2" borderId="0" applyAlignment="1" pivotButton="0" quotePrefix="0" xfId="0">
      <alignment horizontal="right" vertical="center" readingOrder="2"/>
    </xf>
    <xf numFmtId="169" fontId="0" fillId="2" borderId="0" applyAlignment="1" pivotButton="0" quotePrefix="0" xfId="0">
      <alignment horizontal="center" vertical="center" readingOrder="2"/>
    </xf>
    <xf numFmtId="164" fontId="0" fillId="5" borderId="0" applyAlignment="1" pivotButton="0" quotePrefix="0" xfId="0">
      <alignment horizontal="center" vertical="center" readingOrder="2"/>
    </xf>
    <xf numFmtId="164" fontId="0" fillId="6" borderId="0" applyAlignment="1" pivotButton="0" quotePrefix="0" xfId="0">
      <alignment horizontal="center" vertical="center" readingOrder="2"/>
    </xf>
    <xf numFmtId="168" fontId="0" fillId="5" borderId="0" applyAlignment="1" pivotButton="0" quotePrefix="0" xfId="0">
      <alignment horizontal="center" vertical="center" readingOrder="2"/>
    </xf>
    <xf numFmtId="168" fontId="0" fillId="6" borderId="0" applyAlignment="1" pivotButton="0" quotePrefix="0" xfId="0">
      <alignment horizontal="center" vertical="center" readingOrder="2"/>
    </xf>
    <xf numFmtId="0" fontId="11" fillId="0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25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8" customWidth="1" min="4" max="4"/>
    <col width="30" customWidth="1" min="5" max="5"/>
    <col width="18" customWidth="1" min="6" max="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תוצאת חישוב</t>
        </is>
      </c>
    </row>
    <row r="5">
      <c r="B5" s="5" t="inlineStr">
        <is>
          <t>תוצאות</t>
        </is>
      </c>
    </row>
    <row r="6">
      <c r="B6" s="6" t="inlineStr">
        <is>
          <t>תמריץ — פחת מואץ</t>
        </is>
      </c>
    </row>
    <row r="7">
      <c r="B7" s="7" t="inlineStr">
        <is>
          <t>פרמטר מדיניות מרכזי</t>
        </is>
      </c>
    </row>
    <row r="9">
      <c r="B9" s="8" t="inlineStr">
        <is>
          <t>1. פרמטרים פיננסיים</t>
        </is>
      </c>
    </row>
    <row r="10">
      <c r="B10" s="3" t="inlineStr">
        <is>
          <t>שיעור מס חברות</t>
        </is>
      </c>
      <c r="C10" s="9" t="inlineStr">
        <is>
          <t>%</t>
        </is>
      </c>
      <c r="D10" s="9" t="inlineStr">
        <is>
          <t>רשות המסים</t>
        </is>
      </c>
      <c r="E10" s="9" t="inlineStr"/>
      <c r="F10" s="10" t="n">
        <v>0.23</v>
      </c>
    </row>
    <row r="11">
      <c r="B11" s="2" t="inlineStr">
        <is>
          <t>שיעור היוון (יזמי / פרטי)</t>
        </is>
      </c>
      <c r="C11" s="9" t="inlineStr">
        <is>
          <t>%</t>
        </is>
      </c>
      <c r="D11" s="9" t="inlineStr">
        <is>
          <t>הנחת עבודה</t>
        </is>
      </c>
      <c r="E11" s="9" t="inlineStr">
        <is>
          <t>6% לאומי / 10% תעשייתי — ממתין להחלטת דניאל</t>
        </is>
      </c>
      <c r="F11" s="11" t="n">
        <v>0.1</v>
      </c>
    </row>
    <row r="12">
      <c r="B12" s="2" t="inlineStr">
        <is>
          <t>מחיר חשמל ממוצע לתעשייה</t>
        </is>
      </c>
      <c r="C12" s="9" t="inlineStr">
        <is>
          <t>אג'/קוט"ש</t>
        </is>
      </c>
      <c r="D12" s="9" t="inlineStr">
        <is>
          <t>חברת החשמל</t>
        </is>
      </c>
      <c r="E12" s="9" t="inlineStr">
        <is>
          <t>ממוצע SMP 2024</t>
        </is>
      </c>
      <c r="F12" s="12" t="n">
        <v>14</v>
      </c>
    </row>
    <row r="14">
      <c r="B14" s="8" t="inlineStr">
        <is>
          <t>2. פרמטר תמריץ — מכפיל פחת (פחת מואץ)</t>
        </is>
      </c>
    </row>
    <row r="15">
      <c r="B15" s="13" t="inlineStr">
        <is>
          <t>מכפיל שיעור הפחת  ←  פרמטר המדיניות המרכזי</t>
        </is>
      </c>
      <c r="C15" s="14" t="inlineStr">
        <is>
          <t>מכפיל</t>
        </is>
      </c>
      <c r="D15" s="9" t="inlineStr">
        <is>
          <t>פרמטר ניתן לשינוי</t>
        </is>
      </c>
      <c r="E15" s="15" t="inlineStr">
        <is>
          <t>1.0 = ללא תמריץ (סטנדרטי) | 2.0 = קפריסין (כפול) | 5.0 = 5 שנים</t>
        </is>
      </c>
      <c r="F15" s="16" t="n">
        <v>2</v>
      </c>
    </row>
    <row r="16">
      <c r="B16" s="17" t="inlineStr">
        <is>
          <t>מכפיל 2.0 לציוד עם פחת סטנדרטי 10%: שיעור מואץ = 20%/שנה למשך 5 שנים. סה"כ ניכוי = 100% CapEx — יתרון הוא קדמות הניכוי (Time Value of Money).</t>
        </is>
      </c>
    </row>
    <row r="17">
      <c r="B17" s="17" t="inlineStr">
        <is>
          <t>דוגמאות: מכפיל 1.0 = 10%/שנה ל-10 שנים (סטנדרטי) | מכפיל 2.0 = 20%/שנה ל-5 שנים | מכפיל 3.33 = 33%/שנה ל-3 שנים | מכפיל 5.0 = 50%/שנה ל-2 שנים (מודל קפריסין/אירלנד)</t>
        </is>
      </c>
    </row>
    <row r="19">
      <c r="B19" s="8" t="inlineStr">
        <is>
          <t>3. שיעורי פחת סטנדרטיים לפי תקנות מס הכנסה</t>
        </is>
      </c>
    </row>
    <row r="20">
      <c r="B20" s="18" t="inlineStr">
        <is>
          <t>משאבות חום</t>
        </is>
      </c>
      <c r="C20" s="9" t="inlineStr">
        <is>
          <t>% לשנה</t>
        </is>
      </c>
      <c r="D20" s="9" t="inlineStr">
        <is>
          <t>תקנות פחת</t>
        </is>
      </c>
      <c r="E20" s="9" t="inlineStr">
        <is>
          <t>ציוד מכני</t>
        </is>
      </c>
      <c r="F20" s="19" t="n">
        <v>0.1</v>
      </c>
    </row>
    <row r="21">
      <c r="B21" s="18" t="inlineStr">
        <is>
          <t>צ'ילרים ומערכות קירור</t>
        </is>
      </c>
      <c r="C21" s="9" t="inlineStr">
        <is>
          <t>% לשנה</t>
        </is>
      </c>
      <c r="D21" s="9" t="inlineStr">
        <is>
          <t>תקנות פחת</t>
        </is>
      </c>
      <c r="E21" s="9" t="inlineStr">
        <is>
          <t>ציוד מכני</t>
        </is>
      </c>
      <c r="F21" s="19" t="n">
        <v>0.1</v>
      </c>
    </row>
    <row r="22">
      <c r="B22" s="18" t="inlineStr">
        <is>
          <t>מדחסי VSD</t>
        </is>
      </c>
      <c r="C22" s="9" t="inlineStr">
        <is>
          <t>% לשנה</t>
        </is>
      </c>
      <c r="D22" s="9" t="inlineStr">
        <is>
          <t>תקנות פחת</t>
        </is>
      </c>
      <c r="E22" s="9" t="inlineStr">
        <is>
          <t>ציוד מכני</t>
        </is>
      </c>
      <c r="F22" s="19" t="n">
        <v>0.1</v>
      </c>
    </row>
    <row r="23">
      <c r="B23" s="18" t="inlineStr">
        <is>
          <t>מערכות קיטור</t>
        </is>
      </c>
      <c r="C23" s="9" t="inlineStr">
        <is>
          <t>% לשנה</t>
        </is>
      </c>
      <c r="D23" s="9" t="inlineStr">
        <is>
          <t>תקנות פחת</t>
        </is>
      </c>
      <c r="E23" s="9" t="inlineStr">
        <is>
          <t>ציוד מכני</t>
        </is>
      </c>
      <c r="F23" s="19" t="n">
        <v>0.1</v>
      </c>
    </row>
    <row r="25">
      <c r="B25" s="17" t="inlineStr">
        <is>
          <t>* שיעורי הפחת לעיל הם הנחות עבודה — יש לוודא מול יועץ מס לפני הגשה</t>
        </is>
      </c>
    </row>
  </sheetData>
  <mergeCells count="5">
    <mergeCell ref="B14:H14"/>
    <mergeCell ref="B9:H9"/>
    <mergeCell ref="B16:F16"/>
    <mergeCell ref="B19:H19"/>
    <mergeCell ref="B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204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5" customWidth="1" min="3" max="3"/>
    <col width="18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תוצאת חישוב</t>
        </is>
      </c>
    </row>
    <row r="5">
      <c r="B5" s="5" t="inlineStr">
        <is>
          <t>תוצאות</t>
        </is>
      </c>
    </row>
    <row r="6">
      <c r="B6" s="6" t="inlineStr">
        <is>
          <t>תמריץ — פחת מואץ</t>
        </is>
      </c>
    </row>
    <row r="7">
      <c r="B7" s="7" t="inlineStr">
        <is>
          <t>פרמטר מדיניות מרכזי</t>
        </is>
      </c>
    </row>
    <row r="8">
      <c r="B8" s="20" t="inlineStr">
        <is>
          <t>ניתוח כלכלי — פחת מואץ לפי טכנולוגיה</t>
        </is>
      </c>
    </row>
    <row r="10">
      <c r="B10" s="8" t="inlineStr">
        <is>
          <t>1. פרמטרים פיננסיים</t>
        </is>
      </c>
    </row>
    <row r="11">
      <c r="B11" s="3" t="inlineStr">
        <is>
          <t>שיעור מס חברות</t>
        </is>
      </c>
      <c r="C11" s="9" t="inlineStr">
        <is>
          <t>%</t>
        </is>
      </c>
      <c r="D11" s="9" t="inlineStr">
        <is>
          <t>נתונים והנחות</t>
        </is>
      </c>
      <c r="F11" s="10">
        <f>'נתונים והנחות'!$F$10</f>
        <v/>
      </c>
    </row>
    <row r="12">
      <c r="B12" s="2" t="inlineStr">
        <is>
          <t>שיעור היוון</t>
        </is>
      </c>
      <c r="C12" s="9" t="inlineStr">
        <is>
          <t>%</t>
        </is>
      </c>
      <c r="D12" s="9" t="inlineStr">
        <is>
          <t>נתונים והנחות</t>
        </is>
      </c>
      <c r="F12" s="11">
        <f>'נתונים והנחות'!$F$11</f>
        <v/>
      </c>
    </row>
    <row r="13">
      <c r="B13" s="2" t="inlineStr">
        <is>
          <t>מחיר חשמל (₪/קוט"ש)</t>
        </is>
      </c>
      <c r="C13" s="9" t="inlineStr">
        <is>
          <t>₪/קוט"ש</t>
        </is>
      </c>
      <c r="D13" s="9" t="inlineStr">
        <is>
          <t>נתונים והנחות</t>
        </is>
      </c>
      <c r="F13" s="21">
        <f>'נתונים והנחות'!$F$12/100</f>
        <v/>
      </c>
    </row>
    <row r="15">
      <c r="B15" s="8" t="inlineStr">
        <is>
          <t>2. פרמטר תמריץ — מכפיל פחת</t>
        </is>
      </c>
    </row>
    <row r="16">
      <c r="B16" s="13" t="inlineStr">
        <is>
          <t>מכפיל שיעור הפחת  ←  שנה ב'נתונים והנחות'!F15</t>
        </is>
      </c>
      <c r="C16" s="14" t="inlineStr">
        <is>
          <t>מכפיל</t>
        </is>
      </c>
      <c r="D16" s="9" t="inlineStr">
        <is>
          <t>נתונים והנחות</t>
        </is>
      </c>
      <c r="F16" s="22">
        <f>'נתונים והנחות'!$F$15</f>
        <v/>
      </c>
    </row>
    <row r="17">
      <c r="B17" s="23" t="inlineStr">
        <is>
          <t>מכפיל × שיעור פחת סטנדרטי = שיעור מואץ | פחת מצטבר = 100% CapEx | אורך תקופת הפחת = 1 ÷ שיעור מואץ</t>
        </is>
      </c>
    </row>
    <row r="19">
      <c r="B19" s="8" t="inlineStr">
        <is>
          <t>3. ניתוחים לפי טכנולוגיה</t>
        </is>
      </c>
    </row>
    <row r="20">
      <c r="B20" s="24" t="inlineStr">
        <is>
          <t>3.1  משאבות חום (חימום מים)</t>
        </is>
      </c>
    </row>
    <row r="21">
      <c r="B21" s="23" t="inlineStr">
        <is>
          <t>* החלפת דוד חשמל במשאבת חום | חיסכון ~50% מצריכה | אורך חיים: 10 שנה</t>
        </is>
      </c>
    </row>
    <row r="22">
      <c r="B22" s="25" t="inlineStr">
        <is>
          <t>א. הנחות בסיסיות להשקעה</t>
        </is>
      </c>
    </row>
    <row r="23">
      <c r="B23" s="18" t="inlineStr">
        <is>
          <t>עלות השקעה (CapEx)</t>
        </is>
      </c>
      <c r="C23" s="9" t="inlineStr">
        <is>
          <t>₪</t>
        </is>
      </c>
      <c r="D23" s="9" t="inlineStr">
        <is>
          <t>נתוני רפי</t>
        </is>
      </c>
      <c r="E23" s="26" t="inlineStr">
        <is>
          <t>⚠ ממתין לנתוני ראש המהנדסים</t>
        </is>
      </c>
      <c r="F23" s="27" t="inlineStr">
        <is>
          <t>PENDING</t>
        </is>
      </c>
    </row>
    <row r="24">
      <c r="B24" s="18" t="inlineStr">
        <is>
          <t>צריכת אנרגיה שנתית (לפני החלפה)</t>
        </is>
      </c>
      <c r="C24" s="9" t="inlineStr">
        <is>
          <t>קוט"ש/שנה</t>
        </is>
      </c>
      <c r="D24" s="9" t="inlineStr">
        <is>
          <t>נתוני רפי</t>
        </is>
      </c>
      <c r="E24" s="26" t="inlineStr">
        <is>
          <t>⚠ ממתין לנתוני ראש המהנדסים</t>
        </is>
      </c>
      <c r="F24" s="27" t="inlineStr">
        <is>
          <t>PENDING</t>
        </is>
      </c>
    </row>
    <row r="25">
      <c r="B25" s="18" t="inlineStr">
        <is>
          <t>חיסכון אנרגטי</t>
        </is>
      </c>
      <c r="C25" s="9" t="inlineStr">
        <is>
          <t>% מצריכה</t>
        </is>
      </c>
      <c r="D25" s="9" t="inlineStr">
        <is>
          <t>ממצאי הנדסה</t>
        </is>
      </c>
      <c r="F25" s="10" t="n">
        <v>0.5</v>
      </c>
    </row>
    <row r="26">
      <c r="B26" s="18" t="inlineStr">
        <is>
          <t>חיסכון שנתי בסיסי</t>
        </is>
      </c>
      <c r="C26" s="9" t="inlineStr">
        <is>
          <t>קוט"ש/שנה</t>
        </is>
      </c>
      <c r="D26" s="9" t="inlineStr">
        <is>
          <t>חישוב</t>
        </is>
      </c>
      <c r="E26" s="9">
        <f> צריכה × שיעור חיסכון</f>
        <v/>
      </c>
      <c r="F26" s="28">
        <f>IF(ISNUMBER($F$24),$F$24*$F$25,"PENDING")</f>
        <v/>
      </c>
    </row>
    <row r="27">
      <c r="B27" s="18" t="inlineStr">
        <is>
          <t>גורם שחיקת ביצועים</t>
        </is>
      </c>
      <c r="C27" s="9" t="inlineStr">
        <is>
          <t>% לשנה</t>
        </is>
      </c>
      <c r="D27" s="9" t="inlineStr">
        <is>
          <t>הנחת עבודה</t>
        </is>
      </c>
      <c r="E27" s="26" t="inlineStr">
        <is>
          <t>ירידה שנתית בחיסכון | טווח: 0.5%-1.0%/שנה — לאשר מול רפי</t>
        </is>
      </c>
      <c r="F27" s="11" t="n">
        <v>0.005</v>
      </c>
    </row>
    <row r="28">
      <c r="B28" s="18" t="inlineStr">
        <is>
          <t>אורך חיי הציוד (כלכלי)</t>
        </is>
      </c>
      <c r="C28" s="9" t="inlineStr">
        <is>
          <t>שנים</t>
        </is>
      </c>
      <c r="D28" s="9" t="inlineStr">
        <is>
          <t>ממצאי הנדסה</t>
        </is>
      </c>
      <c r="F28" s="29" t="n">
        <v>10</v>
      </c>
    </row>
    <row r="29">
      <c r="B29" s="18" t="inlineStr">
        <is>
          <t>מחיר חשמל</t>
        </is>
      </c>
      <c r="C29" s="9" t="inlineStr">
        <is>
          <t>₪/קוט"ש</t>
        </is>
      </c>
      <c r="D29" s="9" t="inlineStr">
        <is>
          <t>גיליון הנחות</t>
        </is>
      </c>
      <c r="F29" s="30">
        <f>'נתונים והנחות'!$F$12/100</f>
        <v/>
      </c>
    </row>
    <row r="30">
      <c r="B30" s="18" t="inlineStr">
        <is>
          <t>חיסכון שנתי בסיסי (₪, שנה 1)</t>
        </is>
      </c>
      <c r="C30" s="9" t="inlineStr">
        <is>
          <t>₪/שנה</t>
        </is>
      </c>
      <c r="D30" s="9" t="inlineStr">
        <is>
          <t>חישוב</t>
        </is>
      </c>
      <c r="E30" s="9">
        <f> חיסכון קוט"ש × מחיר חשמל</f>
        <v/>
      </c>
      <c r="F30" s="31">
        <f>IF(ISNUMBER($F$26),$F$26*$F$29,"PENDING")</f>
        <v/>
      </c>
    </row>
    <row r="32">
      <c r="B32" s="25" t="inlineStr">
        <is>
          <t>ב. לוחות פחת — השוואה (ללא תמריץ vs. עם מכפיל)</t>
        </is>
      </c>
    </row>
    <row r="33">
      <c r="B33" s="32" t="inlineStr">
        <is>
          <t>פרמטר</t>
        </is>
      </c>
      <c r="C33" s="32" t="inlineStr">
        <is>
          <t>יחידות</t>
        </is>
      </c>
      <c r="D33" s="32" t="inlineStr">
        <is>
          <t>מקור</t>
        </is>
      </c>
      <c r="E33" s="32" t="inlineStr">
        <is>
          <t>הערות</t>
        </is>
      </c>
      <c r="F33" s="32" t="inlineStr">
        <is>
          <t>שנה 0 (השקעה)</t>
        </is>
      </c>
      <c r="G33" s="32" t="inlineStr">
        <is>
          <t>שנה 1</t>
        </is>
      </c>
      <c r="H33" s="32" t="inlineStr">
        <is>
          <t>שנה 2</t>
        </is>
      </c>
      <c r="I33" s="32" t="inlineStr">
        <is>
          <t>שנה 3</t>
        </is>
      </c>
      <c r="J33" s="32" t="inlineStr">
        <is>
          <t>שנה 4</t>
        </is>
      </c>
      <c r="K33" s="32" t="inlineStr">
        <is>
          <t>שנה 5</t>
        </is>
      </c>
      <c r="L33" s="32" t="inlineStr">
        <is>
          <t>שנה 6</t>
        </is>
      </c>
      <c r="M33" s="32" t="inlineStr">
        <is>
          <t>שנה 7</t>
        </is>
      </c>
      <c r="N33" s="32" t="inlineStr">
        <is>
          <t>שנה 8</t>
        </is>
      </c>
      <c r="O33" s="32" t="inlineStr">
        <is>
          <t>שנה 9</t>
        </is>
      </c>
      <c r="P33" s="32" t="inlineStr">
        <is>
          <t>שנה 10</t>
        </is>
      </c>
      <c r="Q33" s="32" t="inlineStr">
        <is>
          <t>שנה 11</t>
        </is>
      </c>
      <c r="R33" s="32" t="inlineStr">
        <is>
          <t>שנה 12</t>
        </is>
      </c>
      <c r="S33" s="32" t="inlineStr">
        <is>
          <t>שנה 13</t>
        </is>
      </c>
      <c r="T33" s="32" t="inlineStr">
        <is>
          <t>שנה 14</t>
        </is>
      </c>
      <c r="U33" s="32" t="inlineStr">
        <is>
          <t>שנה 15</t>
        </is>
      </c>
      <c r="V33" s="32" t="inlineStr">
        <is>
          <t>שנה 16</t>
        </is>
      </c>
      <c r="W33" s="32" t="inlineStr">
        <is>
          <t>שנה 17</t>
        </is>
      </c>
      <c r="X33" s="32" t="inlineStr">
        <is>
          <t>שנה 18</t>
        </is>
      </c>
      <c r="Y33" s="32" t="inlineStr">
        <is>
          <t>שנה 19</t>
        </is>
      </c>
      <c r="Z33" s="32" t="inlineStr">
        <is>
          <t>שנה 20</t>
        </is>
      </c>
    </row>
    <row r="34">
      <c r="B34" s="4" t="inlineStr">
        <is>
          <t>פחת שנתי — סטנדרטי</t>
        </is>
      </c>
      <c r="C34" s="9" t="inlineStr">
        <is>
          <t>₪</t>
        </is>
      </c>
      <c r="D34" s="9" t="inlineStr">
        <is>
          <t>חישוב</t>
        </is>
      </c>
      <c r="E34" s="9">
        <f> CapEx × 10% | קו ישר | עד שנה 10</f>
        <v/>
      </c>
      <c r="F34" s="33" t="n">
        <v>0</v>
      </c>
      <c r="G34" s="33">
        <f>IF(ISNUMBER($F$23),$F$23*0.1,0)</f>
        <v/>
      </c>
      <c r="H34" s="33">
        <f>IF(ISNUMBER($F$23),$F$23*0.1,0)</f>
        <v/>
      </c>
      <c r="I34" s="33">
        <f>IF(ISNUMBER($F$23),$F$23*0.1,0)</f>
        <v/>
      </c>
      <c r="J34" s="33">
        <f>IF(ISNUMBER($F$23),$F$23*0.1,0)</f>
        <v/>
      </c>
      <c r="K34" s="33">
        <f>IF(ISNUMBER($F$23),$F$23*0.1,0)</f>
        <v/>
      </c>
      <c r="L34" s="33">
        <f>IF(ISNUMBER($F$23),$F$23*0.1,0)</f>
        <v/>
      </c>
      <c r="M34" s="33">
        <f>IF(ISNUMBER($F$23),$F$23*0.1,0)</f>
        <v/>
      </c>
      <c r="N34" s="33">
        <f>IF(ISNUMBER($F$23),$F$23*0.1,0)</f>
        <v/>
      </c>
      <c r="O34" s="33">
        <f>IF(ISNUMBER($F$23),$F$23*0.1,0)</f>
        <v/>
      </c>
      <c r="P34" s="33">
        <f>IF(ISNUMBER($F$23),$F$23*0.1,0)</f>
        <v/>
      </c>
      <c r="Q34" s="33">
        <f>0</f>
        <v/>
      </c>
      <c r="R34" s="33">
        <f>0</f>
        <v/>
      </c>
      <c r="S34" s="33">
        <f>0</f>
        <v/>
      </c>
      <c r="T34" s="33">
        <f>0</f>
        <v/>
      </c>
      <c r="U34" s="33">
        <f>0</f>
        <v/>
      </c>
      <c r="V34" s="33">
        <f>0</f>
        <v/>
      </c>
      <c r="W34" s="33">
        <f>0</f>
        <v/>
      </c>
      <c r="X34" s="33">
        <f>0</f>
        <v/>
      </c>
      <c r="Y34" s="33">
        <f>0</f>
        <v/>
      </c>
      <c r="Z34" s="33">
        <f>0</f>
        <v/>
      </c>
    </row>
    <row r="35">
      <c r="B35" s="5" t="inlineStr">
        <is>
          <t>מגן מס — סטנדרטי</t>
        </is>
      </c>
      <c r="C35" s="9" t="inlineStr">
        <is>
          <t>₪</t>
        </is>
      </c>
      <c r="D35" s="9" t="inlineStr">
        <is>
          <t>חישוב</t>
        </is>
      </c>
      <c r="E35" s="9">
        <f> פחת × שיעור מס</f>
        <v/>
      </c>
      <c r="F35" s="34" t="n">
        <v>0</v>
      </c>
      <c r="G35" s="34">
        <f>G34*'נתונים והנחות'!$F$10</f>
        <v/>
      </c>
      <c r="H35" s="34">
        <f>H34*'נתונים והנחות'!$F$10</f>
        <v/>
      </c>
      <c r="I35" s="34">
        <f>I34*'נתונים והנחות'!$F$10</f>
        <v/>
      </c>
      <c r="J35" s="34">
        <f>J34*'נתונים והנחות'!$F$10</f>
        <v/>
      </c>
      <c r="K35" s="34">
        <f>K34*'נתונים והנחות'!$F$10</f>
        <v/>
      </c>
      <c r="L35" s="34">
        <f>L34*'נתונים והנחות'!$F$10</f>
        <v/>
      </c>
      <c r="M35" s="34">
        <f>M34*'נתונים והנחות'!$F$10</f>
        <v/>
      </c>
      <c r="N35" s="34">
        <f>N34*'נתונים והנחות'!$F$10</f>
        <v/>
      </c>
      <c r="O35" s="34">
        <f>O34*'נתונים והנחות'!$F$10</f>
        <v/>
      </c>
      <c r="P35" s="34">
        <f>P34*'נתונים והנחות'!$F$10</f>
        <v/>
      </c>
      <c r="Q35" s="34">
        <f>Q34*'נתונים והנחות'!$F$10</f>
        <v/>
      </c>
      <c r="R35" s="34">
        <f>R34*'נתונים והנחות'!$F$10</f>
        <v/>
      </c>
      <c r="S35" s="34">
        <f>S34*'נתונים והנחות'!$F$10</f>
        <v/>
      </c>
      <c r="T35" s="34">
        <f>T34*'נתונים והנחות'!$F$10</f>
        <v/>
      </c>
      <c r="U35" s="34">
        <f>U34*'נתונים והנחות'!$F$10</f>
        <v/>
      </c>
      <c r="V35" s="34">
        <f>V34*'נתונים והנחות'!$F$10</f>
        <v/>
      </c>
      <c r="W35" s="34">
        <f>W34*'נתונים והנחות'!$F$10</f>
        <v/>
      </c>
      <c r="X35" s="34">
        <f>X34*'נתונים והנחות'!$F$10</f>
        <v/>
      </c>
      <c r="Y35" s="34">
        <f>Y34*'נתונים והנחות'!$F$10</f>
        <v/>
      </c>
      <c r="Z35" s="34">
        <f>Z34*'נתונים והנחות'!$F$10</f>
        <v/>
      </c>
    </row>
    <row r="36">
      <c r="B36" s="6" t="inlineStr">
        <is>
          <t>פחת שנתי — מואץ</t>
        </is>
      </c>
      <c r="C36" s="9" t="inlineStr">
        <is>
          <t>₪</t>
        </is>
      </c>
      <c r="D36" s="9" t="inlineStr">
        <is>
          <t>חישוב</t>
        </is>
      </c>
      <c r="E36" s="9">
        <f> CapEx × (שיעור סטנדרטי × מכפיל) | תקופה = 1 ÷ שיעור מואץ</f>
        <v/>
      </c>
      <c r="F36" s="35" t="n">
        <v>0</v>
      </c>
      <c r="G36" s="35">
        <f>IF(ISNUMBER($F$23),IF(1&lt;=ROUND(1/(0.1*'נתונים והנחות'!$F$15),0),$F$23*0.1*'נתונים והנחות'!$F$15,0),0)</f>
        <v/>
      </c>
      <c r="H36" s="35">
        <f>IF(ISNUMBER($F$23),IF(2&lt;=ROUND(1/(0.1*'נתונים והנחות'!$F$15),0),$F$23*0.1*'נתונים והנחות'!$F$15,0),0)</f>
        <v/>
      </c>
      <c r="I36" s="35">
        <f>IF(ISNUMBER($F$23),IF(3&lt;=ROUND(1/(0.1*'נתונים והנחות'!$F$15),0),$F$23*0.1*'נתונים והנחות'!$F$15,0),0)</f>
        <v/>
      </c>
      <c r="J36" s="35">
        <f>IF(ISNUMBER($F$23),IF(4&lt;=ROUND(1/(0.1*'נתונים והנחות'!$F$15),0),$F$23*0.1*'נתונים והנחות'!$F$15,0),0)</f>
        <v/>
      </c>
      <c r="K36" s="35">
        <f>IF(ISNUMBER($F$23),IF(5&lt;=ROUND(1/(0.1*'נתונים והנחות'!$F$15),0),$F$23*0.1*'נתונים והנחות'!$F$15,0),0)</f>
        <v/>
      </c>
      <c r="L36" s="35">
        <f>IF(ISNUMBER($F$23),IF(6&lt;=ROUND(1/(0.1*'נתונים והנחות'!$F$15),0),$F$23*0.1*'נתונים והנחות'!$F$15,0),0)</f>
        <v/>
      </c>
      <c r="M36" s="35">
        <f>IF(ISNUMBER($F$23),IF(7&lt;=ROUND(1/(0.1*'נתונים והנחות'!$F$15),0),$F$23*0.1*'נתונים והנחות'!$F$15,0),0)</f>
        <v/>
      </c>
      <c r="N36" s="35">
        <f>IF(ISNUMBER($F$23),IF(8&lt;=ROUND(1/(0.1*'נתונים והנחות'!$F$15),0),$F$23*0.1*'נתונים והנחות'!$F$15,0),0)</f>
        <v/>
      </c>
      <c r="O36" s="35">
        <f>IF(ISNUMBER($F$23),IF(9&lt;=ROUND(1/(0.1*'נתונים והנחות'!$F$15),0),$F$23*0.1*'נתונים והנחות'!$F$15,0),0)</f>
        <v/>
      </c>
      <c r="P36" s="35">
        <f>IF(ISNUMBER($F$23),IF(10&lt;=ROUND(1/(0.1*'נתונים והנחות'!$F$15),0),$F$23*0.1*'נתונים והנחות'!$F$15,0),0)</f>
        <v/>
      </c>
      <c r="Q36" s="35">
        <f>IF(ISNUMBER($F$23),IF(11&lt;=ROUND(1/(0.1*'נתונים והנחות'!$F$15),0),$F$23*0.1*'נתונים והנחות'!$F$15,0),0)</f>
        <v/>
      </c>
      <c r="R36" s="35">
        <f>IF(ISNUMBER($F$23),IF(12&lt;=ROUND(1/(0.1*'נתונים והנחות'!$F$15),0),$F$23*0.1*'נתונים והנחות'!$F$15,0),0)</f>
        <v/>
      </c>
      <c r="S36" s="35">
        <f>IF(ISNUMBER($F$23),IF(13&lt;=ROUND(1/(0.1*'נתונים והנחות'!$F$15),0),$F$23*0.1*'נתונים והנחות'!$F$15,0),0)</f>
        <v/>
      </c>
      <c r="T36" s="35">
        <f>IF(ISNUMBER($F$23),IF(14&lt;=ROUND(1/(0.1*'נתונים והנחות'!$F$15),0),$F$23*0.1*'נתונים והנחות'!$F$15,0),0)</f>
        <v/>
      </c>
      <c r="U36" s="35">
        <f>IF(ISNUMBER($F$23),IF(15&lt;=ROUND(1/(0.1*'נתונים והנחות'!$F$15),0),$F$23*0.1*'נתונים והנחות'!$F$15,0),0)</f>
        <v/>
      </c>
      <c r="V36" s="35">
        <f>IF(ISNUMBER($F$23),IF(16&lt;=ROUND(1/(0.1*'נתונים והנחות'!$F$15),0),$F$23*0.1*'נתונים והנחות'!$F$15,0),0)</f>
        <v/>
      </c>
      <c r="W36" s="35">
        <f>IF(ISNUMBER($F$23),IF(17&lt;=ROUND(1/(0.1*'נתונים והנחות'!$F$15),0),$F$23*0.1*'נתונים והנחות'!$F$15,0),0)</f>
        <v/>
      </c>
      <c r="X36" s="35">
        <f>IF(ISNUMBER($F$23),IF(18&lt;=ROUND(1/(0.1*'נתונים והנחות'!$F$15),0),$F$23*0.1*'נתונים והנחות'!$F$15,0),0)</f>
        <v/>
      </c>
      <c r="Y36" s="35">
        <f>IF(ISNUMBER($F$23),IF(19&lt;=ROUND(1/(0.1*'נתונים והנחות'!$F$15),0),$F$23*0.1*'נתונים והנחות'!$F$15,0),0)</f>
        <v/>
      </c>
      <c r="Z36" s="35">
        <f>IF(ISNUMBER($F$23),IF(20&lt;=ROUND(1/(0.1*'נתונים והנחות'!$F$15),0),$F$23*0.1*'נתונים והנחות'!$F$15,0),0)</f>
        <v/>
      </c>
    </row>
    <row r="37">
      <c r="B37" s="6" t="inlineStr">
        <is>
          <t>מגן מס — מואץ</t>
        </is>
      </c>
      <c r="C37" s="9" t="inlineStr">
        <is>
          <t>₪</t>
        </is>
      </c>
      <c r="D37" s="9" t="inlineStr">
        <is>
          <t>חישוב</t>
        </is>
      </c>
      <c r="E37" s="9">
        <f> פחת מואץ × שיעור מס</f>
        <v/>
      </c>
      <c r="F37" s="35" t="n">
        <v>0</v>
      </c>
      <c r="G37" s="35">
        <f>G36*'נתונים והנחות'!$F$10</f>
        <v/>
      </c>
      <c r="H37" s="35">
        <f>H36*'נתונים והנחות'!$F$10</f>
        <v/>
      </c>
      <c r="I37" s="35">
        <f>I36*'נתונים והנחות'!$F$10</f>
        <v/>
      </c>
      <c r="J37" s="35">
        <f>J36*'נתונים והנחות'!$F$10</f>
        <v/>
      </c>
      <c r="K37" s="35">
        <f>K36*'נתונים והנחות'!$F$10</f>
        <v/>
      </c>
      <c r="L37" s="35">
        <f>L36*'נתונים והנחות'!$F$10</f>
        <v/>
      </c>
      <c r="M37" s="35">
        <f>M36*'נתונים והנחות'!$F$10</f>
        <v/>
      </c>
      <c r="N37" s="35">
        <f>N36*'נתונים והנחות'!$F$10</f>
        <v/>
      </c>
      <c r="O37" s="35">
        <f>O36*'נתונים והנחות'!$F$10</f>
        <v/>
      </c>
      <c r="P37" s="35">
        <f>P36*'נתונים והנחות'!$F$10</f>
        <v/>
      </c>
      <c r="Q37" s="35">
        <f>Q36*'נתונים והנחות'!$F$10</f>
        <v/>
      </c>
      <c r="R37" s="35">
        <f>R36*'נתונים והנחות'!$F$10</f>
        <v/>
      </c>
      <c r="S37" s="35">
        <f>S36*'נתונים והנחות'!$F$10</f>
        <v/>
      </c>
      <c r="T37" s="35">
        <f>T36*'נתונים והנחות'!$F$10</f>
        <v/>
      </c>
      <c r="U37" s="35">
        <f>U36*'נתונים והנחות'!$F$10</f>
        <v/>
      </c>
      <c r="V37" s="35">
        <f>V36*'נתונים והנחות'!$F$10</f>
        <v/>
      </c>
      <c r="W37" s="35">
        <f>W36*'נתונים והנחות'!$F$10</f>
        <v/>
      </c>
      <c r="X37" s="35">
        <f>X36*'נתונים והנחות'!$F$10</f>
        <v/>
      </c>
      <c r="Y37" s="35">
        <f>Y36*'נתונים והנחות'!$F$10</f>
        <v/>
      </c>
      <c r="Z37" s="35">
        <f>Z36*'נתונים והנחות'!$F$10</f>
        <v/>
      </c>
    </row>
    <row r="39">
      <c r="B39" s="25" t="inlineStr">
        <is>
          <t>ג. ניתוח תזרים מזומנים</t>
        </is>
      </c>
    </row>
    <row r="40">
      <c r="B40" s="32" t="inlineStr">
        <is>
          <t>פרמטר</t>
        </is>
      </c>
      <c r="C40" s="32" t="inlineStr">
        <is>
          <t>יחידות</t>
        </is>
      </c>
      <c r="D40" s="32" t="inlineStr">
        <is>
          <t>מקור</t>
        </is>
      </c>
      <c r="E40" s="32" t="inlineStr">
        <is>
          <t>הערות</t>
        </is>
      </c>
      <c r="F40" s="32" t="inlineStr">
        <is>
          <t>שנה 0 (השקעה)</t>
        </is>
      </c>
      <c r="G40" s="32" t="inlineStr">
        <is>
          <t>שנה 1</t>
        </is>
      </c>
      <c r="H40" s="32" t="inlineStr">
        <is>
          <t>שנה 2</t>
        </is>
      </c>
      <c r="I40" s="32" t="inlineStr">
        <is>
          <t>שנה 3</t>
        </is>
      </c>
      <c r="J40" s="32" t="inlineStr">
        <is>
          <t>שנה 4</t>
        </is>
      </c>
      <c r="K40" s="32" t="inlineStr">
        <is>
          <t>שנה 5</t>
        </is>
      </c>
      <c r="L40" s="32" t="inlineStr">
        <is>
          <t>שנה 6</t>
        </is>
      </c>
      <c r="M40" s="32" t="inlineStr">
        <is>
          <t>שנה 7</t>
        </is>
      </c>
      <c r="N40" s="32" t="inlineStr">
        <is>
          <t>שנה 8</t>
        </is>
      </c>
      <c r="O40" s="32" t="inlineStr">
        <is>
          <t>שנה 9</t>
        </is>
      </c>
      <c r="P40" s="32" t="inlineStr">
        <is>
          <t>שנה 10</t>
        </is>
      </c>
      <c r="Q40" s="32" t="inlineStr">
        <is>
          <t>שנה 11</t>
        </is>
      </c>
      <c r="R40" s="32" t="inlineStr">
        <is>
          <t>שנה 12</t>
        </is>
      </c>
      <c r="S40" s="32" t="inlineStr">
        <is>
          <t>שנה 13</t>
        </is>
      </c>
      <c r="T40" s="32" t="inlineStr">
        <is>
          <t>שנה 14</t>
        </is>
      </c>
      <c r="U40" s="32" t="inlineStr">
        <is>
          <t>שנה 15</t>
        </is>
      </c>
      <c r="V40" s="32" t="inlineStr">
        <is>
          <t>שנה 16</t>
        </is>
      </c>
      <c r="W40" s="32" t="inlineStr">
        <is>
          <t>שנה 17</t>
        </is>
      </c>
      <c r="X40" s="32" t="inlineStr">
        <is>
          <t>שנה 18</t>
        </is>
      </c>
      <c r="Y40" s="32" t="inlineStr">
        <is>
          <t>שנה 19</t>
        </is>
      </c>
      <c r="Z40" s="32" t="inlineStr">
        <is>
          <t>שנה 20</t>
        </is>
      </c>
    </row>
    <row r="41">
      <c r="B41" s="4" t="inlineStr">
        <is>
          <t>השקעה ראשונית (CapEx)</t>
        </is>
      </c>
      <c r="C41" s="9" t="inlineStr">
        <is>
          <t>₪</t>
        </is>
      </c>
      <c r="D41" s="9" t="inlineStr">
        <is>
          <t>חישוב</t>
        </is>
      </c>
      <c r="F41" s="31">
        <f>IF(ISNUMBER($F$23),-$F$23,"PENDING")</f>
        <v/>
      </c>
    </row>
    <row r="42">
      <c r="B42" s="4" t="inlineStr">
        <is>
          <t>חיסכון שנתי — אנרגיה (בניכוי שחיקה)</t>
        </is>
      </c>
      <c r="C42" s="9" t="inlineStr">
        <is>
          <t>₪</t>
        </is>
      </c>
      <c r="D42" s="9" t="inlineStr">
        <is>
          <t>חישוב</t>
        </is>
      </c>
      <c r="F42" s="31" t="n">
        <v>0</v>
      </c>
      <c r="G42" s="31">
        <f>IF(ISNUMBER($F$30),$F$30*(1-$F$27)^0,0)</f>
        <v/>
      </c>
      <c r="H42" s="31">
        <f>IF(ISNUMBER($F$30),$F$30*(1-$F$27)^1,0)</f>
        <v/>
      </c>
      <c r="I42" s="31">
        <f>IF(ISNUMBER($F$30),$F$30*(1-$F$27)^2,0)</f>
        <v/>
      </c>
      <c r="J42" s="31">
        <f>IF(ISNUMBER($F$30),$F$30*(1-$F$27)^3,0)</f>
        <v/>
      </c>
      <c r="K42" s="31">
        <f>IF(ISNUMBER($F$30),$F$30*(1-$F$27)^4,0)</f>
        <v/>
      </c>
      <c r="L42" s="31">
        <f>IF(ISNUMBER($F$30),$F$30*(1-$F$27)^5,0)</f>
        <v/>
      </c>
      <c r="M42" s="31">
        <f>IF(ISNUMBER($F$30),$F$30*(1-$F$27)^6,0)</f>
        <v/>
      </c>
      <c r="N42" s="31">
        <f>IF(ISNUMBER($F$30),$F$30*(1-$F$27)^7,0)</f>
        <v/>
      </c>
      <c r="O42" s="31">
        <f>IF(ISNUMBER($F$30),$F$30*(1-$F$27)^8,0)</f>
        <v/>
      </c>
      <c r="P42" s="31">
        <f>IF(ISNUMBER($F$30),$F$30*(1-$F$27)^9,0)</f>
        <v/>
      </c>
      <c r="Q42" s="31">
        <f>0</f>
        <v/>
      </c>
      <c r="R42" s="31">
        <f>0</f>
        <v/>
      </c>
      <c r="S42" s="31">
        <f>0</f>
        <v/>
      </c>
      <c r="T42" s="31">
        <f>0</f>
        <v/>
      </c>
      <c r="U42" s="31">
        <f>0</f>
        <v/>
      </c>
      <c r="V42" s="31">
        <f>0</f>
        <v/>
      </c>
      <c r="W42" s="31">
        <f>0</f>
        <v/>
      </c>
      <c r="X42" s="31">
        <f>0</f>
        <v/>
      </c>
      <c r="Y42" s="31">
        <f>0</f>
        <v/>
      </c>
      <c r="Z42" s="31">
        <f>0</f>
        <v/>
      </c>
    </row>
    <row r="43">
      <c r="B43" s="4" t="inlineStr">
        <is>
          <t>תזרים נקי — ללא תמריץ</t>
        </is>
      </c>
      <c r="C43" s="9" t="inlineStr">
        <is>
          <t>₪</t>
        </is>
      </c>
      <c r="D43" s="9" t="inlineStr">
        <is>
          <t>חישוב</t>
        </is>
      </c>
      <c r="F43" s="31" t="n">
        <v>0</v>
      </c>
      <c r="G43" s="31">
        <f>G42+G35</f>
        <v/>
      </c>
      <c r="H43" s="31">
        <f>H42+H35</f>
        <v/>
      </c>
      <c r="I43" s="31">
        <f>I42+I35</f>
        <v/>
      </c>
      <c r="J43" s="31">
        <f>J42+J35</f>
        <v/>
      </c>
      <c r="K43" s="31">
        <f>K42+K35</f>
        <v/>
      </c>
      <c r="L43" s="31">
        <f>L42+L35</f>
        <v/>
      </c>
      <c r="M43" s="31">
        <f>M42+M35</f>
        <v/>
      </c>
      <c r="N43" s="31">
        <f>N42+N35</f>
        <v/>
      </c>
      <c r="O43" s="31">
        <f>O42+O35</f>
        <v/>
      </c>
      <c r="P43" s="31">
        <f>P42+P35</f>
        <v/>
      </c>
      <c r="Q43" s="31">
        <f>Q42+Q35</f>
        <v/>
      </c>
      <c r="R43" s="31">
        <f>R42+R35</f>
        <v/>
      </c>
      <c r="S43" s="31">
        <f>S42+S35</f>
        <v/>
      </c>
      <c r="T43" s="31">
        <f>T42+T35</f>
        <v/>
      </c>
      <c r="U43" s="31">
        <f>U42+U35</f>
        <v/>
      </c>
      <c r="V43" s="31">
        <f>V42+V35</f>
        <v/>
      </c>
      <c r="W43" s="31">
        <f>W42+W35</f>
        <v/>
      </c>
      <c r="X43" s="31">
        <f>X42+X35</f>
        <v/>
      </c>
      <c r="Y43" s="31">
        <f>Y42+Y35</f>
        <v/>
      </c>
      <c r="Z43" s="31">
        <f>Z42+Z35</f>
        <v/>
      </c>
    </row>
    <row r="44">
      <c r="B44" s="5" t="inlineStr">
        <is>
          <t>תזרים מהוון — ללא תמריץ</t>
        </is>
      </c>
      <c r="C44" s="9" t="inlineStr">
        <is>
          <t>₪</t>
        </is>
      </c>
      <c r="D44" s="9" t="inlineStr">
        <is>
          <t>חישוב</t>
        </is>
      </c>
      <c r="F44" s="34">
        <f>F43</f>
        <v/>
      </c>
      <c r="G44" s="34">
        <f>G43/(1+'נתונים והנחות'!$F$11)^1</f>
        <v/>
      </c>
      <c r="H44" s="34">
        <f>H43/(1+'נתונים והנחות'!$F$11)^2</f>
        <v/>
      </c>
      <c r="I44" s="34">
        <f>I43/(1+'נתונים והנחות'!$F$11)^3</f>
        <v/>
      </c>
      <c r="J44" s="34">
        <f>J43/(1+'נתונים והנחות'!$F$11)^4</f>
        <v/>
      </c>
      <c r="K44" s="34">
        <f>K43/(1+'נתונים והנחות'!$F$11)^5</f>
        <v/>
      </c>
      <c r="L44" s="34">
        <f>L43/(1+'נתונים והנחות'!$F$11)^6</f>
        <v/>
      </c>
      <c r="M44" s="34">
        <f>M43/(1+'נתונים והנחות'!$F$11)^7</f>
        <v/>
      </c>
      <c r="N44" s="34">
        <f>N43/(1+'נתונים והנחות'!$F$11)^8</f>
        <v/>
      </c>
      <c r="O44" s="34">
        <f>O43/(1+'נתונים והנחות'!$F$11)^9</f>
        <v/>
      </c>
      <c r="P44" s="34">
        <f>P43/(1+'נתונים והנחות'!$F$11)^10</f>
        <v/>
      </c>
      <c r="Q44" s="34">
        <f>Q43/(1+'נתונים והנחות'!$F$11)^11</f>
        <v/>
      </c>
      <c r="R44" s="34">
        <f>R43/(1+'נתונים והנחות'!$F$11)^12</f>
        <v/>
      </c>
      <c r="S44" s="34">
        <f>S43/(1+'נתונים והנחות'!$F$11)^13</f>
        <v/>
      </c>
      <c r="T44" s="34">
        <f>T43/(1+'נתונים והנחות'!$F$11)^14</f>
        <v/>
      </c>
      <c r="U44" s="34">
        <f>U43/(1+'נתונים והנחות'!$F$11)^15</f>
        <v/>
      </c>
      <c r="V44" s="34">
        <f>V43/(1+'נתונים והנחות'!$F$11)^16</f>
        <v/>
      </c>
      <c r="W44" s="34">
        <f>W43/(1+'נתונים והנחות'!$F$11)^17</f>
        <v/>
      </c>
      <c r="X44" s="34">
        <f>X43/(1+'נתונים והנחות'!$F$11)^18</f>
        <v/>
      </c>
      <c r="Y44" s="34">
        <f>Y43/(1+'נתונים והנחות'!$F$11)^19</f>
        <v/>
      </c>
      <c r="Z44" s="34">
        <f>Z43/(1+'נתונים והנחות'!$F$11)^20</f>
        <v/>
      </c>
    </row>
    <row r="45">
      <c r="B45" s="5" t="inlineStr">
        <is>
          <t>NPV מצטבר — ללא תמריץ</t>
        </is>
      </c>
      <c r="C45" s="9" t="inlineStr">
        <is>
          <t>₪</t>
        </is>
      </c>
      <c r="D45" s="9" t="inlineStr">
        <is>
          <t>חישוב</t>
        </is>
      </c>
      <c r="F45" s="34">
        <f>F44</f>
        <v/>
      </c>
      <c r="G45" s="34">
        <f>F45+G44</f>
        <v/>
      </c>
      <c r="H45" s="34">
        <f>G45+H44</f>
        <v/>
      </c>
      <c r="I45" s="34">
        <f>H45+I44</f>
        <v/>
      </c>
      <c r="J45" s="34">
        <f>I45+J44</f>
        <v/>
      </c>
      <c r="K45" s="34">
        <f>J45+K44</f>
        <v/>
      </c>
      <c r="L45" s="34">
        <f>K45+L44</f>
        <v/>
      </c>
      <c r="M45" s="34">
        <f>L45+M44</f>
        <v/>
      </c>
      <c r="N45" s="34">
        <f>M45+N44</f>
        <v/>
      </c>
      <c r="O45" s="34">
        <f>N45+O44</f>
        <v/>
      </c>
      <c r="P45" s="34">
        <f>O45+P44</f>
        <v/>
      </c>
      <c r="Q45" s="34">
        <f>P45+Q44</f>
        <v/>
      </c>
      <c r="R45" s="34">
        <f>Q45+R44</f>
        <v/>
      </c>
      <c r="S45" s="34">
        <f>R45+S44</f>
        <v/>
      </c>
      <c r="T45" s="34">
        <f>S45+T44</f>
        <v/>
      </c>
      <c r="U45" s="34">
        <f>T45+U44</f>
        <v/>
      </c>
      <c r="V45" s="34">
        <f>U45+V44</f>
        <v/>
      </c>
      <c r="W45" s="34">
        <f>V45+W44</f>
        <v/>
      </c>
      <c r="X45" s="34">
        <f>W45+X44</f>
        <v/>
      </c>
      <c r="Y45" s="34">
        <f>X45+Y44</f>
        <v/>
      </c>
      <c r="Z45" s="34">
        <f>Y45+Z44</f>
        <v/>
      </c>
    </row>
    <row r="46">
      <c r="B46" s="6" t="inlineStr">
        <is>
          <t>תזרים נקי — עם תמריץ</t>
        </is>
      </c>
      <c r="C46" s="9" t="inlineStr">
        <is>
          <t>₪</t>
        </is>
      </c>
      <c r="D46" s="9" t="inlineStr">
        <is>
          <t>חישוב</t>
        </is>
      </c>
      <c r="F46" s="31" t="n">
        <v>0</v>
      </c>
      <c r="G46" s="35">
        <f>G42+G37</f>
        <v/>
      </c>
      <c r="H46" s="35">
        <f>H42+H37</f>
        <v/>
      </c>
      <c r="I46" s="35">
        <f>I42+I37</f>
        <v/>
      </c>
      <c r="J46" s="35">
        <f>J42+J37</f>
        <v/>
      </c>
      <c r="K46" s="35">
        <f>K42+K37</f>
        <v/>
      </c>
      <c r="L46" s="35">
        <f>L42+L37</f>
        <v/>
      </c>
      <c r="M46" s="35">
        <f>M42+M37</f>
        <v/>
      </c>
      <c r="N46" s="35">
        <f>N42+N37</f>
        <v/>
      </c>
      <c r="O46" s="35">
        <f>O42+O37</f>
        <v/>
      </c>
      <c r="P46" s="35">
        <f>P42+P37</f>
        <v/>
      </c>
      <c r="Q46" s="35">
        <f>Q42+Q37</f>
        <v/>
      </c>
      <c r="R46" s="35">
        <f>R42+R37</f>
        <v/>
      </c>
      <c r="S46" s="35">
        <f>S42+S37</f>
        <v/>
      </c>
      <c r="T46" s="35">
        <f>T42+T37</f>
        <v/>
      </c>
      <c r="U46" s="35">
        <f>U42+U37</f>
        <v/>
      </c>
      <c r="V46" s="35">
        <f>V42+V37</f>
        <v/>
      </c>
      <c r="W46" s="35">
        <f>W42+W37</f>
        <v/>
      </c>
      <c r="X46" s="35">
        <f>X42+X37</f>
        <v/>
      </c>
      <c r="Y46" s="35">
        <f>Y42+Y37</f>
        <v/>
      </c>
      <c r="Z46" s="35">
        <f>Z42+Z37</f>
        <v/>
      </c>
    </row>
    <row r="47">
      <c r="B47" s="6" t="inlineStr">
        <is>
          <t>תזרים מהוון — עם תמריץ</t>
        </is>
      </c>
      <c r="C47" s="9" t="inlineStr">
        <is>
          <t>₪</t>
        </is>
      </c>
      <c r="D47" s="9" t="inlineStr">
        <is>
          <t>חישוב</t>
        </is>
      </c>
      <c r="F47" s="35">
        <f>F46</f>
        <v/>
      </c>
      <c r="G47" s="35">
        <f>G46/(1+'נתונים והנחות'!$F$11)^1</f>
        <v/>
      </c>
      <c r="H47" s="35">
        <f>H46/(1+'נתונים והנחות'!$F$11)^2</f>
        <v/>
      </c>
      <c r="I47" s="35">
        <f>I46/(1+'נתונים והנחות'!$F$11)^3</f>
        <v/>
      </c>
      <c r="J47" s="35">
        <f>J46/(1+'נתונים והנחות'!$F$11)^4</f>
        <v/>
      </c>
      <c r="K47" s="35">
        <f>K46/(1+'נתונים והנחות'!$F$11)^5</f>
        <v/>
      </c>
      <c r="L47" s="35">
        <f>L46/(1+'נתונים והנחות'!$F$11)^6</f>
        <v/>
      </c>
      <c r="M47" s="35">
        <f>M46/(1+'נתונים והנחות'!$F$11)^7</f>
        <v/>
      </c>
      <c r="N47" s="35">
        <f>N46/(1+'נתונים והנחות'!$F$11)^8</f>
        <v/>
      </c>
      <c r="O47" s="35">
        <f>O46/(1+'נתונים והנחות'!$F$11)^9</f>
        <v/>
      </c>
      <c r="P47" s="35">
        <f>P46/(1+'נתונים והנחות'!$F$11)^10</f>
        <v/>
      </c>
      <c r="Q47" s="35">
        <f>Q46/(1+'נתונים והנחות'!$F$11)^11</f>
        <v/>
      </c>
      <c r="R47" s="35">
        <f>R46/(1+'נתונים והנחות'!$F$11)^12</f>
        <v/>
      </c>
      <c r="S47" s="35">
        <f>S46/(1+'נתונים והנחות'!$F$11)^13</f>
        <v/>
      </c>
      <c r="T47" s="35">
        <f>T46/(1+'נתונים והנחות'!$F$11)^14</f>
        <v/>
      </c>
      <c r="U47" s="35">
        <f>U46/(1+'נתונים והנחות'!$F$11)^15</f>
        <v/>
      </c>
      <c r="V47" s="35">
        <f>V46/(1+'נתונים והנחות'!$F$11)^16</f>
        <v/>
      </c>
      <c r="W47" s="35">
        <f>W46/(1+'נתונים והנחות'!$F$11)^17</f>
        <v/>
      </c>
      <c r="X47" s="35">
        <f>X46/(1+'נתונים והנחות'!$F$11)^18</f>
        <v/>
      </c>
      <c r="Y47" s="35">
        <f>Y46/(1+'נתונים והנחות'!$F$11)^19</f>
        <v/>
      </c>
      <c r="Z47" s="35">
        <f>Z46/(1+'נתונים והנחות'!$F$11)^20</f>
        <v/>
      </c>
    </row>
    <row r="48">
      <c r="B48" s="6" t="inlineStr">
        <is>
          <t>NPV מצטבר — עם תמריץ</t>
        </is>
      </c>
      <c r="C48" s="9" t="inlineStr">
        <is>
          <t>₪</t>
        </is>
      </c>
      <c r="D48" s="9" t="inlineStr">
        <is>
          <t>חישוב</t>
        </is>
      </c>
      <c r="F48" s="35">
        <f>F47</f>
        <v/>
      </c>
      <c r="G48" s="35">
        <f>F48+G47</f>
        <v/>
      </c>
      <c r="H48" s="35">
        <f>G48+H47</f>
        <v/>
      </c>
      <c r="I48" s="35">
        <f>H48+I47</f>
        <v/>
      </c>
      <c r="J48" s="35">
        <f>I48+J47</f>
        <v/>
      </c>
      <c r="K48" s="35">
        <f>J48+K47</f>
        <v/>
      </c>
      <c r="L48" s="35">
        <f>K48+L47</f>
        <v/>
      </c>
      <c r="M48" s="35">
        <f>L48+M47</f>
        <v/>
      </c>
      <c r="N48" s="35">
        <f>M48+N47</f>
        <v/>
      </c>
      <c r="O48" s="35">
        <f>N48+O47</f>
        <v/>
      </c>
      <c r="P48" s="35">
        <f>O48+P47</f>
        <v/>
      </c>
      <c r="Q48" s="35">
        <f>P48+Q47</f>
        <v/>
      </c>
      <c r="R48" s="35">
        <f>Q48+R47</f>
        <v/>
      </c>
      <c r="S48" s="35">
        <f>R48+S47</f>
        <v/>
      </c>
      <c r="T48" s="35">
        <f>S48+T47</f>
        <v/>
      </c>
      <c r="U48" s="35">
        <f>T48+U47</f>
        <v/>
      </c>
      <c r="V48" s="35">
        <f>U48+V47</f>
        <v/>
      </c>
      <c r="W48" s="35">
        <f>V48+W47</f>
        <v/>
      </c>
      <c r="X48" s="35">
        <f>W48+X47</f>
        <v/>
      </c>
      <c r="Y48" s="35">
        <f>X48+Y47</f>
        <v/>
      </c>
      <c r="Z48" s="35">
        <f>Y48+Z47</f>
        <v/>
      </c>
    </row>
    <row r="50">
      <c r="B50" s="25" t="inlineStr">
        <is>
          <t>ד. תוצאות</t>
        </is>
      </c>
    </row>
    <row r="51">
      <c r="B51" s="36" t="inlineStr">
        <is>
          <t>NPV ללא תמריץ</t>
        </is>
      </c>
      <c r="C51" s="9" t="inlineStr">
        <is>
          <t>ש"ח</t>
        </is>
      </c>
      <c r="F51" s="34">
        <f>SUM(F44:Z44)</f>
        <v/>
      </c>
    </row>
    <row r="52">
      <c r="B52" s="37" t="inlineStr">
        <is>
          <t>NPV עם תמריץ</t>
        </is>
      </c>
      <c r="C52" s="9" t="inlineStr">
        <is>
          <t>ש"ח</t>
        </is>
      </c>
      <c r="F52" s="35">
        <f>SUM(F47:Z47)</f>
        <v/>
      </c>
    </row>
    <row r="53">
      <c r="B53" s="38" t="inlineStr">
        <is>
          <t>דלתא NPV — ערך התמריץ</t>
        </is>
      </c>
      <c r="C53" s="9" t="inlineStr">
        <is>
          <t>ש"ח</t>
        </is>
      </c>
      <c r="F53" s="39">
        <f>F52-F51</f>
        <v/>
      </c>
    </row>
    <row r="55">
      <c r="B55" s="36" t="inlineStr">
        <is>
          <t>ROI ללא תמריץ</t>
        </is>
      </c>
      <c r="C55" s="9" t="inlineStr">
        <is>
          <t>%</t>
        </is>
      </c>
      <c r="F55" s="40">
        <f>IF(ISNUMBER($F$23),(SUM(F44:Z44)+$F$23)/$F$23,"PENDING")</f>
        <v/>
      </c>
    </row>
    <row r="56">
      <c r="B56" s="37" t="inlineStr">
        <is>
          <t>ROI עם תמריץ</t>
        </is>
      </c>
      <c r="C56" s="9" t="inlineStr">
        <is>
          <t>%</t>
        </is>
      </c>
      <c r="F56" s="41">
        <f>IF(ISNUMBER($F$23),(SUM(F47:Z47)+$F$23)/$F$23,"PENDING")</f>
        <v/>
      </c>
    </row>
    <row r="57">
      <c r="B57" s="38" t="inlineStr">
        <is>
          <t>שיפור ROI בזכות התמריץ</t>
        </is>
      </c>
      <c r="C57" s="9" t="inlineStr">
        <is>
          <t>%</t>
        </is>
      </c>
      <c r="F57" s="11">
        <f>IF(ISNUMBER(F56),F56-F55,"PENDING")</f>
        <v/>
      </c>
    </row>
    <row r="59">
      <c r="B59" s="36" t="inlineStr">
        <is>
          <t>תקופת החזר — ללא תמריץ (NPV)</t>
        </is>
      </c>
      <c r="C59" s="9" t="inlineStr">
        <is>
          <t>שנים</t>
        </is>
      </c>
      <c r="F59" s="42">
        <f>IFERROR(MATCH(1,(F45:Z45&gt;0)*1,0)-2+ABS(INDEX(F45:Z45,MATCH(1,(F45:Z45&gt;0)*1,0)-1))/(INDEX(F45:Z45,MATCH(1,(F45:Z45&gt;0)*1,0))-INDEX(F45:Z45,MATCH(1,(F45:Z45&gt;0)*1,0)-1)),"לא מגיע לפירעון")</f>
        <v/>
      </c>
    </row>
    <row r="60">
      <c r="B60" s="37" t="inlineStr">
        <is>
          <t>תקופת החזר — עם תמריץ (NPV)</t>
        </is>
      </c>
      <c r="C60" s="9" t="inlineStr">
        <is>
          <t>שנים</t>
        </is>
      </c>
      <c r="F60" s="43">
        <f>IFERROR(MATCH(1,(F48:Z48&gt;0)*1,0)-2+ABS(INDEX(F48:Z48,MATCH(1,(F48:Z48&gt;0)*1,0)-1))/(INDEX(F48:Z48,MATCH(1,(F48:Z48&gt;0)*1,0))-INDEX(F48:Z48,MATCH(1,(F48:Z48&gt;0)*1,0)-1)),"לא מגיע לפירעון")</f>
        <v/>
      </c>
    </row>
    <row r="61">
      <c r="B61" s="23" t="inlineStr">
        <is>
          <t>* תקופת ההחזר מחושבת לפי נקודת הקרוסאובר של ה-NPV המצטבר (אינטרפולציה לינארית)</t>
        </is>
      </c>
    </row>
    <row r="64">
      <c r="B64" s="24" t="inlineStr">
        <is>
          <t>3.2  צ'ילרים</t>
        </is>
      </c>
    </row>
    <row r="65">
      <c r="B65" s="23" t="inlineStr">
        <is>
          <t>* שדרוג מערכת קירור תעשייתית | חיסכון ~20% | אורך חיים: 15-20 שנה</t>
        </is>
      </c>
    </row>
    <row r="66">
      <c r="B66" s="25" t="inlineStr">
        <is>
          <t>א. הנחות בסיסיות להשקעה</t>
        </is>
      </c>
    </row>
    <row r="67">
      <c r="B67" s="18" t="inlineStr">
        <is>
          <t>עלות השקעה (CapEx)</t>
        </is>
      </c>
      <c r="C67" s="9" t="inlineStr">
        <is>
          <t>₪</t>
        </is>
      </c>
      <c r="D67" s="9" t="inlineStr">
        <is>
          <t>נתוני רפי</t>
        </is>
      </c>
      <c r="E67" s="26" t="inlineStr">
        <is>
          <t>⚠ ממתין לנתוני ראש המהנדסים</t>
        </is>
      </c>
      <c r="F67" s="27" t="inlineStr">
        <is>
          <t>PENDING</t>
        </is>
      </c>
    </row>
    <row r="68">
      <c r="B68" s="18" t="inlineStr">
        <is>
          <t>צריכת אנרגיה שנתית (לפני החלפה)</t>
        </is>
      </c>
      <c r="C68" s="9" t="inlineStr">
        <is>
          <t>קוט"ש/שנה</t>
        </is>
      </c>
      <c r="D68" s="9" t="inlineStr">
        <is>
          <t>נתוני רפי</t>
        </is>
      </c>
      <c r="E68" s="26" t="inlineStr">
        <is>
          <t>⚠ ממתין לנתוני ראש המהנדסים</t>
        </is>
      </c>
      <c r="F68" s="27" t="inlineStr">
        <is>
          <t>PENDING</t>
        </is>
      </c>
    </row>
    <row r="69">
      <c r="B69" s="18" t="inlineStr">
        <is>
          <t>חיסכון אנרגטי</t>
        </is>
      </c>
      <c r="C69" s="9" t="inlineStr">
        <is>
          <t>% מצריכה</t>
        </is>
      </c>
      <c r="D69" s="9" t="inlineStr">
        <is>
          <t>ממצאי הנדסה</t>
        </is>
      </c>
      <c r="F69" s="10" t="n">
        <v>0.2</v>
      </c>
    </row>
    <row r="70">
      <c r="B70" s="18" t="inlineStr">
        <is>
          <t>חיסכון שנתי בסיסי</t>
        </is>
      </c>
      <c r="C70" s="9" t="inlineStr">
        <is>
          <t>קוט"ש/שנה</t>
        </is>
      </c>
      <c r="D70" s="9" t="inlineStr">
        <is>
          <t>חישוב</t>
        </is>
      </c>
      <c r="E70" s="9">
        <f> צריכה × שיעור חיסכון</f>
        <v/>
      </c>
      <c r="F70" s="28">
        <f>IF(ISNUMBER($F$68),$F$68*$F$69,"PENDING")</f>
        <v/>
      </c>
    </row>
    <row r="71">
      <c r="B71" s="18" t="inlineStr">
        <is>
          <t>גורם שחיקת ביצועים</t>
        </is>
      </c>
      <c r="C71" s="9" t="inlineStr">
        <is>
          <t>% לשנה</t>
        </is>
      </c>
      <c r="D71" s="9" t="inlineStr">
        <is>
          <t>הנחת עבודה</t>
        </is>
      </c>
      <c r="E71" s="26" t="inlineStr">
        <is>
          <t>ירידה שנתית בחיסכון | טווח: 0.5%-1.0%/שנה — לאשר מול רפי</t>
        </is>
      </c>
      <c r="F71" s="11" t="n">
        <v>0.005</v>
      </c>
    </row>
    <row r="72">
      <c r="B72" s="18" t="inlineStr">
        <is>
          <t>אורך חיי הציוד (כלכלי)</t>
        </is>
      </c>
      <c r="C72" s="9" t="inlineStr">
        <is>
          <t>שנים</t>
        </is>
      </c>
      <c r="D72" s="9" t="inlineStr">
        <is>
          <t>ממצאי הנדסה</t>
        </is>
      </c>
      <c r="F72" s="29" t="n">
        <v>17</v>
      </c>
    </row>
    <row r="73">
      <c r="B73" s="18" t="inlineStr">
        <is>
          <t>מחיר חשמל</t>
        </is>
      </c>
      <c r="C73" s="9" t="inlineStr">
        <is>
          <t>₪/קוט"ש</t>
        </is>
      </c>
      <c r="D73" s="9" t="inlineStr">
        <is>
          <t>גיליון הנחות</t>
        </is>
      </c>
      <c r="F73" s="30">
        <f>'נתונים והנחות'!$F$12/100</f>
        <v/>
      </c>
    </row>
    <row r="74">
      <c r="B74" s="18" t="inlineStr">
        <is>
          <t>חיסכון שנתי בסיסי (₪, שנה 1)</t>
        </is>
      </c>
      <c r="C74" s="9" t="inlineStr">
        <is>
          <t>₪/שנה</t>
        </is>
      </c>
      <c r="D74" s="9" t="inlineStr">
        <is>
          <t>חישוב</t>
        </is>
      </c>
      <c r="E74" s="9">
        <f> חיסכון קוט"ש × מחיר חשמל</f>
        <v/>
      </c>
      <c r="F74" s="31">
        <f>IF(ISNUMBER($F$70),$F$70*$F$73,"PENDING")</f>
        <v/>
      </c>
    </row>
    <row r="76">
      <c r="B76" s="25" t="inlineStr">
        <is>
          <t>ב. לוחות פחת — השוואה (ללא תמריץ vs. עם מכפיל)</t>
        </is>
      </c>
    </row>
    <row r="77">
      <c r="B77" s="32" t="inlineStr">
        <is>
          <t>פרמטר</t>
        </is>
      </c>
      <c r="C77" s="32" t="inlineStr">
        <is>
          <t>יחידות</t>
        </is>
      </c>
      <c r="D77" s="32" t="inlineStr">
        <is>
          <t>מקור</t>
        </is>
      </c>
      <c r="E77" s="32" t="inlineStr">
        <is>
          <t>הערות</t>
        </is>
      </c>
      <c r="F77" s="32" t="inlineStr">
        <is>
          <t>שנה 0 (השקעה)</t>
        </is>
      </c>
      <c r="G77" s="32" t="inlineStr">
        <is>
          <t>שנה 1</t>
        </is>
      </c>
      <c r="H77" s="32" t="inlineStr">
        <is>
          <t>שנה 2</t>
        </is>
      </c>
      <c r="I77" s="32" t="inlineStr">
        <is>
          <t>שנה 3</t>
        </is>
      </c>
      <c r="J77" s="32" t="inlineStr">
        <is>
          <t>שנה 4</t>
        </is>
      </c>
      <c r="K77" s="32" t="inlineStr">
        <is>
          <t>שנה 5</t>
        </is>
      </c>
      <c r="L77" s="32" t="inlineStr">
        <is>
          <t>שנה 6</t>
        </is>
      </c>
      <c r="M77" s="32" t="inlineStr">
        <is>
          <t>שנה 7</t>
        </is>
      </c>
      <c r="N77" s="32" t="inlineStr">
        <is>
          <t>שנה 8</t>
        </is>
      </c>
      <c r="O77" s="32" t="inlineStr">
        <is>
          <t>שנה 9</t>
        </is>
      </c>
      <c r="P77" s="32" t="inlineStr">
        <is>
          <t>שנה 10</t>
        </is>
      </c>
      <c r="Q77" s="32" t="inlineStr">
        <is>
          <t>שנה 11</t>
        </is>
      </c>
      <c r="R77" s="32" t="inlineStr">
        <is>
          <t>שנה 12</t>
        </is>
      </c>
      <c r="S77" s="32" t="inlineStr">
        <is>
          <t>שנה 13</t>
        </is>
      </c>
      <c r="T77" s="32" t="inlineStr">
        <is>
          <t>שנה 14</t>
        </is>
      </c>
      <c r="U77" s="32" t="inlineStr">
        <is>
          <t>שנה 15</t>
        </is>
      </c>
      <c r="V77" s="32" t="inlineStr">
        <is>
          <t>שנה 16</t>
        </is>
      </c>
      <c r="W77" s="32" t="inlineStr">
        <is>
          <t>שנה 17</t>
        </is>
      </c>
      <c r="X77" s="32" t="inlineStr">
        <is>
          <t>שנה 18</t>
        </is>
      </c>
      <c r="Y77" s="32" t="inlineStr">
        <is>
          <t>שנה 19</t>
        </is>
      </c>
      <c r="Z77" s="32" t="inlineStr">
        <is>
          <t>שנה 20</t>
        </is>
      </c>
    </row>
    <row r="78">
      <c r="B78" s="4" t="inlineStr">
        <is>
          <t>פחת שנתי — סטנדרטי</t>
        </is>
      </c>
      <c r="C78" s="9" t="inlineStr">
        <is>
          <t>₪</t>
        </is>
      </c>
      <c r="D78" s="9" t="inlineStr">
        <is>
          <t>חישוב</t>
        </is>
      </c>
      <c r="E78" s="9">
        <f> CapEx × 10% | קו ישר | עד שנה 10</f>
        <v/>
      </c>
      <c r="F78" s="33" t="n">
        <v>0</v>
      </c>
      <c r="G78" s="33">
        <f>IF(ISNUMBER($F$67),$F$67*0.1,0)</f>
        <v/>
      </c>
      <c r="H78" s="33">
        <f>IF(ISNUMBER($F$67),$F$67*0.1,0)</f>
        <v/>
      </c>
      <c r="I78" s="33">
        <f>IF(ISNUMBER($F$67),$F$67*0.1,0)</f>
        <v/>
      </c>
      <c r="J78" s="33">
        <f>IF(ISNUMBER($F$67),$F$67*0.1,0)</f>
        <v/>
      </c>
      <c r="K78" s="33">
        <f>IF(ISNUMBER($F$67),$F$67*0.1,0)</f>
        <v/>
      </c>
      <c r="L78" s="33">
        <f>IF(ISNUMBER($F$67),$F$67*0.1,0)</f>
        <v/>
      </c>
      <c r="M78" s="33">
        <f>IF(ISNUMBER($F$67),$F$67*0.1,0)</f>
        <v/>
      </c>
      <c r="N78" s="33">
        <f>IF(ISNUMBER($F$67),$F$67*0.1,0)</f>
        <v/>
      </c>
      <c r="O78" s="33">
        <f>IF(ISNUMBER($F$67),$F$67*0.1,0)</f>
        <v/>
      </c>
      <c r="P78" s="33">
        <f>IF(ISNUMBER($F$67),$F$67*0.1,0)</f>
        <v/>
      </c>
      <c r="Q78" s="33">
        <f>0</f>
        <v/>
      </c>
      <c r="R78" s="33">
        <f>0</f>
        <v/>
      </c>
      <c r="S78" s="33">
        <f>0</f>
        <v/>
      </c>
      <c r="T78" s="33">
        <f>0</f>
        <v/>
      </c>
      <c r="U78" s="33">
        <f>0</f>
        <v/>
      </c>
      <c r="V78" s="33">
        <f>0</f>
        <v/>
      </c>
      <c r="W78" s="33">
        <f>0</f>
        <v/>
      </c>
      <c r="X78" s="33">
        <f>0</f>
        <v/>
      </c>
      <c r="Y78" s="33">
        <f>0</f>
        <v/>
      </c>
      <c r="Z78" s="33">
        <f>0</f>
        <v/>
      </c>
    </row>
    <row r="79">
      <c r="B79" s="5" t="inlineStr">
        <is>
          <t>מגן מס — סטנדרטי</t>
        </is>
      </c>
      <c r="C79" s="9" t="inlineStr">
        <is>
          <t>₪</t>
        </is>
      </c>
      <c r="D79" s="9" t="inlineStr">
        <is>
          <t>חישוב</t>
        </is>
      </c>
      <c r="E79" s="9">
        <f> פחת × שיעור מס</f>
        <v/>
      </c>
      <c r="F79" s="34" t="n">
        <v>0</v>
      </c>
      <c r="G79" s="34">
        <f>G78*'נתונים והנחות'!$F$10</f>
        <v/>
      </c>
      <c r="H79" s="34">
        <f>H78*'נתונים והנחות'!$F$10</f>
        <v/>
      </c>
      <c r="I79" s="34">
        <f>I78*'נתונים והנחות'!$F$10</f>
        <v/>
      </c>
      <c r="J79" s="34">
        <f>J78*'נתונים והנחות'!$F$10</f>
        <v/>
      </c>
      <c r="K79" s="34">
        <f>K78*'נתונים והנחות'!$F$10</f>
        <v/>
      </c>
      <c r="L79" s="34">
        <f>L78*'נתונים והנחות'!$F$10</f>
        <v/>
      </c>
      <c r="M79" s="34">
        <f>M78*'נתונים והנחות'!$F$10</f>
        <v/>
      </c>
      <c r="N79" s="34">
        <f>N78*'נתונים והנחות'!$F$10</f>
        <v/>
      </c>
      <c r="O79" s="34">
        <f>O78*'נתונים והנחות'!$F$10</f>
        <v/>
      </c>
      <c r="P79" s="34">
        <f>P78*'נתונים והנחות'!$F$10</f>
        <v/>
      </c>
      <c r="Q79" s="34">
        <f>Q78*'נתונים והנחות'!$F$10</f>
        <v/>
      </c>
      <c r="R79" s="34">
        <f>R78*'נתונים והנחות'!$F$10</f>
        <v/>
      </c>
      <c r="S79" s="34">
        <f>S78*'נתונים והנחות'!$F$10</f>
        <v/>
      </c>
      <c r="T79" s="34">
        <f>T78*'נתונים והנחות'!$F$10</f>
        <v/>
      </c>
      <c r="U79" s="34">
        <f>U78*'נתונים והנחות'!$F$10</f>
        <v/>
      </c>
      <c r="V79" s="34">
        <f>V78*'נתונים והנחות'!$F$10</f>
        <v/>
      </c>
      <c r="W79" s="34">
        <f>W78*'נתונים והנחות'!$F$10</f>
        <v/>
      </c>
      <c r="X79" s="34">
        <f>X78*'נתונים והנחות'!$F$10</f>
        <v/>
      </c>
      <c r="Y79" s="34">
        <f>Y78*'נתונים והנחות'!$F$10</f>
        <v/>
      </c>
      <c r="Z79" s="34">
        <f>Z78*'נתונים והנחות'!$F$10</f>
        <v/>
      </c>
    </row>
    <row r="80">
      <c r="B80" s="6" t="inlineStr">
        <is>
          <t>פחת שנתי — מואץ</t>
        </is>
      </c>
      <c r="C80" s="9" t="inlineStr">
        <is>
          <t>₪</t>
        </is>
      </c>
      <c r="D80" s="9" t="inlineStr">
        <is>
          <t>חישוב</t>
        </is>
      </c>
      <c r="E80" s="9">
        <f> CapEx × (שיעור סטנדרטי × מכפיל) | תקופה = 1 ÷ שיעור מואץ</f>
        <v/>
      </c>
      <c r="F80" s="35" t="n">
        <v>0</v>
      </c>
      <c r="G80" s="35">
        <f>IF(ISNUMBER($F$67),IF(1&lt;=ROUND(1/(0.1*'נתונים והנחות'!$F$15),0),$F$67*0.1*'נתונים והנחות'!$F$15,0),0)</f>
        <v/>
      </c>
      <c r="H80" s="35">
        <f>IF(ISNUMBER($F$67),IF(2&lt;=ROUND(1/(0.1*'נתונים והנחות'!$F$15),0),$F$67*0.1*'נתונים והנחות'!$F$15,0),0)</f>
        <v/>
      </c>
      <c r="I80" s="35">
        <f>IF(ISNUMBER($F$67),IF(3&lt;=ROUND(1/(0.1*'נתונים והנחות'!$F$15),0),$F$67*0.1*'נתונים והנחות'!$F$15,0),0)</f>
        <v/>
      </c>
      <c r="J80" s="35">
        <f>IF(ISNUMBER($F$67),IF(4&lt;=ROUND(1/(0.1*'נתונים והנחות'!$F$15),0),$F$67*0.1*'נתונים והנחות'!$F$15,0),0)</f>
        <v/>
      </c>
      <c r="K80" s="35">
        <f>IF(ISNUMBER($F$67),IF(5&lt;=ROUND(1/(0.1*'נתונים והנחות'!$F$15),0),$F$67*0.1*'נתונים והנחות'!$F$15,0),0)</f>
        <v/>
      </c>
      <c r="L80" s="35">
        <f>IF(ISNUMBER($F$67),IF(6&lt;=ROUND(1/(0.1*'נתונים והנחות'!$F$15),0),$F$67*0.1*'נתונים והנחות'!$F$15,0),0)</f>
        <v/>
      </c>
      <c r="M80" s="35">
        <f>IF(ISNUMBER($F$67),IF(7&lt;=ROUND(1/(0.1*'נתונים והנחות'!$F$15),0),$F$67*0.1*'נתונים והנחות'!$F$15,0),0)</f>
        <v/>
      </c>
      <c r="N80" s="35">
        <f>IF(ISNUMBER($F$67),IF(8&lt;=ROUND(1/(0.1*'נתונים והנחות'!$F$15),0),$F$67*0.1*'נתונים והנחות'!$F$15,0),0)</f>
        <v/>
      </c>
      <c r="O80" s="35">
        <f>IF(ISNUMBER($F$67),IF(9&lt;=ROUND(1/(0.1*'נתונים והנחות'!$F$15),0),$F$67*0.1*'נתונים והנחות'!$F$15,0),0)</f>
        <v/>
      </c>
      <c r="P80" s="35">
        <f>IF(ISNUMBER($F$67),IF(10&lt;=ROUND(1/(0.1*'נתונים והנחות'!$F$15),0),$F$67*0.1*'נתונים והנחות'!$F$15,0),0)</f>
        <v/>
      </c>
      <c r="Q80" s="35">
        <f>IF(ISNUMBER($F$67),IF(11&lt;=ROUND(1/(0.1*'נתונים והנחות'!$F$15),0),$F$67*0.1*'נתונים והנחות'!$F$15,0),0)</f>
        <v/>
      </c>
      <c r="R80" s="35">
        <f>IF(ISNUMBER($F$67),IF(12&lt;=ROUND(1/(0.1*'נתונים והנחות'!$F$15),0),$F$67*0.1*'נתונים והנחות'!$F$15,0),0)</f>
        <v/>
      </c>
      <c r="S80" s="35">
        <f>IF(ISNUMBER($F$67),IF(13&lt;=ROUND(1/(0.1*'נתונים והנחות'!$F$15),0),$F$67*0.1*'נתונים והנחות'!$F$15,0),0)</f>
        <v/>
      </c>
      <c r="T80" s="35">
        <f>IF(ISNUMBER($F$67),IF(14&lt;=ROUND(1/(0.1*'נתונים והנחות'!$F$15),0),$F$67*0.1*'נתונים והנחות'!$F$15,0),0)</f>
        <v/>
      </c>
      <c r="U80" s="35">
        <f>IF(ISNUMBER($F$67),IF(15&lt;=ROUND(1/(0.1*'נתונים והנחות'!$F$15),0),$F$67*0.1*'נתונים והנחות'!$F$15,0),0)</f>
        <v/>
      </c>
      <c r="V80" s="35">
        <f>IF(ISNUMBER($F$67),IF(16&lt;=ROUND(1/(0.1*'נתונים והנחות'!$F$15),0),$F$67*0.1*'נתונים והנחות'!$F$15,0),0)</f>
        <v/>
      </c>
      <c r="W80" s="35">
        <f>IF(ISNUMBER($F$67),IF(17&lt;=ROUND(1/(0.1*'נתונים והנחות'!$F$15),0),$F$67*0.1*'נתונים והנחות'!$F$15,0),0)</f>
        <v/>
      </c>
      <c r="X80" s="35">
        <f>IF(ISNUMBER($F$67),IF(18&lt;=ROUND(1/(0.1*'נתונים והנחות'!$F$15),0),$F$67*0.1*'נתונים והנחות'!$F$15,0),0)</f>
        <v/>
      </c>
      <c r="Y80" s="35">
        <f>IF(ISNUMBER($F$67),IF(19&lt;=ROUND(1/(0.1*'נתונים והנחות'!$F$15),0),$F$67*0.1*'נתונים והנחות'!$F$15,0),0)</f>
        <v/>
      </c>
      <c r="Z80" s="35">
        <f>IF(ISNUMBER($F$67),IF(20&lt;=ROUND(1/(0.1*'נתונים והנחות'!$F$15),0),$F$67*0.1*'נתונים והנחות'!$F$15,0),0)</f>
        <v/>
      </c>
    </row>
    <row r="81">
      <c r="B81" s="6" t="inlineStr">
        <is>
          <t>מגן מס — מואץ</t>
        </is>
      </c>
      <c r="C81" s="9" t="inlineStr">
        <is>
          <t>₪</t>
        </is>
      </c>
      <c r="D81" s="9" t="inlineStr">
        <is>
          <t>חישוב</t>
        </is>
      </c>
      <c r="E81" s="9">
        <f> פחת מואץ × שיעור מס</f>
        <v/>
      </c>
      <c r="F81" s="35" t="n">
        <v>0</v>
      </c>
      <c r="G81" s="35">
        <f>G80*'נתונים והנחות'!$F$10</f>
        <v/>
      </c>
      <c r="H81" s="35">
        <f>H80*'נתונים והנחות'!$F$10</f>
        <v/>
      </c>
      <c r="I81" s="35">
        <f>I80*'נתונים והנחות'!$F$10</f>
        <v/>
      </c>
      <c r="J81" s="35">
        <f>J80*'נתונים והנחות'!$F$10</f>
        <v/>
      </c>
      <c r="K81" s="35">
        <f>K80*'נתונים והנחות'!$F$10</f>
        <v/>
      </c>
      <c r="L81" s="35">
        <f>L80*'נתונים והנחות'!$F$10</f>
        <v/>
      </c>
      <c r="M81" s="35">
        <f>M80*'נתונים והנחות'!$F$10</f>
        <v/>
      </c>
      <c r="N81" s="35">
        <f>N80*'נתונים והנחות'!$F$10</f>
        <v/>
      </c>
      <c r="O81" s="35">
        <f>O80*'נתונים והנחות'!$F$10</f>
        <v/>
      </c>
      <c r="P81" s="35">
        <f>P80*'נתונים והנחות'!$F$10</f>
        <v/>
      </c>
      <c r="Q81" s="35">
        <f>Q80*'נתונים והנחות'!$F$10</f>
        <v/>
      </c>
      <c r="R81" s="35">
        <f>R80*'נתונים והנחות'!$F$10</f>
        <v/>
      </c>
      <c r="S81" s="35">
        <f>S80*'נתונים והנחות'!$F$10</f>
        <v/>
      </c>
      <c r="T81" s="35">
        <f>T80*'נתונים והנחות'!$F$10</f>
        <v/>
      </c>
      <c r="U81" s="35">
        <f>U80*'נתונים והנחות'!$F$10</f>
        <v/>
      </c>
      <c r="V81" s="35">
        <f>V80*'נתונים והנחות'!$F$10</f>
        <v/>
      </c>
      <c r="W81" s="35">
        <f>W80*'נתונים והנחות'!$F$10</f>
        <v/>
      </c>
      <c r="X81" s="35">
        <f>X80*'נתונים והנחות'!$F$10</f>
        <v/>
      </c>
      <c r="Y81" s="35">
        <f>Y80*'נתונים והנחות'!$F$10</f>
        <v/>
      </c>
      <c r="Z81" s="35">
        <f>Z80*'נתונים והנחות'!$F$10</f>
        <v/>
      </c>
    </row>
    <row r="83">
      <c r="B83" s="25" t="inlineStr">
        <is>
          <t>ג. ניתוח תזרים מזומנים</t>
        </is>
      </c>
    </row>
    <row r="84">
      <c r="B84" s="32" t="inlineStr">
        <is>
          <t>פרמטר</t>
        </is>
      </c>
      <c r="C84" s="32" t="inlineStr">
        <is>
          <t>יחידות</t>
        </is>
      </c>
      <c r="D84" s="32" t="inlineStr">
        <is>
          <t>מקור</t>
        </is>
      </c>
      <c r="E84" s="32" t="inlineStr">
        <is>
          <t>הערות</t>
        </is>
      </c>
      <c r="F84" s="32" t="inlineStr">
        <is>
          <t>שנה 0 (השקעה)</t>
        </is>
      </c>
      <c r="G84" s="32" t="inlineStr">
        <is>
          <t>שנה 1</t>
        </is>
      </c>
      <c r="H84" s="32" t="inlineStr">
        <is>
          <t>שנה 2</t>
        </is>
      </c>
      <c r="I84" s="32" t="inlineStr">
        <is>
          <t>שנה 3</t>
        </is>
      </c>
      <c r="J84" s="32" t="inlineStr">
        <is>
          <t>שנה 4</t>
        </is>
      </c>
      <c r="K84" s="32" t="inlineStr">
        <is>
          <t>שנה 5</t>
        </is>
      </c>
      <c r="L84" s="32" t="inlineStr">
        <is>
          <t>שנה 6</t>
        </is>
      </c>
      <c r="M84" s="32" t="inlineStr">
        <is>
          <t>שנה 7</t>
        </is>
      </c>
      <c r="N84" s="32" t="inlineStr">
        <is>
          <t>שנה 8</t>
        </is>
      </c>
      <c r="O84" s="32" t="inlineStr">
        <is>
          <t>שנה 9</t>
        </is>
      </c>
      <c r="P84" s="32" t="inlineStr">
        <is>
          <t>שנה 10</t>
        </is>
      </c>
      <c r="Q84" s="32" t="inlineStr">
        <is>
          <t>שנה 11</t>
        </is>
      </c>
      <c r="R84" s="32" t="inlineStr">
        <is>
          <t>שנה 12</t>
        </is>
      </c>
      <c r="S84" s="32" t="inlineStr">
        <is>
          <t>שנה 13</t>
        </is>
      </c>
      <c r="T84" s="32" t="inlineStr">
        <is>
          <t>שנה 14</t>
        </is>
      </c>
      <c r="U84" s="32" t="inlineStr">
        <is>
          <t>שנה 15</t>
        </is>
      </c>
      <c r="V84" s="32" t="inlineStr">
        <is>
          <t>שנה 16</t>
        </is>
      </c>
      <c r="W84" s="32" t="inlineStr">
        <is>
          <t>שנה 17</t>
        </is>
      </c>
      <c r="X84" s="32" t="inlineStr">
        <is>
          <t>שנה 18</t>
        </is>
      </c>
      <c r="Y84" s="32" t="inlineStr">
        <is>
          <t>שנה 19</t>
        </is>
      </c>
      <c r="Z84" s="32" t="inlineStr">
        <is>
          <t>שנה 20</t>
        </is>
      </c>
    </row>
    <row r="85">
      <c r="B85" s="4" t="inlineStr">
        <is>
          <t>השקעה ראשונית (CapEx)</t>
        </is>
      </c>
      <c r="C85" s="9" t="inlineStr">
        <is>
          <t>₪</t>
        </is>
      </c>
      <c r="D85" s="9" t="inlineStr">
        <is>
          <t>חישוב</t>
        </is>
      </c>
      <c r="F85" s="31">
        <f>IF(ISNUMBER($F$67),-$F$67,"PENDING")</f>
        <v/>
      </c>
    </row>
    <row r="86">
      <c r="B86" s="4" t="inlineStr">
        <is>
          <t>חיסכון שנתי — אנרגיה (בניכוי שחיקה)</t>
        </is>
      </c>
      <c r="C86" s="9" t="inlineStr">
        <is>
          <t>₪</t>
        </is>
      </c>
      <c r="D86" s="9" t="inlineStr">
        <is>
          <t>חישוב</t>
        </is>
      </c>
      <c r="F86" s="31" t="n">
        <v>0</v>
      </c>
      <c r="G86" s="31">
        <f>IF(ISNUMBER($F$74),$F$74*(1-$F$71)^0,0)</f>
        <v/>
      </c>
      <c r="H86" s="31">
        <f>IF(ISNUMBER($F$74),$F$74*(1-$F$71)^1,0)</f>
        <v/>
      </c>
      <c r="I86" s="31">
        <f>IF(ISNUMBER($F$74),$F$74*(1-$F$71)^2,0)</f>
        <v/>
      </c>
      <c r="J86" s="31">
        <f>IF(ISNUMBER($F$74),$F$74*(1-$F$71)^3,0)</f>
        <v/>
      </c>
      <c r="K86" s="31">
        <f>IF(ISNUMBER($F$74),$F$74*(1-$F$71)^4,0)</f>
        <v/>
      </c>
      <c r="L86" s="31">
        <f>IF(ISNUMBER($F$74),$F$74*(1-$F$71)^5,0)</f>
        <v/>
      </c>
      <c r="M86" s="31">
        <f>IF(ISNUMBER($F$74),$F$74*(1-$F$71)^6,0)</f>
        <v/>
      </c>
      <c r="N86" s="31">
        <f>IF(ISNUMBER($F$74),$F$74*(1-$F$71)^7,0)</f>
        <v/>
      </c>
      <c r="O86" s="31">
        <f>IF(ISNUMBER($F$74),$F$74*(1-$F$71)^8,0)</f>
        <v/>
      </c>
      <c r="P86" s="31">
        <f>IF(ISNUMBER($F$74),$F$74*(1-$F$71)^9,0)</f>
        <v/>
      </c>
      <c r="Q86" s="31">
        <f>IF(ISNUMBER($F$74),$F$74*(1-$F$71)^10,0)</f>
        <v/>
      </c>
      <c r="R86" s="31">
        <f>IF(ISNUMBER($F$74),$F$74*(1-$F$71)^11,0)</f>
        <v/>
      </c>
      <c r="S86" s="31">
        <f>IF(ISNUMBER($F$74),$F$74*(1-$F$71)^12,0)</f>
        <v/>
      </c>
      <c r="T86" s="31">
        <f>IF(ISNUMBER($F$74),$F$74*(1-$F$71)^13,0)</f>
        <v/>
      </c>
      <c r="U86" s="31">
        <f>IF(ISNUMBER($F$74),$F$74*(1-$F$71)^14,0)</f>
        <v/>
      </c>
      <c r="V86" s="31">
        <f>IF(ISNUMBER($F$74),$F$74*(1-$F$71)^15,0)</f>
        <v/>
      </c>
      <c r="W86" s="31">
        <f>IF(ISNUMBER($F$74),$F$74*(1-$F$71)^16,0)</f>
        <v/>
      </c>
      <c r="X86" s="31">
        <f>0</f>
        <v/>
      </c>
      <c r="Y86" s="31">
        <f>0</f>
        <v/>
      </c>
      <c r="Z86" s="31">
        <f>0</f>
        <v/>
      </c>
    </row>
    <row r="87">
      <c r="B87" s="4" t="inlineStr">
        <is>
          <t>תזרים נקי — ללא תמריץ</t>
        </is>
      </c>
      <c r="C87" s="9" t="inlineStr">
        <is>
          <t>₪</t>
        </is>
      </c>
      <c r="D87" s="9" t="inlineStr">
        <is>
          <t>חישוב</t>
        </is>
      </c>
      <c r="F87" s="31" t="n">
        <v>0</v>
      </c>
      <c r="G87" s="31">
        <f>G86+G79</f>
        <v/>
      </c>
      <c r="H87" s="31">
        <f>H86+H79</f>
        <v/>
      </c>
      <c r="I87" s="31">
        <f>I86+I79</f>
        <v/>
      </c>
      <c r="J87" s="31">
        <f>J86+J79</f>
        <v/>
      </c>
      <c r="K87" s="31">
        <f>K86+K79</f>
        <v/>
      </c>
      <c r="L87" s="31">
        <f>L86+L79</f>
        <v/>
      </c>
      <c r="M87" s="31">
        <f>M86+M79</f>
        <v/>
      </c>
      <c r="N87" s="31">
        <f>N86+N79</f>
        <v/>
      </c>
      <c r="O87" s="31">
        <f>O86+O79</f>
        <v/>
      </c>
      <c r="P87" s="31">
        <f>P86+P79</f>
        <v/>
      </c>
      <c r="Q87" s="31">
        <f>Q86+Q79</f>
        <v/>
      </c>
      <c r="R87" s="31">
        <f>R86+R79</f>
        <v/>
      </c>
      <c r="S87" s="31">
        <f>S86+S79</f>
        <v/>
      </c>
      <c r="T87" s="31">
        <f>T86+T79</f>
        <v/>
      </c>
      <c r="U87" s="31">
        <f>U86+U79</f>
        <v/>
      </c>
      <c r="V87" s="31">
        <f>V86+V79</f>
        <v/>
      </c>
      <c r="W87" s="31">
        <f>W86+W79</f>
        <v/>
      </c>
      <c r="X87" s="31">
        <f>X86+X79</f>
        <v/>
      </c>
      <c r="Y87" s="31">
        <f>Y86+Y79</f>
        <v/>
      </c>
      <c r="Z87" s="31">
        <f>Z86+Z79</f>
        <v/>
      </c>
    </row>
    <row r="88">
      <c r="B88" s="5" t="inlineStr">
        <is>
          <t>תזרים מהוון — ללא תמריץ</t>
        </is>
      </c>
      <c r="C88" s="9" t="inlineStr">
        <is>
          <t>₪</t>
        </is>
      </c>
      <c r="D88" s="9" t="inlineStr">
        <is>
          <t>חישוב</t>
        </is>
      </c>
      <c r="F88" s="34">
        <f>F87</f>
        <v/>
      </c>
      <c r="G88" s="34">
        <f>G87/(1+'נתונים והנחות'!$F$11)^1</f>
        <v/>
      </c>
      <c r="H88" s="34">
        <f>H87/(1+'נתונים והנחות'!$F$11)^2</f>
        <v/>
      </c>
      <c r="I88" s="34">
        <f>I87/(1+'נתונים והנחות'!$F$11)^3</f>
        <v/>
      </c>
      <c r="J88" s="34">
        <f>J87/(1+'נתונים והנחות'!$F$11)^4</f>
        <v/>
      </c>
      <c r="K88" s="34">
        <f>K87/(1+'נתונים והנחות'!$F$11)^5</f>
        <v/>
      </c>
      <c r="L88" s="34">
        <f>L87/(1+'נתונים והנחות'!$F$11)^6</f>
        <v/>
      </c>
      <c r="M88" s="34">
        <f>M87/(1+'נתונים והנחות'!$F$11)^7</f>
        <v/>
      </c>
      <c r="N88" s="34">
        <f>N87/(1+'נתונים והנחות'!$F$11)^8</f>
        <v/>
      </c>
      <c r="O88" s="34">
        <f>O87/(1+'נתונים והנחות'!$F$11)^9</f>
        <v/>
      </c>
      <c r="P88" s="34">
        <f>P87/(1+'נתונים והנחות'!$F$11)^10</f>
        <v/>
      </c>
      <c r="Q88" s="34">
        <f>Q87/(1+'נתונים והנחות'!$F$11)^11</f>
        <v/>
      </c>
      <c r="R88" s="34">
        <f>R87/(1+'נתונים והנחות'!$F$11)^12</f>
        <v/>
      </c>
      <c r="S88" s="34">
        <f>S87/(1+'נתונים והנחות'!$F$11)^13</f>
        <v/>
      </c>
      <c r="T88" s="34">
        <f>T87/(1+'נתונים והנחות'!$F$11)^14</f>
        <v/>
      </c>
      <c r="U88" s="34">
        <f>U87/(1+'נתונים והנחות'!$F$11)^15</f>
        <v/>
      </c>
      <c r="V88" s="34">
        <f>V87/(1+'נתונים והנחות'!$F$11)^16</f>
        <v/>
      </c>
      <c r="W88" s="34">
        <f>W87/(1+'נתונים והנחות'!$F$11)^17</f>
        <v/>
      </c>
      <c r="X88" s="34">
        <f>X87/(1+'נתונים והנחות'!$F$11)^18</f>
        <v/>
      </c>
      <c r="Y88" s="34">
        <f>Y87/(1+'נתונים והנחות'!$F$11)^19</f>
        <v/>
      </c>
      <c r="Z88" s="34">
        <f>Z87/(1+'נתונים והנחות'!$F$11)^20</f>
        <v/>
      </c>
    </row>
    <row r="89">
      <c r="B89" s="5" t="inlineStr">
        <is>
          <t>NPV מצטבר — ללא תמריץ</t>
        </is>
      </c>
      <c r="C89" s="9" t="inlineStr">
        <is>
          <t>₪</t>
        </is>
      </c>
      <c r="D89" s="9" t="inlineStr">
        <is>
          <t>חישוב</t>
        </is>
      </c>
      <c r="F89" s="34">
        <f>F88</f>
        <v/>
      </c>
      <c r="G89" s="34">
        <f>F89+G88</f>
        <v/>
      </c>
      <c r="H89" s="34">
        <f>G89+H88</f>
        <v/>
      </c>
      <c r="I89" s="34">
        <f>H89+I88</f>
        <v/>
      </c>
      <c r="J89" s="34">
        <f>I89+J88</f>
        <v/>
      </c>
      <c r="K89" s="34">
        <f>J89+K88</f>
        <v/>
      </c>
      <c r="L89" s="34">
        <f>K89+L88</f>
        <v/>
      </c>
      <c r="M89" s="34">
        <f>L89+M88</f>
        <v/>
      </c>
      <c r="N89" s="34">
        <f>M89+N88</f>
        <v/>
      </c>
      <c r="O89" s="34">
        <f>N89+O88</f>
        <v/>
      </c>
      <c r="P89" s="34">
        <f>O89+P88</f>
        <v/>
      </c>
      <c r="Q89" s="34">
        <f>P89+Q88</f>
        <v/>
      </c>
      <c r="R89" s="34">
        <f>Q89+R88</f>
        <v/>
      </c>
      <c r="S89" s="34">
        <f>R89+S88</f>
        <v/>
      </c>
      <c r="T89" s="34">
        <f>S89+T88</f>
        <v/>
      </c>
      <c r="U89" s="34">
        <f>T89+U88</f>
        <v/>
      </c>
      <c r="V89" s="34">
        <f>U89+V88</f>
        <v/>
      </c>
      <c r="W89" s="34">
        <f>V89+W88</f>
        <v/>
      </c>
      <c r="X89" s="34">
        <f>W89+X88</f>
        <v/>
      </c>
      <c r="Y89" s="34">
        <f>X89+Y88</f>
        <v/>
      </c>
      <c r="Z89" s="34">
        <f>Y89+Z88</f>
        <v/>
      </c>
    </row>
    <row r="90">
      <c r="B90" s="6" t="inlineStr">
        <is>
          <t>תזרים נקי — עם תמריץ</t>
        </is>
      </c>
      <c r="C90" s="9" t="inlineStr">
        <is>
          <t>₪</t>
        </is>
      </c>
      <c r="D90" s="9" t="inlineStr">
        <is>
          <t>חישוב</t>
        </is>
      </c>
      <c r="F90" s="31" t="n">
        <v>0</v>
      </c>
      <c r="G90" s="35">
        <f>G86+G81</f>
        <v/>
      </c>
      <c r="H90" s="35">
        <f>H86+H81</f>
        <v/>
      </c>
      <c r="I90" s="35">
        <f>I86+I81</f>
        <v/>
      </c>
      <c r="J90" s="35">
        <f>J86+J81</f>
        <v/>
      </c>
      <c r="K90" s="35">
        <f>K86+K81</f>
        <v/>
      </c>
      <c r="L90" s="35">
        <f>L86+L81</f>
        <v/>
      </c>
      <c r="M90" s="35">
        <f>M86+M81</f>
        <v/>
      </c>
      <c r="N90" s="35">
        <f>N86+N81</f>
        <v/>
      </c>
      <c r="O90" s="35">
        <f>O86+O81</f>
        <v/>
      </c>
      <c r="P90" s="35">
        <f>P86+P81</f>
        <v/>
      </c>
      <c r="Q90" s="35">
        <f>Q86+Q81</f>
        <v/>
      </c>
      <c r="R90" s="35">
        <f>R86+R81</f>
        <v/>
      </c>
      <c r="S90" s="35">
        <f>S86+S81</f>
        <v/>
      </c>
      <c r="T90" s="35">
        <f>T86+T81</f>
        <v/>
      </c>
      <c r="U90" s="35">
        <f>U86+U81</f>
        <v/>
      </c>
      <c r="V90" s="35">
        <f>V86+V81</f>
        <v/>
      </c>
      <c r="W90" s="35">
        <f>W86+W81</f>
        <v/>
      </c>
      <c r="X90" s="35">
        <f>X86+X81</f>
        <v/>
      </c>
      <c r="Y90" s="35">
        <f>Y86+Y81</f>
        <v/>
      </c>
      <c r="Z90" s="35">
        <f>Z86+Z81</f>
        <v/>
      </c>
    </row>
    <row r="91">
      <c r="B91" s="6" t="inlineStr">
        <is>
          <t>תזרים מהוון — עם תמריץ</t>
        </is>
      </c>
      <c r="C91" s="9" t="inlineStr">
        <is>
          <t>₪</t>
        </is>
      </c>
      <c r="D91" s="9" t="inlineStr">
        <is>
          <t>חישוב</t>
        </is>
      </c>
      <c r="F91" s="35">
        <f>F90</f>
        <v/>
      </c>
      <c r="G91" s="35">
        <f>G90/(1+'נתונים והנחות'!$F$11)^1</f>
        <v/>
      </c>
      <c r="H91" s="35">
        <f>H90/(1+'נתונים והנחות'!$F$11)^2</f>
        <v/>
      </c>
      <c r="I91" s="35">
        <f>I90/(1+'נתונים והנחות'!$F$11)^3</f>
        <v/>
      </c>
      <c r="J91" s="35">
        <f>J90/(1+'נתונים והנחות'!$F$11)^4</f>
        <v/>
      </c>
      <c r="K91" s="35">
        <f>K90/(1+'נתונים והנחות'!$F$11)^5</f>
        <v/>
      </c>
      <c r="L91" s="35">
        <f>L90/(1+'נתונים והנחות'!$F$11)^6</f>
        <v/>
      </c>
      <c r="M91" s="35">
        <f>M90/(1+'נתונים והנחות'!$F$11)^7</f>
        <v/>
      </c>
      <c r="N91" s="35">
        <f>N90/(1+'נתונים והנחות'!$F$11)^8</f>
        <v/>
      </c>
      <c r="O91" s="35">
        <f>O90/(1+'נתונים והנחות'!$F$11)^9</f>
        <v/>
      </c>
      <c r="P91" s="35">
        <f>P90/(1+'נתונים והנחות'!$F$11)^10</f>
        <v/>
      </c>
      <c r="Q91" s="35">
        <f>Q90/(1+'נתונים והנחות'!$F$11)^11</f>
        <v/>
      </c>
      <c r="R91" s="35">
        <f>R90/(1+'נתונים והנחות'!$F$11)^12</f>
        <v/>
      </c>
      <c r="S91" s="35">
        <f>S90/(1+'נתונים והנחות'!$F$11)^13</f>
        <v/>
      </c>
      <c r="T91" s="35">
        <f>T90/(1+'נתונים והנחות'!$F$11)^14</f>
        <v/>
      </c>
      <c r="U91" s="35">
        <f>U90/(1+'נתונים והנחות'!$F$11)^15</f>
        <v/>
      </c>
      <c r="V91" s="35">
        <f>V90/(1+'נתונים והנחות'!$F$11)^16</f>
        <v/>
      </c>
      <c r="W91" s="35">
        <f>W90/(1+'נתונים והנחות'!$F$11)^17</f>
        <v/>
      </c>
      <c r="X91" s="35">
        <f>X90/(1+'נתונים והנחות'!$F$11)^18</f>
        <v/>
      </c>
      <c r="Y91" s="35">
        <f>Y90/(1+'נתונים והנחות'!$F$11)^19</f>
        <v/>
      </c>
      <c r="Z91" s="35">
        <f>Z90/(1+'נתונים והנחות'!$F$11)^20</f>
        <v/>
      </c>
    </row>
    <row r="92">
      <c r="B92" s="6" t="inlineStr">
        <is>
          <t>NPV מצטבר — עם תמריץ</t>
        </is>
      </c>
      <c r="C92" s="9" t="inlineStr">
        <is>
          <t>₪</t>
        </is>
      </c>
      <c r="D92" s="9" t="inlineStr">
        <is>
          <t>חישוב</t>
        </is>
      </c>
      <c r="F92" s="35">
        <f>F91</f>
        <v/>
      </c>
      <c r="G92" s="35">
        <f>F92+G91</f>
        <v/>
      </c>
      <c r="H92" s="35">
        <f>G92+H91</f>
        <v/>
      </c>
      <c r="I92" s="35">
        <f>H92+I91</f>
        <v/>
      </c>
      <c r="J92" s="35">
        <f>I92+J91</f>
        <v/>
      </c>
      <c r="K92" s="35">
        <f>J92+K91</f>
        <v/>
      </c>
      <c r="L92" s="35">
        <f>K92+L91</f>
        <v/>
      </c>
      <c r="M92" s="35">
        <f>L92+M91</f>
        <v/>
      </c>
      <c r="N92" s="35">
        <f>M92+N91</f>
        <v/>
      </c>
      <c r="O92" s="35">
        <f>N92+O91</f>
        <v/>
      </c>
      <c r="P92" s="35">
        <f>O92+P91</f>
        <v/>
      </c>
      <c r="Q92" s="35">
        <f>P92+Q91</f>
        <v/>
      </c>
      <c r="R92" s="35">
        <f>Q92+R91</f>
        <v/>
      </c>
      <c r="S92" s="35">
        <f>R92+S91</f>
        <v/>
      </c>
      <c r="T92" s="35">
        <f>S92+T91</f>
        <v/>
      </c>
      <c r="U92" s="35">
        <f>T92+U91</f>
        <v/>
      </c>
      <c r="V92" s="35">
        <f>U92+V91</f>
        <v/>
      </c>
      <c r="W92" s="35">
        <f>V92+W91</f>
        <v/>
      </c>
      <c r="X92" s="35">
        <f>W92+X91</f>
        <v/>
      </c>
      <c r="Y92" s="35">
        <f>X92+Y91</f>
        <v/>
      </c>
      <c r="Z92" s="35">
        <f>Y92+Z91</f>
        <v/>
      </c>
    </row>
    <row r="94">
      <c r="B94" s="25" t="inlineStr">
        <is>
          <t>ד. תוצאות</t>
        </is>
      </c>
    </row>
    <row r="95">
      <c r="B95" s="36" t="inlineStr">
        <is>
          <t>NPV ללא תמריץ</t>
        </is>
      </c>
      <c r="C95" s="9" t="inlineStr">
        <is>
          <t>ש"ח</t>
        </is>
      </c>
      <c r="F95" s="34">
        <f>SUM(F88:Z88)</f>
        <v/>
      </c>
    </row>
    <row r="96">
      <c r="B96" s="37" t="inlineStr">
        <is>
          <t>NPV עם תמריץ</t>
        </is>
      </c>
      <c r="C96" s="9" t="inlineStr">
        <is>
          <t>ש"ח</t>
        </is>
      </c>
      <c r="F96" s="35">
        <f>SUM(F91:Z91)</f>
        <v/>
      </c>
    </row>
    <row r="97">
      <c r="B97" s="38" t="inlineStr">
        <is>
          <t>דלתא NPV — ערך התמריץ</t>
        </is>
      </c>
      <c r="C97" s="9" t="inlineStr">
        <is>
          <t>ש"ח</t>
        </is>
      </c>
      <c r="F97" s="39">
        <f>F96-F95</f>
        <v/>
      </c>
    </row>
    <row r="99">
      <c r="B99" s="36" t="inlineStr">
        <is>
          <t>ROI ללא תמריץ</t>
        </is>
      </c>
      <c r="C99" s="9" t="inlineStr">
        <is>
          <t>%</t>
        </is>
      </c>
      <c r="F99" s="40">
        <f>IF(ISNUMBER($F$67),(SUM(F88:Z88)+$F$67)/$F$67,"PENDING")</f>
        <v/>
      </c>
    </row>
    <row r="100">
      <c r="B100" s="37" t="inlineStr">
        <is>
          <t>ROI עם תמריץ</t>
        </is>
      </c>
      <c r="C100" s="9" t="inlineStr">
        <is>
          <t>%</t>
        </is>
      </c>
      <c r="F100" s="41">
        <f>IF(ISNUMBER($F$67),(SUM(F91:Z91)+$F$67)/$F$67,"PENDING")</f>
        <v/>
      </c>
    </row>
    <row r="101">
      <c r="B101" s="38" t="inlineStr">
        <is>
          <t>שיפור ROI בזכות התמריץ</t>
        </is>
      </c>
      <c r="C101" s="9" t="inlineStr">
        <is>
          <t>%</t>
        </is>
      </c>
      <c r="F101" s="11">
        <f>IF(ISNUMBER(F100),F100-F99,"PENDING")</f>
        <v/>
      </c>
    </row>
    <row r="103">
      <c r="B103" s="36" t="inlineStr">
        <is>
          <t>תקופת החזר — ללא תמריץ (NPV)</t>
        </is>
      </c>
      <c r="C103" s="9" t="inlineStr">
        <is>
          <t>שנים</t>
        </is>
      </c>
      <c r="F103" s="42">
        <f>IFERROR(MATCH(1,(F89:Z89&gt;0)*1,0)-2+ABS(INDEX(F89:Z89,MATCH(1,(F89:Z89&gt;0)*1,0)-1))/(INDEX(F89:Z89,MATCH(1,(F89:Z89&gt;0)*1,0))-INDEX(F89:Z89,MATCH(1,(F89:Z89&gt;0)*1,0)-1)),"לא מגיע לפירעון")</f>
        <v/>
      </c>
    </row>
    <row r="104">
      <c r="B104" s="37" t="inlineStr">
        <is>
          <t>תקופת החזר — עם תמריץ (NPV)</t>
        </is>
      </c>
      <c r="C104" s="9" t="inlineStr">
        <is>
          <t>שנים</t>
        </is>
      </c>
      <c r="F104" s="43">
        <f>IFERROR(MATCH(1,(F92:Z92&gt;0)*1,0)-2+ABS(INDEX(F92:Z92,MATCH(1,(F92:Z92&gt;0)*1,0)-1))/(INDEX(F92:Z92,MATCH(1,(F92:Z92&gt;0)*1,0))-INDEX(F92:Z92,MATCH(1,(F92:Z92&gt;0)*1,0)-1)),"לא מגיע לפירעון")</f>
        <v/>
      </c>
    </row>
    <row r="105">
      <c r="B105" s="23" t="inlineStr">
        <is>
          <t>* תקופת ההחזר מחושבת לפי נקודת הקרוסאובר של ה-NPV המצטבר (אינטרפולציה לינארית)</t>
        </is>
      </c>
    </row>
    <row r="108">
      <c r="B108" s="24" t="inlineStr">
        <is>
          <t>3.3  מדחסי VSD</t>
        </is>
      </c>
    </row>
    <row r="109">
      <c r="B109" s="23" t="inlineStr">
        <is>
          <t>* מדחסי אוויר עם בקרת מהירות משתנה | חיסכון ~20% | אורך חיים: 10-15 שנה</t>
        </is>
      </c>
    </row>
    <row r="110">
      <c r="B110" s="25" t="inlineStr">
        <is>
          <t>א. הנחות בסיסיות להשקעה</t>
        </is>
      </c>
    </row>
    <row r="111">
      <c r="B111" s="18" t="inlineStr">
        <is>
          <t>עלות השקעה (CapEx)</t>
        </is>
      </c>
      <c r="C111" s="9" t="inlineStr">
        <is>
          <t>₪</t>
        </is>
      </c>
      <c r="D111" s="9" t="inlineStr">
        <is>
          <t>נתוני רפי</t>
        </is>
      </c>
      <c r="E111" s="26" t="inlineStr">
        <is>
          <t>⚠ ממתין לנתוני ראש המהנדסים</t>
        </is>
      </c>
      <c r="F111" s="27" t="inlineStr">
        <is>
          <t>PENDING</t>
        </is>
      </c>
    </row>
    <row r="112">
      <c r="B112" s="18" t="inlineStr">
        <is>
          <t>צריכת אנרגיה שנתית (לפני החלפה)</t>
        </is>
      </c>
      <c r="C112" s="9" t="inlineStr">
        <is>
          <t>קוט"ש/שנה</t>
        </is>
      </c>
      <c r="D112" s="9" t="inlineStr">
        <is>
          <t>נתוני רפי</t>
        </is>
      </c>
      <c r="E112" s="26" t="inlineStr">
        <is>
          <t>⚠ ממתין לנתוני ראש המהנדסים</t>
        </is>
      </c>
      <c r="F112" s="27" t="inlineStr">
        <is>
          <t>PENDING</t>
        </is>
      </c>
    </row>
    <row r="113">
      <c r="B113" s="18" t="inlineStr">
        <is>
          <t>חיסכון אנרגטי</t>
        </is>
      </c>
      <c r="C113" s="9" t="inlineStr">
        <is>
          <t>% מצריכה</t>
        </is>
      </c>
      <c r="D113" s="9" t="inlineStr">
        <is>
          <t>ממצאי הנדסה</t>
        </is>
      </c>
      <c r="F113" s="10" t="n">
        <v>0.2</v>
      </c>
    </row>
    <row r="114">
      <c r="B114" s="18" t="inlineStr">
        <is>
          <t>חיסכון שנתי בסיסי</t>
        </is>
      </c>
      <c r="C114" s="9" t="inlineStr">
        <is>
          <t>קוט"ש/שנה</t>
        </is>
      </c>
      <c r="D114" s="9" t="inlineStr">
        <is>
          <t>חישוב</t>
        </is>
      </c>
      <c r="E114" s="9">
        <f> צריכה × שיעור חיסכון</f>
        <v/>
      </c>
      <c r="F114" s="28">
        <f>IF(ISNUMBER($F$112),$F$112*$F$113,"PENDING")</f>
        <v/>
      </c>
    </row>
    <row r="115">
      <c r="B115" s="18" t="inlineStr">
        <is>
          <t>גורם שחיקת ביצועים</t>
        </is>
      </c>
      <c r="C115" s="9" t="inlineStr">
        <is>
          <t>% לשנה</t>
        </is>
      </c>
      <c r="D115" s="9" t="inlineStr">
        <is>
          <t>הנחת עבודה</t>
        </is>
      </c>
      <c r="E115" s="26" t="inlineStr">
        <is>
          <t>ירידה שנתית בחיסכון | טווח: 0.5%-1.0%/שנה — לאשר מול רפי</t>
        </is>
      </c>
      <c r="F115" s="11" t="n">
        <v>0.005</v>
      </c>
    </row>
    <row r="116">
      <c r="B116" s="18" t="inlineStr">
        <is>
          <t>אורך חיי הציוד (כלכלי)</t>
        </is>
      </c>
      <c r="C116" s="9" t="inlineStr">
        <is>
          <t>שנים</t>
        </is>
      </c>
      <c r="D116" s="9" t="inlineStr">
        <is>
          <t>ממצאי הנדסה</t>
        </is>
      </c>
      <c r="F116" s="29" t="n">
        <v>12</v>
      </c>
    </row>
    <row r="117">
      <c r="B117" s="18" t="inlineStr">
        <is>
          <t>מחיר חשמל</t>
        </is>
      </c>
      <c r="C117" s="9" t="inlineStr">
        <is>
          <t>₪/קוט"ש</t>
        </is>
      </c>
      <c r="D117" s="9" t="inlineStr">
        <is>
          <t>גיליון הנחות</t>
        </is>
      </c>
      <c r="F117" s="30">
        <f>'נתונים והנחות'!$F$12/100</f>
        <v/>
      </c>
    </row>
    <row r="118">
      <c r="B118" s="18" t="inlineStr">
        <is>
          <t>חיסכון שנתי בסיסי (₪, שנה 1)</t>
        </is>
      </c>
      <c r="C118" s="9" t="inlineStr">
        <is>
          <t>₪/שנה</t>
        </is>
      </c>
      <c r="D118" s="9" t="inlineStr">
        <is>
          <t>חישוב</t>
        </is>
      </c>
      <c r="E118" s="9">
        <f> חיסכון קוט"ש × מחיר חשמל</f>
        <v/>
      </c>
      <c r="F118" s="31">
        <f>IF(ISNUMBER($F$114),$F$114*$F$117,"PENDING")</f>
        <v/>
      </c>
    </row>
    <row r="120">
      <c r="B120" s="25" t="inlineStr">
        <is>
          <t>ב. לוחות פחת — השוואה (ללא תמריץ vs. עם מכפיל)</t>
        </is>
      </c>
    </row>
    <row r="121">
      <c r="B121" s="32" t="inlineStr">
        <is>
          <t>פרמטר</t>
        </is>
      </c>
      <c r="C121" s="32" t="inlineStr">
        <is>
          <t>יחידות</t>
        </is>
      </c>
      <c r="D121" s="32" t="inlineStr">
        <is>
          <t>מקור</t>
        </is>
      </c>
      <c r="E121" s="32" t="inlineStr">
        <is>
          <t>הערות</t>
        </is>
      </c>
      <c r="F121" s="32" t="inlineStr">
        <is>
          <t>שנה 0 (השקעה)</t>
        </is>
      </c>
      <c r="G121" s="32" t="inlineStr">
        <is>
          <t>שנה 1</t>
        </is>
      </c>
      <c r="H121" s="32" t="inlineStr">
        <is>
          <t>שנה 2</t>
        </is>
      </c>
      <c r="I121" s="32" t="inlineStr">
        <is>
          <t>שנה 3</t>
        </is>
      </c>
      <c r="J121" s="32" t="inlineStr">
        <is>
          <t>שנה 4</t>
        </is>
      </c>
      <c r="K121" s="32" t="inlineStr">
        <is>
          <t>שנה 5</t>
        </is>
      </c>
      <c r="L121" s="32" t="inlineStr">
        <is>
          <t>שנה 6</t>
        </is>
      </c>
      <c r="M121" s="32" t="inlineStr">
        <is>
          <t>שנה 7</t>
        </is>
      </c>
      <c r="N121" s="32" t="inlineStr">
        <is>
          <t>שנה 8</t>
        </is>
      </c>
      <c r="O121" s="32" t="inlineStr">
        <is>
          <t>שנה 9</t>
        </is>
      </c>
      <c r="P121" s="32" t="inlineStr">
        <is>
          <t>שנה 10</t>
        </is>
      </c>
      <c r="Q121" s="32" t="inlineStr">
        <is>
          <t>שנה 11</t>
        </is>
      </c>
      <c r="R121" s="32" t="inlineStr">
        <is>
          <t>שנה 12</t>
        </is>
      </c>
      <c r="S121" s="32" t="inlineStr">
        <is>
          <t>שנה 13</t>
        </is>
      </c>
      <c r="T121" s="32" t="inlineStr">
        <is>
          <t>שנה 14</t>
        </is>
      </c>
      <c r="U121" s="32" t="inlineStr">
        <is>
          <t>שנה 15</t>
        </is>
      </c>
      <c r="V121" s="32" t="inlineStr">
        <is>
          <t>שנה 16</t>
        </is>
      </c>
      <c r="W121" s="32" t="inlineStr">
        <is>
          <t>שנה 17</t>
        </is>
      </c>
      <c r="X121" s="32" t="inlineStr">
        <is>
          <t>שנה 18</t>
        </is>
      </c>
      <c r="Y121" s="32" t="inlineStr">
        <is>
          <t>שנה 19</t>
        </is>
      </c>
      <c r="Z121" s="32" t="inlineStr">
        <is>
          <t>שנה 20</t>
        </is>
      </c>
    </row>
    <row r="122">
      <c r="B122" s="4" t="inlineStr">
        <is>
          <t>פחת שנתי — סטנדרטי</t>
        </is>
      </c>
      <c r="C122" s="9" t="inlineStr">
        <is>
          <t>₪</t>
        </is>
      </c>
      <c r="D122" s="9" t="inlineStr">
        <is>
          <t>חישוב</t>
        </is>
      </c>
      <c r="E122" s="9">
        <f> CapEx × 10% | קו ישר | עד שנה 10</f>
        <v/>
      </c>
      <c r="F122" s="33" t="n">
        <v>0</v>
      </c>
      <c r="G122" s="33">
        <f>IF(ISNUMBER($F$111),$F$111*0.1,0)</f>
        <v/>
      </c>
      <c r="H122" s="33">
        <f>IF(ISNUMBER($F$111),$F$111*0.1,0)</f>
        <v/>
      </c>
      <c r="I122" s="33">
        <f>IF(ISNUMBER($F$111),$F$111*0.1,0)</f>
        <v/>
      </c>
      <c r="J122" s="33">
        <f>IF(ISNUMBER($F$111),$F$111*0.1,0)</f>
        <v/>
      </c>
      <c r="K122" s="33">
        <f>IF(ISNUMBER($F$111),$F$111*0.1,0)</f>
        <v/>
      </c>
      <c r="L122" s="33">
        <f>IF(ISNUMBER($F$111),$F$111*0.1,0)</f>
        <v/>
      </c>
      <c r="M122" s="33">
        <f>IF(ISNUMBER($F$111),$F$111*0.1,0)</f>
        <v/>
      </c>
      <c r="N122" s="33">
        <f>IF(ISNUMBER($F$111),$F$111*0.1,0)</f>
        <v/>
      </c>
      <c r="O122" s="33">
        <f>IF(ISNUMBER($F$111),$F$111*0.1,0)</f>
        <v/>
      </c>
      <c r="P122" s="33">
        <f>IF(ISNUMBER($F$111),$F$111*0.1,0)</f>
        <v/>
      </c>
      <c r="Q122" s="33">
        <f>0</f>
        <v/>
      </c>
      <c r="R122" s="33">
        <f>0</f>
        <v/>
      </c>
      <c r="S122" s="33">
        <f>0</f>
        <v/>
      </c>
      <c r="T122" s="33">
        <f>0</f>
        <v/>
      </c>
      <c r="U122" s="33">
        <f>0</f>
        <v/>
      </c>
      <c r="V122" s="33">
        <f>0</f>
        <v/>
      </c>
      <c r="W122" s="33">
        <f>0</f>
        <v/>
      </c>
      <c r="X122" s="33">
        <f>0</f>
        <v/>
      </c>
      <c r="Y122" s="33">
        <f>0</f>
        <v/>
      </c>
      <c r="Z122" s="33">
        <f>0</f>
        <v/>
      </c>
    </row>
    <row r="123">
      <c r="B123" s="5" t="inlineStr">
        <is>
          <t>מגן מס — סטנדרטי</t>
        </is>
      </c>
      <c r="C123" s="9" t="inlineStr">
        <is>
          <t>₪</t>
        </is>
      </c>
      <c r="D123" s="9" t="inlineStr">
        <is>
          <t>חישוב</t>
        </is>
      </c>
      <c r="E123" s="9">
        <f> פחת × שיעור מס</f>
        <v/>
      </c>
      <c r="F123" s="34" t="n">
        <v>0</v>
      </c>
      <c r="G123" s="34">
        <f>G122*'נתונים והנחות'!$F$10</f>
        <v/>
      </c>
      <c r="H123" s="34">
        <f>H122*'נתונים והנחות'!$F$10</f>
        <v/>
      </c>
      <c r="I123" s="34">
        <f>I122*'נתונים והנחות'!$F$10</f>
        <v/>
      </c>
      <c r="J123" s="34">
        <f>J122*'נתונים והנחות'!$F$10</f>
        <v/>
      </c>
      <c r="K123" s="34">
        <f>K122*'נתונים והנחות'!$F$10</f>
        <v/>
      </c>
      <c r="L123" s="34">
        <f>L122*'נתונים והנחות'!$F$10</f>
        <v/>
      </c>
      <c r="M123" s="34">
        <f>M122*'נתונים והנחות'!$F$10</f>
        <v/>
      </c>
      <c r="N123" s="34">
        <f>N122*'נתונים והנחות'!$F$10</f>
        <v/>
      </c>
      <c r="O123" s="34">
        <f>O122*'נתונים והנחות'!$F$10</f>
        <v/>
      </c>
      <c r="P123" s="34">
        <f>P122*'נתונים והנחות'!$F$10</f>
        <v/>
      </c>
      <c r="Q123" s="34">
        <f>Q122*'נתונים והנחות'!$F$10</f>
        <v/>
      </c>
      <c r="R123" s="34">
        <f>R122*'נתונים והנחות'!$F$10</f>
        <v/>
      </c>
      <c r="S123" s="34">
        <f>S122*'נתונים והנחות'!$F$10</f>
        <v/>
      </c>
      <c r="T123" s="34">
        <f>T122*'נתונים והנחות'!$F$10</f>
        <v/>
      </c>
      <c r="U123" s="34">
        <f>U122*'נתונים והנחות'!$F$10</f>
        <v/>
      </c>
      <c r="V123" s="34">
        <f>V122*'נתונים והנחות'!$F$10</f>
        <v/>
      </c>
      <c r="W123" s="34">
        <f>W122*'נתונים והנחות'!$F$10</f>
        <v/>
      </c>
      <c r="X123" s="34">
        <f>X122*'נתונים והנחות'!$F$10</f>
        <v/>
      </c>
      <c r="Y123" s="34">
        <f>Y122*'נתונים והנחות'!$F$10</f>
        <v/>
      </c>
      <c r="Z123" s="34">
        <f>Z122*'נתונים והנחות'!$F$10</f>
        <v/>
      </c>
    </row>
    <row r="124">
      <c r="B124" s="6" t="inlineStr">
        <is>
          <t>פחת שנתי — מואץ</t>
        </is>
      </c>
      <c r="C124" s="9" t="inlineStr">
        <is>
          <t>₪</t>
        </is>
      </c>
      <c r="D124" s="9" t="inlineStr">
        <is>
          <t>חישוב</t>
        </is>
      </c>
      <c r="E124" s="9">
        <f> CapEx × (שיעור סטנדרטי × מכפיל) | תקופה = 1 ÷ שיעור מואץ</f>
        <v/>
      </c>
      <c r="F124" s="35" t="n">
        <v>0</v>
      </c>
      <c r="G124" s="35">
        <f>IF(ISNUMBER($F$111),IF(1&lt;=ROUND(1/(0.1*'נתונים והנחות'!$F$15),0),$F$111*0.1*'נתונים והנחות'!$F$15,0),0)</f>
        <v/>
      </c>
      <c r="H124" s="35">
        <f>IF(ISNUMBER($F$111),IF(2&lt;=ROUND(1/(0.1*'נתונים והנחות'!$F$15),0),$F$111*0.1*'נתונים והנחות'!$F$15,0),0)</f>
        <v/>
      </c>
      <c r="I124" s="35">
        <f>IF(ISNUMBER($F$111),IF(3&lt;=ROUND(1/(0.1*'נתונים והנחות'!$F$15),0),$F$111*0.1*'נתונים והנחות'!$F$15,0),0)</f>
        <v/>
      </c>
      <c r="J124" s="35">
        <f>IF(ISNUMBER($F$111),IF(4&lt;=ROUND(1/(0.1*'נתונים והנחות'!$F$15),0),$F$111*0.1*'נתונים והנחות'!$F$15,0),0)</f>
        <v/>
      </c>
      <c r="K124" s="35">
        <f>IF(ISNUMBER($F$111),IF(5&lt;=ROUND(1/(0.1*'נתונים והנחות'!$F$15),0),$F$111*0.1*'נתונים והנחות'!$F$15,0),0)</f>
        <v/>
      </c>
      <c r="L124" s="35">
        <f>IF(ISNUMBER($F$111),IF(6&lt;=ROUND(1/(0.1*'נתונים והנחות'!$F$15),0),$F$111*0.1*'נתונים והנחות'!$F$15,0),0)</f>
        <v/>
      </c>
      <c r="M124" s="35">
        <f>IF(ISNUMBER($F$111),IF(7&lt;=ROUND(1/(0.1*'נתונים והנחות'!$F$15),0),$F$111*0.1*'נתונים והנחות'!$F$15,0),0)</f>
        <v/>
      </c>
      <c r="N124" s="35">
        <f>IF(ISNUMBER($F$111),IF(8&lt;=ROUND(1/(0.1*'נתונים והנחות'!$F$15),0),$F$111*0.1*'נתונים והנחות'!$F$15,0),0)</f>
        <v/>
      </c>
      <c r="O124" s="35">
        <f>IF(ISNUMBER($F$111),IF(9&lt;=ROUND(1/(0.1*'נתונים והנחות'!$F$15),0),$F$111*0.1*'נתונים והנחות'!$F$15,0),0)</f>
        <v/>
      </c>
      <c r="P124" s="35">
        <f>IF(ISNUMBER($F$111),IF(10&lt;=ROUND(1/(0.1*'נתונים והנחות'!$F$15),0),$F$111*0.1*'נתונים והנחות'!$F$15,0),0)</f>
        <v/>
      </c>
      <c r="Q124" s="35">
        <f>IF(ISNUMBER($F$111),IF(11&lt;=ROUND(1/(0.1*'נתונים והנחות'!$F$15),0),$F$111*0.1*'נתונים והנחות'!$F$15,0),0)</f>
        <v/>
      </c>
      <c r="R124" s="35">
        <f>IF(ISNUMBER($F$111),IF(12&lt;=ROUND(1/(0.1*'נתונים והנחות'!$F$15),0),$F$111*0.1*'נתונים והנחות'!$F$15,0),0)</f>
        <v/>
      </c>
      <c r="S124" s="35">
        <f>IF(ISNUMBER($F$111),IF(13&lt;=ROUND(1/(0.1*'נתונים והנחות'!$F$15),0),$F$111*0.1*'נתונים והנחות'!$F$15,0),0)</f>
        <v/>
      </c>
      <c r="T124" s="35">
        <f>IF(ISNUMBER($F$111),IF(14&lt;=ROUND(1/(0.1*'נתונים והנחות'!$F$15),0),$F$111*0.1*'נתונים והנחות'!$F$15,0),0)</f>
        <v/>
      </c>
      <c r="U124" s="35">
        <f>IF(ISNUMBER($F$111),IF(15&lt;=ROUND(1/(0.1*'נתונים והנחות'!$F$15),0),$F$111*0.1*'נתונים והנחות'!$F$15,0),0)</f>
        <v/>
      </c>
      <c r="V124" s="35">
        <f>IF(ISNUMBER($F$111),IF(16&lt;=ROUND(1/(0.1*'נתונים והנחות'!$F$15),0),$F$111*0.1*'נתונים והנחות'!$F$15,0),0)</f>
        <v/>
      </c>
      <c r="W124" s="35">
        <f>IF(ISNUMBER($F$111),IF(17&lt;=ROUND(1/(0.1*'נתונים והנחות'!$F$15),0),$F$111*0.1*'נתונים והנחות'!$F$15,0),0)</f>
        <v/>
      </c>
      <c r="X124" s="35">
        <f>IF(ISNUMBER($F$111),IF(18&lt;=ROUND(1/(0.1*'נתונים והנחות'!$F$15),0),$F$111*0.1*'נתונים והנחות'!$F$15,0),0)</f>
        <v/>
      </c>
      <c r="Y124" s="35">
        <f>IF(ISNUMBER($F$111),IF(19&lt;=ROUND(1/(0.1*'נתונים והנחות'!$F$15),0),$F$111*0.1*'נתונים והנחות'!$F$15,0),0)</f>
        <v/>
      </c>
      <c r="Z124" s="35">
        <f>IF(ISNUMBER($F$111),IF(20&lt;=ROUND(1/(0.1*'נתונים והנחות'!$F$15),0),$F$111*0.1*'נתונים והנחות'!$F$15,0),0)</f>
        <v/>
      </c>
    </row>
    <row r="125">
      <c r="B125" s="6" t="inlineStr">
        <is>
          <t>מגן מס — מואץ</t>
        </is>
      </c>
      <c r="C125" s="9" t="inlineStr">
        <is>
          <t>₪</t>
        </is>
      </c>
      <c r="D125" s="9" t="inlineStr">
        <is>
          <t>חישוב</t>
        </is>
      </c>
      <c r="E125" s="9">
        <f> פחת מואץ × שיעור מס</f>
        <v/>
      </c>
      <c r="F125" s="35" t="n">
        <v>0</v>
      </c>
      <c r="G125" s="35">
        <f>G124*'נתונים והנחות'!$F$10</f>
        <v/>
      </c>
      <c r="H125" s="35">
        <f>H124*'נתונים והנחות'!$F$10</f>
        <v/>
      </c>
      <c r="I125" s="35">
        <f>I124*'נתונים והנחות'!$F$10</f>
        <v/>
      </c>
      <c r="J125" s="35">
        <f>J124*'נתונים והנחות'!$F$10</f>
        <v/>
      </c>
      <c r="K125" s="35">
        <f>K124*'נתונים והנחות'!$F$10</f>
        <v/>
      </c>
      <c r="L125" s="35">
        <f>L124*'נתונים והנחות'!$F$10</f>
        <v/>
      </c>
      <c r="M125" s="35">
        <f>M124*'נתונים והנחות'!$F$10</f>
        <v/>
      </c>
      <c r="N125" s="35">
        <f>N124*'נתונים והנחות'!$F$10</f>
        <v/>
      </c>
      <c r="O125" s="35">
        <f>O124*'נתונים והנחות'!$F$10</f>
        <v/>
      </c>
      <c r="P125" s="35">
        <f>P124*'נתונים והנחות'!$F$10</f>
        <v/>
      </c>
      <c r="Q125" s="35">
        <f>Q124*'נתונים והנחות'!$F$10</f>
        <v/>
      </c>
      <c r="R125" s="35">
        <f>R124*'נתונים והנחות'!$F$10</f>
        <v/>
      </c>
      <c r="S125" s="35">
        <f>S124*'נתונים והנחות'!$F$10</f>
        <v/>
      </c>
      <c r="T125" s="35">
        <f>T124*'נתונים והנחות'!$F$10</f>
        <v/>
      </c>
      <c r="U125" s="35">
        <f>U124*'נתונים והנחות'!$F$10</f>
        <v/>
      </c>
      <c r="V125" s="35">
        <f>V124*'נתונים והנחות'!$F$10</f>
        <v/>
      </c>
      <c r="W125" s="35">
        <f>W124*'נתונים והנחות'!$F$10</f>
        <v/>
      </c>
      <c r="X125" s="35">
        <f>X124*'נתונים והנחות'!$F$10</f>
        <v/>
      </c>
      <c r="Y125" s="35">
        <f>Y124*'נתונים והנחות'!$F$10</f>
        <v/>
      </c>
      <c r="Z125" s="35">
        <f>Z124*'נתונים והנחות'!$F$10</f>
        <v/>
      </c>
    </row>
    <row r="127">
      <c r="B127" s="25" t="inlineStr">
        <is>
          <t>ג. ניתוח תזרים מזומנים</t>
        </is>
      </c>
    </row>
    <row r="128">
      <c r="B128" s="32" t="inlineStr">
        <is>
          <t>פרמטר</t>
        </is>
      </c>
      <c r="C128" s="32" t="inlineStr">
        <is>
          <t>יחידות</t>
        </is>
      </c>
      <c r="D128" s="32" t="inlineStr">
        <is>
          <t>מקור</t>
        </is>
      </c>
      <c r="E128" s="32" t="inlineStr">
        <is>
          <t>הערות</t>
        </is>
      </c>
      <c r="F128" s="32" t="inlineStr">
        <is>
          <t>שנה 0 (השקעה)</t>
        </is>
      </c>
      <c r="G128" s="32" t="inlineStr">
        <is>
          <t>שנה 1</t>
        </is>
      </c>
      <c r="H128" s="32" t="inlineStr">
        <is>
          <t>שנה 2</t>
        </is>
      </c>
      <c r="I128" s="32" t="inlineStr">
        <is>
          <t>שנה 3</t>
        </is>
      </c>
      <c r="J128" s="32" t="inlineStr">
        <is>
          <t>שנה 4</t>
        </is>
      </c>
      <c r="K128" s="32" t="inlineStr">
        <is>
          <t>שנה 5</t>
        </is>
      </c>
      <c r="L128" s="32" t="inlineStr">
        <is>
          <t>שנה 6</t>
        </is>
      </c>
      <c r="M128" s="32" t="inlineStr">
        <is>
          <t>שנה 7</t>
        </is>
      </c>
      <c r="N128" s="32" t="inlineStr">
        <is>
          <t>שנה 8</t>
        </is>
      </c>
      <c r="O128" s="32" t="inlineStr">
        <is>
          <t>שנה 9</t>
        </is>
      </c>
      <c r="P128" s="32" t="inlineStr">
        <is>
          <t>שנה 10</t>
        </is>
      </c>
      <c r="Q128" s="32" t="inlineStr">
        <is>
          <t>שנה 11</t>
        </is>
      </c>
      <c r="R128" s="32" t="inlineStr">
        <is>
          <t>שנה 12</t>
        </is>
      </c>
      <c r="S128" s="32" t="inlineStr">
        <is>
          <t>שנה 13</t>
        </is>
      </c>
      <c r="T128" s="32" t="inlineStr">
        <is>
          <t>שנה 14</t>
        </is>
      </c>
      <c r="U128" s="32" t="inlineStr">
        <is>
          <t>שנה 15</t>
        </is>
      </c>
      <c r="V128" s="32" t="inlineStr">
        <is>
          <t>שנה 16</t>
        </is>
      </c>
      <c r="W128" s="32" t="inlineStr">
        <is>
          <t>שנה 17</t>
        </is>
      </c>
      <c r="X128" s="32" t="inlineStr">
        <is>
          <t>שנה 18</t>
        </is>
      </c>
      <c r="Y128" s="32" t="inlineStr">
        <is>
          <t>שנה 19</t>
        </is>
      </c>
      <c r="Z128" s="32" t="inlineStr">
        <is>
          <t>שנה 20</t>
        </is>
      </c>
    </row>
    <row r="129">
      <c r="B129" s="4" t="inlineStr">
        <is>
          <t>השקעה ראשונית (CapEx)</t>
        </is>
      </c>
      <c r="C129" s="9" t="inlineStr">
        <is>
          <t>₪</t>
        </is>
      </c>
      <c r="D129" s="9" t="inlineStr">
        <is>
          <t>חישוב</t>
        </is>
      </c>
      <c r="F129" s="31">
        <f>IF(ISNUMBER($F$111),-$F$111,"PENDING")</f>
        <v/>
      </c>
    </row>
    <row r="130">
      <c r="B130" s="4" t="inlineStr">
        <is>
          <t>חיסכון שנתי — אנרגיה (בניכוי שחיקה)</t>
        </is>
      </c>
      <c r="C130" s="9" t="inlineStr">
        <is>
          <t>₪</t>
        </is>
      </c>
      <c r="D130" s="9" t="inlineStr">
        <is>
          <t>חישוב</t>
        </is>
      </c>
      <c r="F130" s="31" t="n">
        <v>0</v>
      </c>
      <c r="G130" s="31">
        <f>IF(ISNUMBER($F$118),$F$118*(1-$F$115)^0,0)</f>
        <v/>
      </c>
      <c r="H130" s="31">
        <f>IF(ISNUMBER($F$118),$F$118*(1-$F$115)^1,0)</f>
        <v/>
      </c>
      <c r="I130" s="31">
        <f>IF(ISNUMBER($F$118),$F$118*(1-$F$115)^2,0)</f>
        <v/>
      </c>
      <c r="J130" s="31">
        <f>IF(ISNUMBER($F$118),$F$118*(1-$F$115)^3,0)</f>
        <v/>
      </c>
      <c r="K130" s="31">
        <f>IF(ISNUMBER($F$118),$F$118*(1-$F$115)^4,0)</f>
        <v/>
      </c>
      <c r="L130" s="31">
        <f>IF(ISNUMBER($F$118),$F$118*(1-$F$115)^5,0)</f>
        <v/>
      </c>
      <c r="M130" s="31">
        <f>IF(ISNUMBER($F$118),$F$118*(1-$F$115)^6,0)</f>
        <v/>
      </c>
      <c r="N130" s="31">
        <f>IF(ISNUMBER($F$118),$F$118*(1-$F$115)^7,0)</f>
        <v/>
      </c>
      <c r="O130" s="31">
        <f>IF(ISNUMBER($F$118),$F$118*(1-$F$115)^8,0)</f>
        <v/>
      </c>
      <c r="P130" s="31">
        <f>IF(ISNUMBER($F$118),$F$118*(1-$F$115)^9,0)</f>
        <v/>
      </c>
      <c r="Q130" s="31">
        <f>IF(ISNUMBER($F$118),$F$118*(1-$F$115)^10,0)</f>
        <v/>
      </c>
      <c r="R130" s="31">
        <f>IF(ISNUMBER($F$118),$F$118*(1-$F$115)^11,0)</f>
        <v/>
      </c>
      <c r="S130" s="31">
        <f>0</f>
        <v/>
      </c>
      <c r="T130" s="31">
        <f>0</f>
        <v/>
      </c>
      <c r="U130" s="31">
        <f>0</f>
        <v/>
      </c>
      <c r="V130" s="31">
        <f>0</f>
        <v/>
      </c>
      <c r="W130" s="31">
        <f>0</f>
        <v/>
      </c>
      <c r="X130" s="31">
        <f>0</f>
        <v/>
      </c>
      <c r="Y130" s="31">
        <f>0</f>
        <v/>
      </c>
      <c r="Z130" s="31">
        <f>0</f>
        <v/>
      </c>
    </row>
    <row r="131">
      <c r="B131" s="4" t="inlineStr">
        <is>
          <t>תזרים נקי — ללא תמריץ</t>
        </is>
      </c>
      <c r="C131" s="9" t="inlineStr">
        <is>
          <t>₪</t>
        </is>
      </c>
      <c r="D131" s="9" t="inlineStr">
        <is>
          <t>חישוב</t>
        </is>
      </c>
      <c r="F131" s="31" t="n">
        <v>0</v>
      </c>
      <c r="G131" s="31">
        <f>G130+G123</f>
        <v/>
      </c>
      <c r="H131" s="31">
        <f>H130+H123</f>
        <v/>
      </c>
      <c r="I131" s="31">
        <f>I130+I123</f>
        <v/>
      </c>
      <c r="J131" s="31">
        <f>J130+J123</f>
        <v/>
      </c>
      <c r="K131" s="31">
        <f>K130+K123</f>
        <v/>
      </c>
      <c r="L131" s="31">
        <f>L130+L123</f>
        <v/>
      </c>
      <c r="M131" s="31">
        <f>M130+M123</f>
        <v/>
      </c>
      <c r="N131" s="31">
        <f>N130+N123</f>
        <v/>
      </c>
      <c r="O131" s="31">
        <f>O130+O123</f>
        <v/>
      </c>
      <c r="P131" s="31">
        <f>P130+P123</f>
        <v/>
      </c>
      <c r="Q131" s="31">
        <f>Q130+Q123</f>
        <v/>
      </c>
      <c r="R131" s="31">
        <f>R130+R123</f>
        <v/>
      </c>
      <c r="S131" s="31">
        <f>S130+S123</f>
        <v/>
      </c>
      <c r="T131" s="31">
        <f>T130+T123</f>
        <v/>
      </c>
      <c r="U131" s="31">
        <f>U130+U123</f>
        <v/>
      </c>
      <c r="V131" s="31">
        <f>V130+V123</f>
        <v/>
      </c>
      <c r="W131" s="31">
        <f>W130+W123</f>
        <v/>
      </c>
      <c r="X131" s="31">
        <f>X130+X123</f>
        <v/>
      </c>
      <c r="Y131" s="31">
        <f>Y130+Y123</f>
        <v/>
      </c>
      <c r="Z131" s="31">
        <f>Z130+Z123</f>
        <v/>
      </c>
    </row>
    <row r="132">
      <c r="B132" s="5" t="inlineStr">
        <is>
          <t>תזרים מהוון — ללא תמריץ</t>
        </is>
      </c>
      <c r="C132" s="9" t="inlineStr">
        <is>
          <t>₪</t>
        </is>
      </c>
      <c r="D132" s="9" t="inlineStr">
        <is>
          <t>חישוב</t>
        </is>
      </c>
      <c r="F132" s="34">
        <f>F131</f>
        <v/>
      </c>
      <c r="G132" s="34">
        <f>G131/(1+'נתונים והנחות'!$F$11)^1</f>
        <v/>
      </c>
      <c r="H132" s="34">
        <f>H131/(1+'נתונים והנחות'!$F$11)^2</f>
        <v/>
      </c>
      <c r="I132" s="34">
        <f>I131/(1+'נתונים והנחות'!$F$11)^3</f>
        <v/>
      </c>
      <c r="J132" s="34">
        <f>J131/(1+'נתונים והנחות'!$F$11)^4</f>
        <v/>
      </c>
      <c r="K132" s="34">
        <f>K131/(1+'נתונים והנחות'!$F$11)^5</f>
        <v/>
      </c>
      <c r="L132" s="34">
        <f>L131/(1+'נתונים והנחות'!$F$11)^6</f>
        <v/>
      </c>
      <c r="M132" s="34">
        <f>M131/(1+'נתונים והנחות'!$F$11)^7</f>
        <v/>
      </c>
      <c r="N132" s="34">
        <f>N131/(1+'נתונים והנחות'!$F$11)^8</f>
        <v/>
      </c>
      <c r="O132" s="34">
        <f>O131/(1+'נתונים והנחות'!$F$11)^9</f>
        <v/>
      </c>
      <c r="P132" s="34">
        <f>P131/(1+'נתונים והנחות'!$F$11)^10</f>
        <v/>
      </c>
      <c r="Q132" s="34">
        <f>Q131/(1+'נתונים והנחות'!$F$11)^11</f>
        <v/>
      </c>
      <c r="R132" s="34">
        <f>R131/(1+'נתונים והנחות'!$F$11)^12</f>
        <v/>
      </c>
      <c r="S132" s="34">
        <f>S131/(1+'נתונים והנחות'!$F$11)^13</f>
        <v/>
      </c>
      <c r="T132" s="34">
        <f>T131/(1+'נתונים והנחות'!$F$11)^14</f>
        <v/>
      </c>
      <c r="U132" s="34">
        <f>U131/(1+'נתונים והנחות'!$F$11)^15</f>
        <v/>
      </c>
      <c r="V132" s="34">
        <f>V131/(1+'נתונים והנחות'!$F$11)^16</f>
        <v/>
      </c>
      <c r="W132" s="34">
        <f>W131/(1+'נתונים והנחות'!$F$11)^17</f>
        <v/>
      </c>
      <c r="X132" s="34">
        <f>X131/(1+'נתונים והנחות'!$F$11)^18</f>
        <v/>
      </c>
      <c r="Y132" s="34">
        <f>Y131/(1+'נתונים והנחות'!$F$11)^19</f>
        <v/>
      </c>
      <c r="Z132" s="34">
        <f>Z131/(1+'נתונים והנחות'!$F$11)^20</f>
        <v/>
      </c>
    </row>
    <row r="133">
      <c r="B133" s="5" t="inlineStr">
        <is>
          <t>NPV מצטבר — ללא תמריץ</t>
        </is>
      </c>
      <c r="C133" s="9" t="inlineStr">
        <is>
          <t>₪</t>
        </is>
      </c>
      <c r="D133" s="9" t="inlineStr">
        <is>
          <t>חישוב</t>
        </is>
      </c>
      <c r="F133" s="34">
        <f>F132</f>
        <v/>
      </c>
      <c r="G133" s="34">
        <f>F133+G132</f>
        <v/>
      </c>
      <c r="H133" s="34">
        <f>G133+H132</f>
        <v/>
      </c>
      <c r="I133" s="34">
        <f>H133+I132</f>
        <v/>
      </c>
      <c r="J133" s="34">
        <f>I133+J132</f>
        <v/>
      </c>
      <c r="K133" s="34">
        <f>J133+K132</f>
        <v/>
      </c>
      <c r="L133" s="34">
        <f>K133+L132</f>
        <v/>
      </c>
      <c r="M133" s="34">
        <f>L133+M132</f>
        <v/>
      </c>
      <c r="N133" s="34">
        <f>M133+N132</f>
        <v/>
      </c>
      <c r="O133" s="34">
        <f>N133+O132</f>
        <v/>
      </c>
      <c r="P133" s="34">
        <f>O133+P132</f>
        <v/>
      </c>
      <c r="Q133" s="34">
        <f>P133+Q132</f>
        <v/>
      </c>
      <c r="R133" s="34">
        <f>Q133+R132</f>
        <v/>
      </c>
      <c r="S133" s="34">
        <f>R133+S132</f>
        <v/>
      </c>
      <c r="T133" s="34">
        <f>S133+T132</f>
        <v/>
      </c>
      <c r="U133" s="34">
        <f>T133+U132</f>
        <v/>
      </c>
      <c r="V133" s="34">
        <f>U133+V132</f>
        <v/>
      </c>
      <c r="W133" s="34">
        <f>V133+W132</f>
        <v/>
      </c>
      <c r="X133" s="34">
        <f>W133+X132</f>
        <v/>
      </c>
      <c r="Y133" s="34">
        <f>X133+Y132</f>
        <v/>
      </c>
      <c r="Z133" s="34">
        <f>Y133+Z132</f>
        <v/>
      </c>
    </row>
    <row r="134">
      <c r="B134" s="6" t="inlineStr">
        <is>
          <t>תזרים נקי — עם תמריץ</t>
        </is>
      </c>
      <c r="C134" s="9" t="inlineStr">
        <is>
          <t>₪</t>
        </is>
      </c>
      <c r="D134" s="9" t="inlineStr">
        <is>
          <t>חישוב</t>
        </is>
      </c>
      <c r="F134" s="31" t="n">
        <v>0</v>
      </c>
      <c r="G134" s="35">
        <f>G130+G125</f>
        <v/>
      </c>
      <c r="H134" s="35">
        <f>H130+H125</f>
        <v/>
      </c>
      <c r="I134" s="35">
        <f>I130+I125</f>
        <v/>
      </c>
      <c r="J134" s="35">
        <f>J130+J125</f>
        <v/>
      </c>
      <c r="K134" s="35">
        <f>K130+K125</f>
        <v/>
      </c>
      <c r="L134" s="35">
        <f>L130+L125</f>
        <v/>
      </c>
      <c r="M134" s="35">
        <f>M130+M125</f>
        <v/>
      </c>
      <c r="N134" s="35">
        <f>N130+N125</f>
        <v/>
      </c>
      <c r="O134" s="35">
        <f>O130+O125</f>
        <v/>
      </c>
      <c r="P134" s="35">
        <f>P130+P125</f>
        <v/>
      </c>
      <c r="Q134" s="35">
        <f>Q130+Q125</f>
        <v/>
      </c>
      <c r="R134" s="35">
        <f>R130+R125</f>
        <v/>
      </c>
      <c r="S134" s="35">
        <f>S130+S125</f>
        <v/>
      </c>
      <c r="T134" s="35">
        <f>T130+T125</f>
        <v/>
      </c>
      <c r="U134" s="35">
        <f>U130+U125</f>
        <v/>
      </c>
      <c r="V134" s="35">
        <f>V130+V125</f>
        <v/>
      </c>
      <c r="W134" s="35">
        <f>W130+W125</f>
        <v/>
      </c>
      <c r="X134" s="35">
        <f>X130+X125</f>
        <v/>
      </c>
      <c r="Y134" s="35">
        <f>Y130+Y125</f>
        <v/>
      </c>
      <c r="Z134" s="35">
        <f>Z130+Z125</f>
        <v/>
      </c>
    </row>
    <row r="135">
      <c r="B135" s="6" t="inlineStr">
        <is>
          <t>תזרים מהוון — עם תמריץ</t>
        </is>
      </c>
      <c r="C135" s="9" t="inlineStr">
        <is>
          <t>₪</t>
        </is>
      </c>
      <c r="D135" s="9" t="inlineStr">
        <is>
          <t>חישוב</t>
        </is>
      </c>
      <c r="F135" s="35">
        <f>F134</f>
        <v/>
      </c>
      <c r="G135" s="35">
        <f>G134/(1+'נתונים והנחות'!$F$11)^1</f>
        <v/>
      </c>
      <c r="H135" s="35">
        <f>H134/(1+'נתונים והנחות'!$F$11)^2</f>
        <v/>
      </c>
      <c r="I135" s="35">
        <f>I134/(1+'נתונים והנחות'!$F$11)^3</f>
        <v/>
      </c>
      <c r="J135" s="35">
        <f>J134/(1+'נתונים והנחות'!$F$11)^4</f>
        <v/>
      </c>
      <c r="K135" s="35">
        <f>K134/(1+'נתונים והנחות'!$F$11)^5</f>
        <v/>
      </c>
      <c r="L135" s="35">
        <f>L134/(1+'נתונים והנחות'!$F$11)^6</f>
        <v/>
      </c>
      <c r="M135" s="35">
        <f>M134/(1+'נתונים והנחות'!$F$11)^7</f>
        <v/>
      </c>
      <c r="N135" s="35">
        <f>N134/(1+'נתונים והנחות'!$F$11)^8</f>
        <v/>
      </c>
      <c r="O135" s="35">
        <f>O134/(1+'נתונים והנחות'!$F$11)^9</f>
        <v/>
      </c>
      <c r="P135" s="35">
        <f>P134/(1+'נתונים והנחות'!$F$11)^10</f>
        <v/>
      </c>
      <c r="Q135" s="35">
        <f>Q134/(1+'נתונים והנחות'!$F$11)^11</f>
        <v/>
      </c>
      <c r="R135" s="35">
        <f>R134/(1+'נתונים והנחות'!$F$11)^12</f>
        <v/>
      </c>
      <c r="S135" s="35">
        <f>S134/(1+'נתונים והנחות'!$F$11)^13</f>
        <v/>
      </c>
      <c r="T135" s="35">
        <f>T134/(1+'נתונים והנחות'!$F$11)^14</f>
        <v/>
      </c>
      <c r="U135" s="35">
        <f>U134/(1+'נתונים והנחות'!$F$11)^15</f>
        <v/>
      </c>
      <c r="V135" s="35">
        <f>V134/(1+'נתונים והנחות'!$F$11)^16</f>
        <v/>
      </c>
      <c r="W135" s="35">
        <f>W134/(1+'נתונים והנחות'!$F$11)^17</f>
        <v/>
      </c>
      <c r="X135" s="35">
        <f>X134/(1+'נתונים והנחות'!$F$11)^18</f>
        <v/>
      </c>
      <c r="Y135" s="35">
        <f>Y134/(1+'נתונים והנחות'!$F$11)^19</f>
        <v/>
      </c>
      <c r="Z135" s="35">
        <f>Z134/(1+'נתונים והנחות'!$F$11)^20</f>
        <v/>
      </c>
    </row>
    <row r="136">
      <c r="B136" s="6" t="inlineStr">
        <is>
          <t>NPV מצטבר — עם תמריץ</t>
        </is>
      </c>
      <c r="C136" s="9" t="inlineStr">
        <is>
          <t>₪</t>
        </is>
      </c>
      <c r="D136" s="9" t="inlineStr">
        <is>
          <t>חישוב</t>
        </is>
      </c>
      <c r="F136" s="35">
        <f>F135</f>
        <v/>
      </c>
      <c r="G136" s="35">
        <f>F136+G135</f>
        <v/>
      </c>
      <c r="H136" s="35">
        <f>G136+H135</f>
        <v/>
      </c>
      <c r="I136" s="35">
        <f>H136+I135</f>
        <v/>
      </c>
      <c r="J136" s="35">
        <f>I136+J135</f>
        <v/>
      </c>
      <c r="K136" s="35">
        <f>J136+K135</f>
        <v/>
      </c>
      <c r="L136" s="35">
        <f>K136+L135</f>
        <v/>
      </c>
      <c r="M136" s="35">
        <f>L136+M135</f>
        <v/>
      </c>
      <c r="N136" s="35">
        <f>M136+N135</f>
        <v/>
      </c>
      <c r="O136" s="35">
        <f>N136+O135</f>
        <v/>
      </c>
      <c r="P136" s="35">
        <f>O136+P135</f>
        <v/>
      </c>
      <c r="Q136" s="35">
        <f>P136+Q135</f>
        <v/>
      </c>
      <c r="R136" s="35">
        <f>Q136+R135</f>
        <v/>
      </c>
      <c r="S136" s="35">
        <f>R136+S135</f>
        <v/>
      </c>
      <c r="T136" s="35">
        <f>S136+T135</f>
        <v/>
      </c>
      <c r="U136" s="35">
        <f>T136+U135</f>
        <v/>
      </c>
      <c r="V136" s="35">
        <f>U136+V135</f>
        <v/>
      </c>
      <c r="W136" s="35">
        <f>V136+W135</f>
        <v/>
      </c>
      <c r="X136" s="35">
        <f>W136+X135</f>
        <v/>
      </c>
      <c r="Y136" s="35">
        <f>X136+Y135</f>
        <v/>
      </c>
      <c r="Z136" s="35">
        <f>Y136+Z135</f>
        <v/>
      </c>
    </row>
    <row r="138">
      <c r="B138" s="25" t="inlineStr">
        <is>
          <t>ד. תוצאות</t>
        </is>
      </c>
    </row>
    <row r="139">
      <c r="B139" s="36" t="inlineStr">
        <is>
          <t>NPV ללא תמריץ</t>
        </is>
      </c>
      <c r="C139" s="9" t="inlineStr">
        <is>
          <t>ש"ח</t>
        </is>
      </c>
      <c r="F139" s="34">
        <f>SUM(F132:Z132)</f>
        <v/>
      </c>
    </row>
    <row r="140">
      <c r="B140" s="37" t="inlineStr">
        <is>
          <t>NPV עם תמריץ</t>
        </is>
      </c>
      <c r="C140" s="9" t="inlineStr">
        <is>
          <t>ש"ח</t>
        </is>
      </c>
      <c r="F140" s="35">
        <f>SUM(F135:Z135)</f>
        <v/>
      </c>
    </row>
    <row r="141">
      <c r="B141" s="38" t="inlineStr">
        <is>
          <t>דלתא NPV — ערך התמריץ</t>
        </is>
      </c>
      <c r="C141" s="9" t="inlineStr">
        <is>
          <t>ש"ח</t>
        </is>
      </c>
      <c r="F141" s="39">
        <f>F140-F139</f>
        <v/>
      </c>
    </row>
    <row r="143">
      <c r="B143" s="36" t="inlineStr">
        <is>
          <t>ROI ללא תמריץ</t>
        </is>
      </c>
      <c r="C143" s="9" t="inlineStr">
        <is>
          <t>%</t>
        </is>
      </c>
      <c r="F143" s="40">
        <f>IF(ISNUMBER($F$111),(SUM(F132:Z132)+$F$111)/$F$111,"PENDING")</f>
        <v/>
      </c>
    </row>
    <row r="144">
      <c r="B144" s="37" t="inlineStr">
        <is>
          <t>ROI עם תמריץ</t>
        </is>
      </c>
      <c r="C144" s="9" t="inlineStr">
        <is>
          <t>%</t>
        </is>
      </c>
      <c r="F144" s="41">
        <f>IF(ISNUMBER($F$111),(SUM(F135:Z135)+$F$111)/$F$111,"PENDING")</f>
        <v/>
      </c>
    </row>
    <row r="145">
      <c r="B145" s="38" t="inlineStr">
        <is>
          <t>שיפור ROI בזכות התמריץ</t>
        </is>
      </c>
      <c r="C145" s="9" t="inlineStr">
        <is>
          <t>%</t>
        </is>
      </c>
      <c r="F145" s="11">
        <f>IF(ISNUMBER(F144),F144-F143,"PENDING")</f>
        <v/>
      </c>
    </row>
    <row r="147">
      <c r="B147" s="36" t="inlineStr">
        <is>
          <t>תקופת החזר — ללא תמריץ (NPV)</t>
        </is>
      </c>
      <c r="C147" s="9" t="inlineStr">
        <is>
          <t>שנים</t>
        </is>
      </c>
      <c r="F147" s="42">
        <f>IFERROR(MATCH(1,(F133:Z133&gt;0)*1,0)-2+ABS(INDEX(F133:Z133,MATCH(1,(F133:Z133&gt;0)*1,0)-1))/(INDEX(F133:Z133,MATCH(1,(F133:Z133&gt;0)*1,0))-INDEX(F133:Z133,MATCH(1,(F133:Z133&gt;0)*1,0)-1)),"לא מגיע לפירעון")</f>
        <v/>
      </c>
    </row>
    <row r="148">
      <c r="B148" s="37" t="inlineStr">
        <is>
          <t>תקופת החזר — עם תמריץ (NPV)</t>
        </is>
      </c>
      <c r="C148" s="9" t="inlineStr">
        <is>
          <t>שנים</t>
        </is>
      </c>
      <c r="F148" s="43">
        <f>IFERROR(MATCH(1,(F136:Z136&gt;0)*1,0)-2+ABS(INDEX(F136:Z136,MATCH(1,(F136:Z136&gt;0)*1,0)-1))/(INDEX(F136:Z136,MATCH(1,(F136:Z136&gt;0)*1,0))-INDEX(F136:Z136,MATCH(1,(F136:Z136&gt;0)*1,0)-1)),"לא מגיע לפירעון")</f>
        <v/>
      </c>
    </row>
    <row r="149">
      <c r="B149" s="23" t="inlineStr">
        <is>
          <t>* תקופת ההחזר מחושבת לפי נקודת הקרוסאובר של ה-NPV המצטבר (אינטרפולציה לינארית)</t>
        </is>
      </c>
    </row>
    <row r="152">
      <c r="B152" s="24" t="inlineStr">
        <is>
          <t>3.4  מערכות קיטור חשמליות</t>
        </is>
      </c>
    </row>
    <row r="153">
      <c r="B153" s="23" t="inlineStr">
        <is>
          <t>* החלפת קיטור מבוסס דלק בקיטור חשמלי | חיסכון ~50% מצריכה | אורך חיים: 10 שנה</t>
        </is>
      </c>
    </row>
    <row r="154">
      <c r="B154" s="25" t="inlineStr">
        <is>
          <t>א. הנחות בסיסיות להשקעה</t>
        </is>
      </c>
    </row>
    <row r="155">
      <c r="B155" s="18" t="inlineStr">
        <is>
          <t>עלות השקעה (CapEx)</t>
        </is>
      </c>
      <c r="C155" s="9" t="inlineStr">
        <is>
          <t>₪</t>
        </is>
      </c>
      <c r="D155" s="9" t="inlineStr">
        <is>
          <t>נתוני רפי</t>
        </is>
      </c>
      <c r="E155" s="26" t="inlineStr">
        <is>
          <t>⚠ ממתין לנתוני ראש המהנדסים</t>
        </is>
      </c>
      <c r="F155" s="27" t="inlineStr">
        <is>
          <t>PENDING</t>
        </is>
      </c>
    </row>
    <row r="156">
      <c r="B156" s="18" t="inlineStr">
        <is>
          <t>צריכת אנרגיה שנתית (לפני החלפה)</t>
        </is>
      </c>
      <c r="C156" s="9" t="inlineStr">
        <is>
          <t>קוט"ש/שנה</t>
        </is>
      </c>
      <c r="D156" s="9" t="inlineStr">
        <is>
          <t>נתוני רפי</t>
        </is>
      </c>
      <c r="E156" s="26" t="inlineStr">
        <is>
          <t>⚠ ממתין לנתוני ראש המהנדסים</t>
        </is>
      </c>
      <c r="F156" s="27" t="inlineStr">
        <is>
          <t>PENDING</t>
        </is>
      </c>
    </row>
    <row r="157">
      <c r="B157" s="18" t="inlineStr">
        <is>
          <t>חיסכון אנרגטי</t>
        </is>
      </c>
      <c r="C157" s="9" t="inlineStr">
        <is>
          <t>% מצריכה</t>
        </is>
      </c>
      <c r="D157" s="9" t="inlineStr">
        <is>
          <t>ממצאי הנדסה</t>
        </is>
      </c>
      <c r="F157" s="10" t="n">
        <v>0.5</v>
      </c>
    </row>
    <row r="158">
      <c r="B158" s="18" t="inlineStr">
        <is>
          <t>חיסכון שנתי בסיסי</t>
        </is>
      </c>
      <c r="C158" s="9" t="inlineStr">
        <is>
          <t>קוט"ש/שנה</t>
        </is>
      </c>
      <c r="D158" s="9" t="inlineStr">
        <is>
          <t>חישוב</t>
        </is>
      </c>
      <c r="E158" s="9">
        <f> צריכה × שיעור חיסכון</f>
        <v/>
      </c>
      <c r="F158" s="28">
        <f>IF(ISNUMBER($F$156),$F$156*$F$157,"PENDING")</f>
        <v/>
      </c>
    </row>
    <row r="159">
      <c r="B159" s="18" t="inlineStr">
        <is>
          <t>גורם שחיקת ביצועים</t>
        </is>
      </c>
      <c r="C159" s="9" t="inlineStr">
        <is>
          <t>% לשנה</t>
        </is>
      </c>
      <c r="D159" s="9" t="inlineStr">
        <is>
          <t>הנחת עבודה</t>
        </is>
      </c>
      <c r="E159" s="26" t="inlineStr">
        <is>
          <t>ירידה שנתית בחיסכון | טווח: 0.5%-1.0%/שנה — לאשר מול רפי</t>
        </is>
      </c>
      <c r="F159" s="11" t="n">
        <v>0.005</v>
      </c>
    </row>
    <row r="160">
      <c r="B160" s="18" t="inlineStr">
        <is>
          <t>אורך חיי הציוד (כלכלי)</t>
        </is>
      </c>
      <c r="C160" s="9" t="inlineStr">
        <is>
          <t>שנים</t>
        </is>
      </c>
      <c r="D160" s="9" t="inlineStr">
        <is>
          <t>ממצאי הנדסה</t>
        </is>
      </c>
      <c r="F160" s="29" t="n">
        <v>10</v>
      </c>
    </row>
    <row r="161">
      <c r="B161" s="18" t="inlineStr">
        <is>
          <t>מחיר חשמל</t>
        </is>
      </c>
      <c r="C161" s="9" t="inlineStr">
        <is>
          <t>₪/קוט"ש</t>
        </is>
      </c>
      <c r="D161" s="9" t="inlineStr">
        <is>
          <t>גיליון הנחות</t>
        </is>
      </c>
      <c r="F161" s="30">
        <f>'נתונים והנחות'!$F$12/100</f>
        <v/>
      </c>
    </row>
    <row r="162">
      <c r="B162" s="18" t="inlineStr">
        <is>
          <t>חיסכון שנתי בסיסי (₪, שנה 1)</t>
        </is>
      </c>
      <c r="C162" s="9" t="inlineStr">
        <is>
          <t>₪/שנה</t>
        </is>
      </c>
      <c r="D162" s="9" t="inlineStr">
        <is>
          <t>חישוב</t>
        </is>
      </c>
      <c r="E162" s="9">
        <f> חיסכון קוט"ש × מחיר חשמל</f>
        <v/>
      </c>
      <c r="F162" s="31">
        <f>IF(ISNUMBER($F$158),$F$158*$F$161,"PENDING")</f>
        <v/>
      </c>
    </row>
    <row r="164">
      <c r="B164" s="25" t="inlineStr">
        <is>
          <t>ב. לוחות פחת — השוואה (ללא תמריץ vs. עם מכפיל)</t>
        </is>
      </c>
    </row>
    <row r="165">
      <c r="B165" s="32" t="inlineStr">
        <is>
          <t>פרמטר</t>
        </is>
      </c>
      <c r="C165" s="32" t="inlineStr">
        <is>
          <t>יחידות</t>
        </is>
      </c>
      <c r="D165" s="32" t="inlineStr">
        <is>
          <t>מקור</t>
        </is>
      </c>
      <c r="E165" s="32" t="inlineStr">
        <is>
          <t>הערות</t>
        </is>
      </c>
      <c r="F165" s="32" t="inlineStr">
        <is>
          <t>שנה 0 (השקעה)</t>
        </is>
      </c>
      <c r="G165" s="32" t="inlineStr">
        <is>
          <t>שנה 1</t>
        </is>
      </c>
      <c r="H165" s="32" t="inlineStr">
        <is>
          <t>שנה 2</t>
        </is>
      </c>
      <c r="I165" s="32" t="inlineStr">
        <is>
          <t>שנה 3</t>
        </is>
      </c>
      <c r="J165" s="32" t="inlineStr">
        <is>
          <t>שנה 4</t>
        </is>
      </c>
      <c r="K165" s="32" t="inlineStr">
        <is>
          <t>שנה 5</t>
        </is>
      </c>
      <c r="L165" s="32" t="inlineStr">
        <is>
          <t>שנה 6</t>
        </is>
      </c>
      <c r="M165" s="32" t="inlineStr">
        <is>
          <t>שנה 7</t>
        </is>
      </c>
      <c r="N165" s="32" t="inlineStr">
        <is>
          <t>שנה 8</t>
        </is>
      </c>
      <c r="O165" s="32" t="inlineStr">
        <is>
          <t>שנה 9</t>
        </is>
      </c>
      <c r="P165" s="32" t="inlineStr">
        <is>
          <t>שנה 10</t>
        </is>
      </c>
      <c r="Q165" s="32" t="inlineStr">
        <is>
          <t>שנה 11</t>
        </is>
      </c>
      <c r="R165" s="32" t="inlineStr">
        <is>
          <t>שנה 12</t>
        </is>
      </c>
      <c r="S165" s="32" t="inlineStr">
        <is>
          <t>שנה 13</t>
        </is>
      </c>
      <c r="T165" s="32" t="inlineStr">
        <is>
          <t>שנה 14</t>
        </is>
      </c>
      <c r="U165" s="32" t="inlineStr">
        <is>
          <t>שנה 15</t>
        </is>
      </c>
      <c r="V165" s="32" t="inlineStr">
        <is>
          <t>שנה 16</t>
        </is>
      </c>
      <c r="W165" s="32" t="inlineStr">
        <is>
          <t>שנה 17</t>
        </is>
      </c>
      <c r="X165" s="32" t="inlineStr">
        <is>
          <t>שנה 18</t>
        </is>
      </c>
      <c r="Y165" s="32" t="inlineStr">
        <is>
          <t>שנה 19</t>
        </is>
      </c>
      <c r="Z165" s="32" t="inlineStr">
        <is>
          <t>שנה 20</t>
        </is>
      </c>
    </row>
    <row r="166">
      <c r="B166" s="4" t="inlineStr">
        <is>
          <t>פחת שנתי — סטנדרטי</t>
        </is>
      </c>
      <c r="C166" s="9" t="inlineStr">
        <is>
          <t>₪</t>
        </is>
      </c>
      <c r="D166" s="9" t="inlineStr">
        <is>
          <t>חישוב</t>
        </is>
      </c>
      <c r="E166" s="9">
        <f> CapEx × 10% | קו ישר | עד שנה 10</f>
        <v/>
      </c>
      <c r="F166" s="33" t="n">
        <v>0</v>
      </c>
      <c r="G166" s="33">
        <f>IF(ISNUMBER($F$155),$F$155*0.1,0)</f>
        <v/>
      </c>
      <c r="H166" s="33">
        <f>IF(ISNUMBER($F$155),$F$155*0.1,0)</f>
        <v/>
      </c>
      <c r="I166" s="33">
        <f>IF(ISNUMBER($F$155),$F$155*0.1,0)</f>
        <v/>
      </c>
      <c r="J166" s="33">
        <f>IF(ISNUMBER($F$155),$F$155*0.1,0)</f>
        <v/>
      </c>
      <c r="K166" s="33">
        <f>IF(ISNUMBER($F$155),$F$155*0.1,0)</f>
        <v/>
      </c>
      <c r="L166" s="33">
        <f>IF(ISNUMBER($F$155),$F$155*0.1,0)</f>
        <v/>
      </c>
      <c r="M166" s="33">
        <f>IF(ISNUMBER($F$155),$F$155*0.1,0)</f>
        <v/>
      </c>
      <c r="N166" s="33">
        <f>IF(ISNUMBER($F$155),$F$155*0.1,0)</f>
        <v/>
      </c>
      <c r="O166" s="33">
        <f>IF(ISNUMBER($F$155),$F$155*0.1,0)</f>
        <v/>
      </c>
      <c r="P166" s="33">
        <f>IF(ISNUMBER($F$155),$F$155*0.1,0)</f>
        <v/>
      </c>
      <c r="Q166" s="33">
        <f>0</f>
        <v/>
      </c>
      <c r="R166" s="33">
        <f>0</f>
        <v/>
      </c>
      <c r="S166" s="33">
        <f>0</f>
        <v/>
      </c>
      <c r="T166" s="33">
        <f>0</f>
        <v/>
      </c>
      <c r="U166" s="33">
        <f>0</f>
        <v/>
      </c>
      <c r="V166" s="33">
        <f>0</f>
        <v/>
      </c>
      <c r="W166" s="33">
        <f>0</f>
        <v/>
      </c>
      <c r="X166" s="33">
        <f>0</f>
        <v/>
      </c>
      <c r="Y166" s="33">
        <f>0</f>
        <v/>
      </c>
      <c r="Z166" s="33">
        <f>0</f>
        <v/>
      </c>
    </row>
    <row r="167">
      <c r="B167" s="5" t="inlineStr">
        <is>
          <t>מגן מס — סטנדרטי</t>
        </is>
      </c>
      <c r="C167" s="9" t="inlineStr">
        <is>
          <t>₪</t>
        </is>
      </c>
      <c r="D167" s="9" t="inlineStr">
        <is>
          <t>חישוב</t>
        </is>
      </c>
      <c r="E167" s="9">
        <f> פחת × שיעור מס</f>
        <v/>
      </c>
      <c r="F167" s="34" t="n">
        <v>0</v>
      </c>
      <c r="G167" s="34">
        <f>G166*'נתונים והנחות'!$F$10</f>
        <v/>
      </c>
      <c r="H167" s="34">
        <f>H166*'נתונים והנחות'!$F$10</f>
        <v/>
      </c>
      <c r="I167" s="34">
        <f>I166*'נתונים והנחות'!$F$10</f>
        <v/>
      </c>
      <c r="J167" s="34">
        <f>J166*'נתונים והנחות'!$F$10</f>
        <v/>
      </c>
      <c r="K167" s="34">
        <f>K166*'נתונים והנחות'!$F$10</f>
        <v/>
      </c>
      <c r="L167" s="34">
        <f>L166*'נתונים והנחות'!$F$10</f>
        <v/>
      </c>
      <c r="M167" s="34">
        <f>M166*'נתונים והנחות'!$F$10</f>
        <v/>
      </c>
      <c r="N167" s="34">
        <f>N166*'נתונים והנחות'!$F$10</f>
        <v/>
      </c>
      <c r="O167" s="34">
        <f>O166*'נתונים והנחות'!$F$10</f>
        <v/>
      </c>
      <c r="P167" s="34">
        <f>P166*'נתונים והנחות'!$F$10</f>
        <v/>
      </c>
      <c r="Q167" s="34">
        <f>Q166*'נתונים והנחות'!$F$10</f>
        <v/>
      </c>
      <c r="R167" s="34">
        <f>R166*'נתונים והנחות'!$F$10</f>
        <v/>
      </c>
      <c r="S167" s="34">
        <f>S166*'נתונים והנחות'!$F$10</f>
        <v/>
      </c>
      <c r="T167" s="34">
        <f>T166*'נתונים והנחות'!$F$10</f>
        <v/>
      </c>
      <c r="U167" s="34">
        <f>U166*'נתונים והנחות'!$F$10</f>
        <v/>
      </c>
      <c r="V167" s="34">
        <f>V166*'נתונים והנחות'!$F$10</f>
        <v/>
      </c>
      <c r="W167" s="34">
        <f>W166*'נתונים והנחות'!$F$10</f>
        <v/>
      </c>
      <c r="X167" s="34">
        <f>X166*'נתונים והנחות'!$F$10</f>
        <v/>
      </c>
      <c r="Y167" s="34">
        <f>Y166*'נתונים והנחות'!$F$10</f>
        <v/>
      </c>
      <c r="Z167" s="34">
        <f>Z166*'נתונים והנחות'!$F$10</f>
        <v/>
      </c>
    </row>
    <row r="168">
      <c r="B168" s="6" t="inlineStr">
        <is>
          <t>פחת שנתי — מואץ</t>
        </is>
      </c>
      <c r="C168" s="9" t="inlineStr">
        <is>
          <t>₪</t>
        </is>
      </c>
      <c r="D168" s="9" t="inlineStr">
        <is>
          <t>חישוב</t>
        </is>
      </c>
      <c r="E168" s="9">
        <f> CapEx × (שיעור סטנדרטי × מכפיל) | תקופה = 1 ÷ שיעור מואץ</f>
        <v/>
      </c>
      <c r="F168" s="35" t="n">
        <v>0</v>
      </c>
      <c r="G168" s="35">
        <f>IF(ISNUMBER($F$155),IF(1&lt;=ROUND(1/(0.1*'נתונים והנחות'!$F$15),0),$F$155*0.1*'נתונים והנחות'!$F$15,0),0)</f>
        <v/>
      </c>
      <c r="H168" s="35">
        <f>IF(ISNUMBER($F$155),IF(2&lt;=ROUND(1/(0.1*'נתונים והנחות'!$F$15),0),$F$155*0.1*'נתונים והנחות'!$F$15,0),0)</f>
        <v/>
      </c>
      <c r="I168" s="35">
        <f>IF(ISNUMBER($F$155),IF(3&lt;=ROUND(1/(0.1*'נתונים והנחות'!$F$15),0),$F$155*0.1*'נתונים והנחות'!$F$15,0),0)</f>
        <v/>
      </c>
      <c r="J168" s="35">
        <f>IF(ISNUMBER($F$155),IF(4&lt;=ROUND(1/(0.1*'נתונים והנחות'!$F$15),0),$F$155*0.1*'נתונים והנחות'!$F$15,0),0)</f>
        <v/>
      </c>
      <c r="K168" s="35">
        <f>IF(ISNUMBER($F$155),IF(5&lt;=ROUND(1/(0.1*'נתונים והנחות'!$F$15),0),$F$155*0.1*'נתונים והנחות'!$F$15,0),0)</f>
        <v/>
      </c>
      <c r="L168" s="35">
        <f>IF(ISNUMBER($F$155),IF(6&lt;=ROUND(1/(0.1*'נתונים והנחות'!$F$15),0),$F$155*0.1*'נתונים והנחות'!$F$15,0),0)</f>
        <v/>
      </c>
      <c r="M168" s="35">
        <f>IF(ISNUMBER($F$155),IF(7&lt;=ROUND(1/(0.1*'נתונים והנחות'!$F$15),0),$F$155*0.1*'נתונים והנחות'!$F$15,0),0)</f>
        <v/>
      </c>
      <c r="N168" s="35">
        <f>IF(ISNUMBER($F$155),IF(8&lt;=ROUND(1/(0.1*'נתונים והנחות'!$F$15),0),$F$155*0.1*'נתונים והנחות'!$F$15,0),0)</f>
        <v/>
      </c>
      <c r="O168" s="35">
        <f>IF(ISNUMBER($F$155),IF(9&lt;=ROUND(1/(0.1*'נתונים והנחות'!$F$15),0),$F$155*0.1*'נתונים והנחות'!$F$15,0),0)</f>
        <v/>
      </c>
      <c r="P168" s="35">
        <f>IF(ISNUMBER($F$155),IF(10&lt;=ROUND(1/(0.1*'נתונים והנחות'!$F$15),0),$F$155*0.1*'נתונים והנחות'!$F$15,0),0)</f>
        <v/>
      </c>
      <c r="Q168" s="35">
        <f>IF(ISNUMBER($F$155),IF(11&lt;=ROUND(1/(0.1*'נתונים והנחות'!$F$15),0),$F$155*0.1*'נתונים והנחות'!$F$15,0),0)</f>
        <v/>
      </c>
      <c r="R168" s="35">
        <f>IF(ISNUMBER($F$155),IF(12&lt;=ROUND(1/(0.1*'נתונים והנחות'!$F$15),0),$F$155*0.1*'נתונים והנחות'!$F$15,0),0)</f>
        <v/>
      </c>
      <c r="S168" s="35">
        <f>IF(ISNUMBER($F$155),IF(13&lt;=ROUND(1/(0.1*'נתונים והנחות'!$F$15),0),$F$155*0.1*'נתונים והנחות'!$F$15,0),0)</f>
        <v/>
      </c>
      <c r="T168" s="35">
        <f>IF(ISNUMBER($F$155),IF(14&lt;=ROUND(1/(0.1*'נתונים והנחות'!$F$15),0),$F$155*0.1*'נתונים והנחות'!$F$15,0),0)</f>
        <v/>
      </c>
      <c r="U168" s="35">
        <f>IF(ISNUMBER($F$155),IF(15&lt;=ROUND(1/(0.1*'נתונים והנחות'!$F$15),0),$F$155*0.1*'נתונים והנחות'!$F$15,0),0)</f>
        <v/>
      </c>
      <c r="V168" s="35">
        <f>IF(ISNUMBER($F$155),IF(16&lt;=ROUND(1/(0.1*'נתונים והנחות'!$F$15),0),$F$155*0.1*'נתונים והנחות'!$F$15,0),0)</f>
        <v/>
      </c>
      <c r="W168" s="35">
        <f>IF(ISNUMBER($F$155),IF(17&lt;=ROUND(1/(0.1*'נתונים והנחות'!$F$15),0),$F$155*0.1*'נתונים והנחות'!$F$15,0),0)</f>
        <v/>
      </c>
      <c r="X168" s="35">
        <f>IF(ISNUMBER($F$155),IF(18&lt;=ROUND(1/(0.1*'נתונים והנחות'!$F$15),0),$F$155*0.1*'נתונים והנחות'!$F$15,0),0)</f>
        <v/>
      </c>
      <c r="Y168" s="35">
        <f>IF(ISNUMBER($F$155),IF(19&lt;=ROUND(1/(0.1*'נתונים והנחות'!$F$15),0),$F$155*0.1*'נתונים והנחות'!$F$15,0),0)</f>
        <v/>
      </c>
      <c r="Z168" s="35">
        <f>IF(ISNUMBER($F$155),IF(20&lt;=ROUND(1/(0.1*'נתונים והנחות'!$F$15),0),$F$155*0.1*'נתונים והנחות'!$F$15,0),0)</f>
        <v/>
      </c>
    </row>
    <row r="169">
      <c r="B169" s="6" t="inlineStr">
        <is>
          <t>מגן מס — מואץ</t>
        </is>
      </c>
      <c r="C169" s="9" t="inlineStr">
        <is>
          <t>₪</t>
        </is>
      </c>
      <c r="D169" s="9" t="inlineStr">
        <is>
          <t>חישוב</t>
        </is>
      </c>
      <c r="E169" s="9">
        <f> פחת מואץ × שיעור מס</f>
        <v/>
      </c>
      <c r="F169" s="35" t="n">
        <v>0</v>
      </c>
      <c r="G169" s="35">
        <f>G168*'נתונים והנחות'!$F$10</f>
        <v/>
      </c>
      <c r="H169" s="35">
        <f>H168*'נתונים והנחות'!$F$10</f>
        <v/>
      </c>
      <c r="I169" s="35">
        <f>I168*'נתונים והנחות'!$F$10</f>
        <v/>
      </c>
      <c r="J169" s="35">
        <f>J168*'נתונים והנחות'!$F$10</f>
        <v/>
      </c>
      <c r="K169" s="35">
        <f>K168*'נתונים והנחות'!$F$10</f>
        <v/>
      </c>
      <c r="L169" s="35">
        <f>L168*'נתונים והנחות'!$F$10</f>
        <v/>
      </c>
      <c r="M169" s="35">
        <f>M168*'נתונים והנחות'!$F$10</f>
        <v/>
      </c>
      <c r="N169" s="35">
        <f>N168*'נתונים והנחות'!$F$10</f>
        <v/>
      </c>
      <c r="O169" s="35">
        <f>O168*'נתונים והנחות'!$F$10</f>
        <v/>
      </c>
      <c r="P169" s="35">
        <f>P168*'נתונים והנחות'!$F$10</f>
        <v/>
      </c>
      <c r="Q169" s="35">
        <f>Q168*'נתונים והנחות'!$F$10</f>
        <v/>
      </c>
      <c r="R169" s="35">
        <f>R168*'נתונים והנחות'!$F$10</f>
        <v/>
      </c>
      <c r="S169" s="35">
        <f>S168*'נתונים והנחות'!$F$10</f>
        <v/>
      </c>
      <c r="T169" s="35">
        <f>T168*'נתונים והנחות'!$F$10</f>
        <v/>
      </c>
      <c r="U169" s="35">
        <f>U168*'נתונים והנחות'!$F$10</f>
        <v/>
      </c>
      <c r="V169" s="35">
        <f>V168*'נתונים והנחות'!$F$10</f>
        <v/>
      </c>
      <c r="W169" s="35">
        <f>W168*'נתונים והנחות'!$F$10</f>
        <v/>
      </c>
      <c r="X169" s="35">
        <f>X168*'נתונים והנחות'!$F$10</f>
        <v/>
      </c>
      <c r="Y169" s="35">
        <f>Y168*'נתונים והנחות'!$F$10</f>
        <v/>
      </c>
      <c r="Z169" s="35">
        <f>Z168*'נתונים והנחות'!$F$10</f>
        <v/>
      </c>
    </row>
    <row r="171">
      <c r="B171" s="25" t="inlineStr">
        <is>
          <t>ג. ניתוח תזרים מזומנים</t>
        </is>
      </c>
    </row>
    <row r="172">
      <c r="B172" s="32" t="inlineStr">
        <is>
          <t>פרמטר</t>
        </is>
      </c>
      <c r="C172" s="32" t="inlineStr">
        <is>
          <t>יחידות</t>
        </is>
      </c>
      <c r="D172" s="32" t="inlineStr">
        <is>
          <t>מקור</t>
        </is>
      </c>
      <c r="E172" s="32" t="inlineStr">
        <is>
          <t>הערות</t>
        </is>
      </c>
      <c r="F172" s="32" t="inlineStr">
        <is>
          <t>שנה 0 (השקעה)</t>
        </is>
      </c>
      <c r="G172" s="32" t="inlineStr">
        <is>
          <t>שנה 1</t>
        </is>
      </c>
      <c r="H172" s="32" t="inlineStr">
        <is>
          <t>שנה 2</t>
        </is>
      </c>
      <c r="I172" s="32" t="inlineStr">
        <is>
          <t>שנה 3</t>
        </is>
      </c>
      <c r="J172" s="32" t="inlineStr">
        <is>
          <t>שנה 4</t>
        </is>
      </c>
      <c r="K172" s="32" t="inlineStr">
        <is>
          <t>שנה 5</t>
        </is>
      </c>
      <c r="L172" s="32" t="inlineStr">
        <is>
          <t>שנה 6</t>
        </is>
      </c>
      <c r="M172" s="32" t="inlineStr">
        <is>
          <t>שנה 7</t>
        </is>
      </c>
      <c r="N172" s="32" t="inlineStr">
        <is>
          <t>שנה 8</t>
        </is>
      </c>
      <c r="O172" s="32" t="inlineStr">
        <is>
          <t>שנה 9</t>
        </is>
      </c>
      <c r="P172" s="32" t="inlineStr">
        <is>
          <t>שנה 10</t>
        </is>
      </c>
      <c r="Q172" s="32" t="inlineStr">
        <is>
          <t>שנה 11</t>
        </is>
      </c>
      <c r="R172" s="32" t="inlineStr">
        <is>
          <t>שנה 12</t>
        </is>
      </c>
      <c r="S172" s="32" t="inlineStr">
        <is>
          <t>שנה 13</t>
        </is>
      </c>
      <c r="T172" s="32" t="inlineStr">
        <is>
          <t>שנה 14</t>
        </is>
      </c>
      <c r="U172" s="32" t="inlineStr">
        <is>
          <t>שנה 15</t>
        </is>
      </c>
      <c r="V172" s="32" t="inlineStr">
        <is>
          <t>שנה 16</t>
        </is>
      </c>
      <c r="W172" s="32" t="inlineStr">
        <is>
          <t>שנה 17</t>
        </is>
      </c>
      <c r="X172" s="32" t="inlineStr">
        <is>
          <t>שנה 18</t>
        </is>
      </c>
      <c r="Y172" s="32" t="inlineStr">
        <is>
          <t>שנה 19</t>
        </is>
      </c>
      <c r="Z172" s="32" t="inlineStr">
        <is>
          <t>שנה 20</t>
        </is>
      </c>
    </row>
    <row r="173">
      <c r="B173" s="4" t="inlineStr">
        <is>
          <t>השקעה ראשונית (CapEx)</t>
        </is>
      </c>
      <c r="C173" s="9" t="inlineStr">
        <is>
          <t>₪</t>
        </is>
      </c>
      <c r="D173" s="9" t="inlineStr">
        <is>
          <t>חישוב</t>
        </is>
      </c>
      <c r="F173" s="31">
        <f>IF(ISNUMBER($F$155),-$F$155,"PENDING")</f>
        <v/>
      </c>
    </row>
    <row r="174">
      <c r="B174" s="4" t="inlineStr">
        <is>
          <t>חיסכון שנתי — אנרגיה (בניכוי שחיקה)</t>
        </is>
      </c>
      <c r="C174" s="9" t="inlineStr">
        <is>
          <t>₪</t>
        </is>
      </c>
      <c r="D174" s="9" t="inlineStr">
        <is>
          <t>חישוב</t>
        </is>
      </c>
      <c r="F174" s="31" t="n">
        <v>0</v>
      </c>
      <c r="G174" s="31">
        <f>IF(ISNUMBER($F$162),$F$162*(1-$F$159)^0,0)</f>
        <v/>
      </c>
      <c r="H174" s="31">
        <f>IF(ISNUMBER($F$162),$F$162*(1-$F$159)^1,0)</f>
        <v/>
      </c>
      <c r="I174" s="31">
        <f>IF(ISNUMBER($F$162),$F$162*(1-$F$159)^2,0)</f>
        <v/>
      </c>
      <c r="J174" s="31">
        <f>IF(ISNUMBER($F$162),$F$162*(1-$F$159)^3,0)</f>
        <v/>
      </c>
      <c r="K174" s="31">
        <f>IF(ISNUMBER($F$162),$F$162*(1-$F$159)^4,0)</f>
        <v/>
      </c>
      <c r="L174" s="31">
        <f>IF(ISNUMBER($F$162),$F$162*(1-$F$159)^5,0)</f>
        <v/>
      </c>
      <c r="M174" s="31">
        <f>IF(ISNUMBER($F$162),$F$162*(1-$F$159)^6,0)</f>
        <v/>
      </c>
      <c r="N174" s="31">
        <f>IF(ISNUMBER($F$162),$F$162*(1-$F$159)^7,0)</f>
        <v/>
      </c>
      <c r="O174" s="31">
        <f>IF(ISNUMBER($F$162),$F$162*(1-$F$159)^8,0)</f>
        <v/>
      </c>
      <c r="P174" s="31">
        <f>IF(ISNUMBER($F$162),$F$162*(1-$F$159)^9,0)</f>
        <v/>
      </c>
      <c r="Q174" s="31">
        <f>0</f>
        <v/>
      </c>
      <c r="R174" s="31">
        <f>0</f>
        <v/>
      </c>
      <c r="S174" s="31">
        <f>0</f>
        <v/>
      </c>
      <c r="T174" s="31">
        <f>0</f>
        <v/>
      </c>
      <c r="U174" s="31">
        <f>0</f>
        <v/>
      </c>
      <c r="V174" s="31">
        <f>0</f>
        <v/>
      </c>
      <c r="W174" s="31">
        <f>0</f>
        <v/>
      </c>
      <c r="X174" s="31">
        <f>0</f>
        <v/>
      </c>
      <c r="Y174" s="31">
        <f>0</f>
        <v/>
      </c>
      <c r="Z174" s="31">
        <f>0</f>
        <v/>
      </c>
    </row>
    <row r="175">
      <c r="B175" s="4" t="inlineStr">
        <is>
          <t>תזרים נקי — ללא תמריץ</t>
        </is>
      </c>
      <c r="C175" s="9" t="inlineStr">
        <is>
          <t>₪</t>
        </is>
      </c>
      <c r="D175" s="9" t="inlineStr">
        <is>
          <t>חישוב</t>
        </is>
      </c>
      <c r="F175" s="31" t="n">
        <v>0</v>
      </c>
      <c r="G175" s="31">
        <f>G174+G167</f>
        <v/>
      </c>
      <c r="H175" s="31">
        <f>H174+H167</f>
        <v/>
      </c>
      <c r="I175" s="31">
        <f>I174+I167</f>
        <v/>
      </c>
      <c r="J175" s="31">
        <f>J174+J167</f>
        <v/>
      </c>
      <c r="K175" s="31">
        <f>K174+K167</f>
        <v/>
      </c>
      <c r="L175" s="31">
        <f>L174+L167</f>
        <v/>
      </c>
      <c r="M175" s="31">
        <f>M174+M167</f>
        <v/>
      </c>
      <c r="N175" s="31">
        <f>N174+N167</f>
        <v/>
      </c>
      <c r="O175" s="31">
        <f>O174+O167</f>
        <v/>
      </c>
      <c r="P175" s="31">
        <f>P174+P167</f>
        <v/>
      </c>
      <c r="Q175" s="31">
        <f>Q174+Q167</f>
        <v/>
      </c>
      <c r="R175" s="31">
        <f>R174+R167</f>
        <v/>
      </c>
      <c r="S175" s="31">
        <f>S174+S167</f>
        <v/>
      </c>
      <c r="T175" s="31">
        <f>T174+T167</f>
        <v/>
      </c>
      <c r="U175" s="31">
        <f>U174+U167</f>
        <v/>
      </c>
      <c r="V175" s="31">
        <f>V174+V167</f>
        <v/>
      </c>
      <c r="W175" s="31">
        <f>W174+W167</f>
        <v/>
      </c>
      <c r="X175" s="31">
        <f>X174+X167</f>
        <v/>
      </c>
      <c r="Y175" s="31">
        <f>Y174+Y167</f>
        <v/>
      </c>
      <c r="Z175" s="31">
        <f>Z174+Z167</f>
        <v/>
      </c>
    </row>
    <row r="176">
      <c r="B176" s="5" t="inlineStr">
        <is>
          <t>תזרים מהוון — ללא תמריץ</t>
        </is>
      </c>
      <c r="C176" s="9" t="inlineStr">
        <is>
          <t>₪</t>
        </is>
      </c>
      <c r="D176" s="9" t="inlineStr">
        <is>
          <t>חישוב</t>
        </is>
      </c>
      <c r="F176" s="34">
        <f>F175</f>
        <v/>
      </c>
      <c r="G176" s="34">
        <f>G175/(1+'נתונים והנחות'!$F$11)^1</f>
        <v/>
      </c>
      <c r="H176" s="34">
        <f>H175/(1+'נתונים והנחות'!$F$11)^2</f>
        <v/>
      </c>
      <c r="I176" s="34">
        <f>I175/(1+'נתונים והנחות'!$F$11)^3</f>
        <v/>
      </c>
      <c r="J176" s="34">
        <f>J175/(1+'נתונים והנחות'!$F$11)^4</f>
        <v/>
      </c>
      <c r="K176" s="34">
        <f>K175/(1+'נתונים והנחות'!$F$11)^5</f>
        <v/>
      </c>
      <c r="L176" s="34">
        <f>L175/(1+'נתונים והנחות'!$F$11)^6</f>
        <v/>
      </c>
      <c r="M176" s="34">
        <f>M175/(1+'נתונים והנחות'!$F$11)^7</f>
        <v/>
      </c>
      <c r="N176" s="34">
        <f>N175/(1+'נתונים והנחות'!$F$11)^8</f>
        <v/>
      </c>
      <c r="O176" s="34">
        <f>O175/(1+'נתונים והנחות'!$F$11)^9</f>
        <v/>
      </c>
      <c r="P176" s="34">
        <f>P175/(1+'נתונים והנחות'!$F$11)^10</f>
        <v/>
      </c>
      <c r="Q176" s="34">
        <f>Q175/(1+'נתונים והנחות'!$F$11)^11</f>
        <v/>
      </c>
      <c r="R176" s="34">
        <f>R175/(1+'נתונים והנחות'!$F$11)^12</f>
        <v/>
      </c>
      <c r="S176" s="34">
        <f>S175/(1+'נתונים והנחות'!$F$11)^13</f>
        <v/>
      </c>
      <c r="T176" s="34">
        <f>T175/(1+'נתונים והנחות'!$F$11)^14</f>
        <v/>
      </c>
      <c r="U176" s="34">
        <f>U175/(1+'נתונים והנחות'!$F$11)^15</f>
        <v/>
      </c>
      <c r="V176" s="34">
        <f>V175/(1+'נתונים והנחות'!$F$11)^16</f>
        <v/>
      </c>
      <c r="W176" s="34">
        <f>W175/(1+'נתונים והנחות'!$F$11)^17</f>
        <v/>
      </c>
      <c r="X176" s="34">
        <f>X175/(1+'נתונים והנחות'!$F$11)^18</f>
        <v/>
      </c>
      <c r="Y176" s="34">
        <f>Y175/(1+'נתונים והנחות'!$F$11)^19</f>
        <v/>
      </c>
      <c r="Z176" s="34">
        <f>Z175/(1+'נתונים והנחות'!$F$11)^20</f>
        <v/>
      </c>
    </row>
    <row r="177">
      <c r="B177" s="5" t="inlineStr">
        <is>
          <t>NPV מצטבר — ללא תמריץ</t>
        </is>
      </c>
      <c r="C177" s="9" t="inlineStr">
        <is>
          <t>₪</t>
        </is>
      </c>
      <c r="D177" s="9" t="inlineStr">
        <is>
          <t>חישוב</t>
        </is>
      </c>
      <c r="F177" s="34">
        <f>F176</f>
        <v/>
      </c>
      <c r="G177" s="34">
        <f>F177+G176</f>
        <v/>
      </c>
      <c r="H177" s="34">
        <f>G177+H176</f>
        <v/>
      </c>
      <c r="I177" s="34">
        <f>H177+I176</f>
        <v/>
      </c>
      <c r="J177" s="34">
        <f>I177+J176</f>
        <v/>
      </c>
      <c r="K177" s="34">
        <f>J177+K176</f>
        <v/>
      </c>
      <c r="L177" s="34">
        <f>K177+L176</f>
        <v/>
      </c>
      <c r="M177" s="34">
        <f>L177+M176</f>
        <v/>
      </c>
      <c r="N177" s="34">
        <f>M177+N176</f>
        <v/>
      </c>
      <c r="O177" s="34">
        <f>N177+O176</f>
        <v/>
      </c>
      <c r="P177" s="34">
        <f>O177+P176</f>
        <v/>
      </c>
      <c r="Q177" s="34">
        <f>P177+Q176</f>
        <v/>
      </c>
      <c r="R177" s="34">
        <f>Q177+R176</f>
        <v/>
      </c>
      <c r="S177" s="34">
        <f>R177+S176</f>
        <v/>
      </c>
      <c r="T177" s="34">
        <f>S177+T176</f>
        <v/>
      </c>
      <c r="U177" s="34">
        <f>T177+U176</f>
        <v/>
      </c>
      <c r="V177" s="34">
        <f>U177+V176</f>
        <v/>
      </c>
      <c r="W177" s="34">
        <f>V177+W176</f>
        <v/>
      </c>
      <c r="X177" s="34">
        <f>W177+X176</f>
        <v/>
      </c>
      <c r="Y177" s="34">
        <f>X177+Y176</f>
        <v/>
      </c>
      <c r="Z177" s="34">
        <f>Y177+Z176</f>
        <v/>
      </c>
    </row>
    <row r="178">
      <c r="B178" s="6" t="inlineStr">
        <is>
          <t>תזרים נקי — עם תמריץ</t>
        </is>
      </c>
      <c r="C178" s="9" t="inlineStr">
        <is>
          <t>₪</t>
        </is>
      </c>
      <c r="D178" s="9" t="inlineStr">
        <is>
          <t>חישוב</t>
        </is>
      </c>
      <c r="F178" s="31" t="n">
        <v>0</v>
      </c>
      <c r="G178" s="35">
        <f>G174+G169</f>
        <v/>
      </c>
      <c r="H178" s="35">
        <f>H174+H169</f>
        <v/>
      </c>
      <c r="I178" s="35">
        <f>I174+I169</f>
        <v/>
      </c>
      <c r="J178" s="35">
        <f>J174+J169</f>
        <v/>
      </c>
      <c r="K178" s="35">
        <f>K174+K169</f>
        <v/>
      </c>
      <c r="L178" s="35">
        <f>L174+L169</f>
        <v/>
      </c>
      <c r="M178" s="35">
        <f>M174+M169</f>
        <v/>
      </c>
      <c r="N178" s="35">
        <f>N174+N169</f>
        <v/>
      </c>
      <c r="O178" s="35">
        <f>O174+O169</f>
        <v/>
      </c>
      <c r="P178" s="35">
        <f>P174+P169</f>
        <v/>
      </c>
      <c r="Q178" s="35">
        <f>Q174+Q169</f>
        <v/>
      </c>
      <c r="R178" s="35">
        <f>R174+R169</f>
        <v/>
      </c>
      <c r="S178" s="35">
        <f>S174+S169</f>
        <v/>
      </c>
      <c r="T178" s="35">
        <f>T174+T169</f>
        <v/>
      </c>
      <c r="U178" s="35">
        <f>U174+U169</f>
        <v/>
      </c>
      <c r="V178" s="35">
        <f>V174+V169</f>
        <v/>
      </c>
      <c r="W178" s="35">
        <f>W174+W169</f>
        <v/>
      </c>
      <c r="X178" s="35">
        <f>X174+X169</f>
        <v/>
      </c>
      <c r="Y178" s="35">
        <f>Y174+Y169</f>
        <v/>
      </c>
      <c r="Z178" s="35">
        <f>Z174+Z169</f>
        <v/>
      </c>
    </row>
    <row r="179">
      <c r="B179" s="6" t="inlineStr">
        <is>
          <t>תזרים מהוון — עם תמריץ</t>
        </is>
      </c>
      <c r="C179" s="9" t="inlineStr">
        <is>
          <t>₪</t>
        </is>
      </c>
      <c r="D179" s="9" t="inlineStr">
        <is>
          <t>חישוב</t>
        </is>
      </c>
      <c r="F179" s="35">
        <f>F178</f>
        <v/>
      </c>
      <c r="G179" s="35">
        <f>G178/(1+'נתונים והנחות'!$F$11)^1</f>
        <v/>
      </c>
      <c r="H179" s="35">
        <f>H178/(1+'נתונים והנחות'!$F$11)^2</f>
        <v/>
      </c>
      <c r="I179" s="35">
        <f>I178/(1+'נתונים והנחות'!$F$11)^3</f>
        <v/>
      </c>
      <c r="J179" s="35">
        <f>J178/(1+'נתונים והנחות'!$F$11)^4</f>
        <v/>
      </c>
      <c r="K179" s="35">
        <f>K178/(1+'נתונים והנחות'!$F$11)^5</f>
        <v/>
      </c>
      <c r="L179" s="35">
        <f>L178/(1+'נתונים והנחות'!$F$11)^6</f>
        <v/>
      </c>
      <c r="M179" s="35">
        <f>M178/(1+'נתונים והנחות'!$F$11)^7</f>
        <v/>
      </c>
      <c r="N179" s="35">
        <f>N178/(1+'נתונים והנחות'!$F$11)^8</f>
        <v/>
      </c>
      <c r="O179" s="35">
        <f>O178/(1+'נתונים והנחות'!$F$11)^9</f>
        <v/>
      </c>
      <c r="P179" s="35">
        <f>P178/(1+'נתונים והנחות'!$F$11)^10</f>
        <v/>
      </c>
      <c r="Q179" s="35">
        <f>Q178/(1+'נתונים והנחות'!$F$11)^11</f>
        <v/>
      </c>
      <c r="R179" s="35">
        <f>R178/(1+'נתונים והנחות'!$F$11)^12</f>
        <v/>
      </c>
      <c r="S179" s="35">
        <f>S178/(1+'נתונים והנחות'!$F$11)^13</f>
        <v/>
      </c>
      <c r="T179" s="35">
        <f>T178/(1+'נתונים והנחות'!$F$11)^14</f>
        <v/>
      </c>
      <c r="U179" s="35">
        <f>U178/(1+'נתונים והנחות'!$F$11)^15</f>
        <v/>
      </c>
      <c r="V179" s="35">
        <f>V178/(1+'נתונים והנחות'!$F$11)^16</f>
        <v/>
      </c>
      <c r="W179" s="35">
        <f>W178/(1+'נתונים והנחות'!$F$11)^17</f>
        <v/>
      </c>
      <c r="X179" s="35">
        <f>X178/(1+'נתונים והנחות'!$F$11)^18</f>
        <v/>
      </c>
      <c r="Y179" s="35">
        <f>Y178/(1+'נתונים והנחות'!$F$11)^19</f>
        <v/>
      </c>
      <c r="Z179" s="35">
        <f>Z178/(1+'נתונים והנחות'!$F$11)^20</f>
        <v/>
      </c>
    </row>
    <row r="180">
      <c r="B180" s="6" t="inlineStr">
        <is>
          <t>NPV מצטבר — עם תמריץ</t>
        </is>
      </c>
      <c r="C180" s="9" t="inlineStr">
        <is>
          <t>₪</t>
        </is>
      </c>
      <c r="D180" s="9" t="inlineStr">
        <is>
          <t>חישוב</t>
        </is>
      </c>
      <c r="F180" s="35">
        <f>F179</f>
        <v/>
      </c>
      <c r="G180" s="35">
        <f>F180+G179</f>
        <v/>
      </c>
      <c r="H180" s="35">
        <f>G180+H179</f>
        <v/>
      </c>
      <c r="I180" s="35">
        <f>H180+I179</f>
        <v/>
      </c>
      <c r="J180" s="35">
        <f>I180+J179</f>
        <v/>
      </c>
      <c r="K180" s="35">
        <f>J180+K179</f>
        <v/>
      </c>
      <c r="L180" s="35">
        <f>K180+L179</f>
        <v/>
      </c>
      <c r="M180" s="35">
        <f>L180+M179</f>
        <v/>
      </c>
      <c r="N180" s="35">
        <f>M180+N179</f>
        <v/>
      </c>
      <c r="O180" s="35">
        <f>N180+O179</f>
        <v/>
      </c>
      <c r="P180" s="35">
        <f>O180+P179</f>
        <v/>
      </c>
      <c r="Q180" s="35">
        <f>P180+Q179</f>
        <v/>
      </c>
      <c r="R180" s="35">
        <f>Q180+R179</f>
        <v/>
      </c>
      <c r="S180" s="35">
        <f>R180+S179</f>
        <v/>
      </c>
      <c r="T180" s="35">
        <f>S180+T179</f>
        <v/>
      </c>
      <c r="U180" s="35">
        <f>T180+U179</f>
        <v/>
      </c>
      <c r="V180" s="35">
        <f>U180+V179</f>
        <v/>
      </c>
      <c r="W180" s="35">
        <f>V180+W179</f>
        <v/>
      </c>
      <c r="X180" s="35">
        <f>W180+X179</f>
        <v/>
      </c>
      <c r="Y180" s="35">
        <f>X180+Y179</f>
        <v/>
      </c>
      <c r="Z180" s="35">
        <f>Y180+Z179</f>
        <v/>
      </c>
    </row>
    <row r="182">
      <c r="B182" s="25" t="inlineStr">
        <is>
          <t>ד. תוצאות</t>
        </is>
      </c>
    </row>
    <row r="183">
      <c r="B183" s="36" t="inlineStr">
        <is>
          <t>NPV ללא תמריץ</t>
        </is>
      </c>
      <c r="C183" s="9" t="inlineStr">
        <is>
          <t>ש"ח</t>
        </is>
      </c>
      <c r="F183" s="34">
        <f>SUM(F176:Z176)</f>
        <v/>
      </c>
    </row>
    <row r="184">
      <c r="B184" s="37" t="inlineStr">
        <is>
          <t>NPV עם תמריץ</t>
        </is>
      </c>
      <c r="C184" s="9" t="inlineStr">
        <is>
          <t>ש"ח</t>
        </is>
      </c>
      <c r="F184" s="35">
        <f>SUM(F179:Z179)</f>
        <v/>
      </c>
    </row>
    <row r="185">
      <c r="B185" s="38" t="inlineStr">
        <is>
          <t>דלתא NPV — ערך התמריץ</t>
        </is>
      </c>
      <c r="C185" s="9" t="inlineStr">
        <is>
          <t>ש"ח</t>
        </is>
      </c>
      <c r="F185" s="39">
        <f>F184-F183</f>
        <v/>
      </c>
    </row>
    <row r="187">
      <c r="B187" s="36" t="inlineStr">
        <is>
          <t>ROI ללא תמריץ</t>
        </is>
      </c>
      <c r="C187" s="9" t="inlineStr">
        <is>
          <t>%</t>
        </is>
      </c>
      <c r="F187" s="40">
        <f>IF(ISNUMBER($F$155),(SUM(F176:Z176)+$F$155)/$F$155,"PENDING")</f>
        <v/>
      </c>
    </row>
    <row r="188">
      <c r="B188" s="37" t="inlineStr">
        <is>
          <t>ROI עם תמריץ</t>
        </is>
      </c>
      <c r="C188" s="9" t="inlineStr">
        <is>
          <t>%</t>
        </is>
      </c>
      <c r="F188" s="41">
        <f>IF(ISNUMBER($F$155),(SUM(F179:Z179)+$F$155)/$F$155,"PENDING")</f>
        <v/>
      </c>
    </row>
    <row r="189">
      <c r="B189" s="38" t="inlineStr">
        <is>
          <t>שיפור ROI בזכות התמריץ</t>
        </is>
      </c>
      <c r="C189" s="9" t="inlineStr">
        <is>
          <t>%</t>
        </is>
      </c>
      <c r="F189" s="11">
        <f>IF(ISNUMBER(F188),F188-F187,"PENDING")</f>
        <v/>
      </c>
    </row>
    <row r="191">
      <c r="B191" s="36" t="inlineStr">
        <is>
          <t>תקופת החזר — ללא תמריץ (NPV)</t>
        </is>
      </c>
      <c r="C191" s="9" t="inlineStr">
        <is>
          <t>שנים</t>
        </is>
      </c>
      <c r="F191" s="42">
        <f>IFERROR(MATCH(1,(F177:Z177&gt;0)*1,0)-2+ABS(INDEX(F177:Z177,MATCH(1,(F177:Z177&gt;0)*1,0)-1))/(INDEX(F177:Z177,MATCH(1,(F177:Z177&gt;0)*1,0))-INDEX(F177:Z177,MATCH(1,(F177:Z177&gt;0)*1,0)-1)),"לא מגיע לפירעון")</f>
        <v/>
      </c>
    </row>
    <row r="192">
      <c r="B192" s="37" t="inlineStr">
        <is>
          <t>תקופת החזר — עם תמריץ (NPV)</t>
        </is>
      </c>
      <c r="C192" s="9" t="inlineStr">
        <is>
          <t>שנים</t>
        </is>
      </c>
      <c r="F192" s="43">
        <f>IFERROR(MATCH(1,(F180:Z180&gt;0)*1,0)-2+ABS(INDEX(F180:Z180,MATCH(1,(F180:Z180&gt;0)*1,0)-1))/(INDEX(F180:Z180,MATCH(1,(F180:Z180&gt;0)*1,0))-INDEX(F180:Z180,MATCH(1,(F180:Z180&gt;0)*1,0)-1)),"לא מגיע לפירעון")</f>
        <v/>
      </c>
    </row>
    <row r="193">
      <c r="B193" s="23" t="inlineStr">
        <is>
          <t>* תקופת ההחזר מחושבת לפי נקודת הקרוסאובר של ה-NPV המצטבר (אינטרפולציה לינארית)</t>
        </is>
      </c>
    </row>
    <row r="196">
      <c r="B196" s="8" t="inlineStr">
        <is>
          <t>4. סיכום השוואתי לפי טכנולוגיה</t>
        </is>
      </c>
    </row>
    <row r="197">
      <c r="B197" s="23" t="inlineStr">
        <is>
          <t>* פרמטר המדיניות (מכפיל פחת) = 'נתונים והנחות'!F15 — שנה שם ותוצאות מתעדכנות אוטומטית</t>
        </is>
      </c>
    </row>
    <row r="198">
      <c r="B198" s="32" t="inlineStr">
        <is>
          <t>טכנולוגיה</t>
        </is>
      </c>
      <c r="C198" s="32" t="inlineStr">
        <is>
          <t>NPV ללא תמריץ</t>
        </is>
      </c>
      <c r="D198" s="32" t="inlineStr">
        <is>
          <t>NPV עם תמריץ</t>
        </is>
      </c>
      <c r="E198" s="32" t="inlineStr">
        <is>
          <t>דלתא NPV</t>
        </is>
      </c>
      <c r="F198" s="32" t="inlineStr">
        <is>
          <t>ROI ללא</t>
        </is>
      </c>
      <c r="G198" s="32" t="inlineStr">
        <is>
          <t>ROI עם</t>
        </is>
      </c>
      <c r="H198" s="32" t="inlineStr">
        <is>
          <t>שיפור ROI</t>
        </is>
      </c>
      <c r="I198" s="32" t="inlineStr">
        <is>
          <t>החזר ללא (שנים)</t>
        </is>
      </c>
      <c r="J198" s="32" t="inlineStr">
        <is>
          <t>החזר עם (שנים)</t>
        </is>
      </c>
    </row>
    <row r="199">
      <c r="B199" s="18" t="inlineStr">
        <is>
          <t>משאבות חום (חימום מים)</t>
        </is>
      </c>
      <c r="C199" s="34">
        <f>$F$51</f>
        <v/>
      </c>
      <c r="D199" s="35">
        <f>$F$52</f>
        <v/>
      </c>
      <c r="E199" s="39">
        <f>$F$53</f>
        <v/>
      </c>
      <c r="F199" s="40">
        <f>$F$55</f>
        <v/>
      </c>
      <c r="G199" s="41">
        <f>$F$56</f>
        <v/>
      </c>
      <c r="H199" s="11">
        <f>$F$57</f>
        <v/>
      </c>
      <c r="I199" s="42">
        <f>$F$59</f>
        <v/>
      </c>
      <c r="J199" s="43">
        <f>$F$60</f>
        <v/>
      </c>
    </row>
    <row r="200">
      <c r="B200" s="18" t="inlineStr">
        <is>
          <t>צ'ילרים</t>
        </is>
      </c>
      <c r="C200" s="34">
        <f>$F$95</f>
        <v/>
      </c>
      <c r="D200" s="35">
        <f>$F$96</f>
        <v/>
      </c>
      <c r="E200" s="39">
        <f>$F$97</f>
        <v/>
      </c>
      <c r="F200" s="40">
        <f>$F$99</f>
        <v/>
      </c>
      <c r="G200" s="41">
        <f>$F$100</f>
        <v/>
      </c>
      <c r="H200" s="11">
        <f>$F$101</f>
        <v/>
      </c>
      <c r="I200" s="42">
        <f>$F$103</f>
        <v/>
      </c>
      <c r="J200" s="43">
        <f>$F$104</f>
        <v/>
      </c>
    </row>
    <row r="201">
      <c r="B201" s="18" t="inlineStr">
        <is>
          <t>מדחסי VSD</t>
        </is>
      </c>
      <c r="C201" s="34">
        <f>$F$139</f>
        <v/>
      </c>
      <c r="D201" s="35">
        <f>$F$140</f>
        <v/>
      </c>
      <c r="E201" s="39">
        <f>$F$141</f>
        <v/>
      </c>
      <c r="F201" s="40">
        <f>$F$143</f>
        <v/>
      </c>
      <c r="G201" s="41">
        <f>$F$144</f>
        <v/>
      </c>
      <c r="H201" s="11">
        <f>$F$145</f>
        <v/>
      </c>
      <c r="I201" s="42">
        <f>$F$147</f>
        <v/>
      </c>
      <c r="J201" s="43">
        <f>$F$148</f>
        <v/>
      </c>
    </row>
    <row r="202">
      <c r="B202" s="18" t="inlineStr">
        <is>
          <t>מערכות קיטור חשמליות</t>
        </is>
      </c>
      <c r="C202" s="34">
        <f>$F$183</f>
        <v/>
      </c>
      <c r="D202" s="35">
        <f>$F$184</f>
        <v/>
      </c>
      <c r="E202" s="39">
        <f>$F$185</f>
        <v/>
      </c>
      <c r="F202" s="40">
        <f>$F$187</f>
        <v/>
      </c>
      <c r="G202" s="41">
        <f>$F$188</f>
        <v/>
      </c>
      <c r="H202" s="11">
        <f>$F$189</f>
        <v/>
      </c>
      <c r="I202" s="42">
        <f>$F$191</f>
        <v/>
      </c>
      <c r="J202" s="43">
        <f>$F$192</f>
        <v/>
      </c>
    </row>
    <row r="204">
      <c r="B204" s="44" t="inlineStr">
        <is>
          <t>** CapEx וצריכת אנרגיה שנתית ממתינים לנתוני רפי — לאחר הזנתם כל התוצאות יתעדכנו אוטומטית</t>
        </is>
      </c>
    </row>
  </sheetData>
  <mergeCells count="29">
    <mergeCell ref="B19:Z19"/>
    <mergeCell ref="B108:Z108"/>
    <mergeCell ref="B15:H15"/>
    <mergeCell ref="B65:Z65"/>
    <mergeCell ref="B83:Z83"/>
    <mergeCell ref="B127:Z127"/>
    <mergeCell ref="B64:Z64"/>
    <mergeCell ref="B50:H50"/>
    <mergeCell ref="B20:Z20"/>
    <mergeCell ref="B94:H94"/>
    <mergeCell ref="B164:Z164"/>
    <mergeCell ref="B76:Z76"/>
    <mergeCell ref="B110:Z110"/>
    <mergeCell ref="B154:Z154"/>
    <mergeCell ref="B138:H138"/>
    <mergeCell ref="B32:Z32"/>
    <mergeCell ref="B153:Z153"/>
    <mergeCell ref="B109:Z109"/>
    <mergeCell ref="B22:Z22"/>
    <mergeCell ref="B66:Z66"/>
    <mergeCell ref="B196:L196"/>
    <mergeCell ref="B21:Z21"/>
    <mergeCell ref="B39:Z39"/>
    <mergeCell ref="B152:Z152"/>
    <mergeCell ref="B120:Z120"/>
    <mergeCell ref="B182:H182"/>
    <mergeCell ref="B8:Z8"/>
    <mergeCell ref="B10:H10"/>
    <mergeCell ref="B171:Z1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2026-05-31T08:53:10Z</dcterms:created>
  <dcterms:modified xsi:type="dcterms:W3CDTF">2026-05-31T08:53:10Z</dcterms:modified>
</cp:coreProperties>
</file>