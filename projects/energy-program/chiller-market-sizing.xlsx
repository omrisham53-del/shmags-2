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אמידת שוק צ'ילרים" sheetId="1" state="visible" r:id="rId1"/>
  </sheets>
  <definedNames/>
  <calcPr calcId="191029" fullCalcOnLoad="1"/>
</workbook>
</file>

<file path=xl/styles.xml><?xml version="1.0" encoding="utf-8"?>
<styleSheet xmlns="http://schemas.openxmlformats.org/spreadsheetml/2006/main">
  <numFmts count="2">
    <numFmt numFmtId="164" formatCode="0.000000"/>
    <numFmt numFmtId="165" formatCode="0.0"/>
  </numFmts>
  <fonts count="25">
    <font>
      <name val="Arial"/>
      <family val="2"/>
      <color theme="1"/>
      <sz val="11"/>
      <scheme val="minor"/>
    </font>
    <font>
      <name val="Arial"/>
      <b val="1"/>
      <sz val="14"/>
    </font>
    <font>
      <name val="Arial"/>
      <i val="1"/>
      <color rgb="FF404040"/>
      <sz val="9"/>
    </font>
    <font>
      <name val="Arial"/>
      <b val="1"/>
      <sz val="9"/>
    </font>
    <font>
      <name val="Arial"/>
      <color rgb="FF0563C1"/>
      <sz val="11"/>
      <u val="single"/>
    </font>
    <font>
      <name val="Arial"/>
      <b val="1"/>
      <color rgb="FF1F4E78"/>
      <sz val="12"/>
    </font>
    <font>
      <name val="Arial"/>
      <i val="1"/>
      <color rgb="FF595959"/>
      <sz val="9"/>
    </font>
    <font>
      <name val="Arial"/>
      <b val="1"/>
      <color rgb="FFFFFFFF"/>
      <sz val="11"/>
    </font>
    <font>
      <name val="Arial"/>
      <b val="1"/>
      <color rgb="FF0000FF"/>
      <sz val="11"/>
    </font>
    <font>
      <name val="Arial"/>
      <color rgb="FF0000FF"/>
      <sz val="11"/>
    </font>
    <font>
      <name val="Arial"/>
      <color rgb="FF000000"/>
      <sz val="11"/>
    </font>
    <font>
      <name val="Arial"/>
      <b val="1"/>
      <color rgb="FF000000"/>
      <sz val="11"/>
    </font>
    <font>
      <name val="Arial"/>
      <b val="1"/>
      <sz val="10"/>
    </font>
    <font>
      <name val="Arial"/>
      <sz val="10"/>
    </font>
    <font>
      <name val="Arial"/>
    </font>
    <font>
      <name val="Arial"/>
      <b val="1"/>
      <color rgb="001F4E78"/>
      <sz val="12"/>
    </font>
    <font>
      <name val="Arial"/>
      <i val="1"/>
      <color rgb="00595959"/>
      <sz val="9"/>
    </font>
    <font>
      <name val="Arial"/>
      <b val="1"/>
      <color rgb="000000FF"/>
    </font>
    <font>
      <name val="Arial"/>
      <b val="1"/>
      <color rgb="00FFFFFF"/>
    </font>
    <font>
      <name val="Arial"/>
      <b val="1"/>
      <color rgb="00000000"/>
    </font>
    <font>
      <name val="Arial"/>
      <color rgb="00595959"/>
      <sz val="9"/>
    </font>
    <font>
      <name val="Arial"/>
      <color rgb="000000FF"/>
    </font>
    <font>
      <name val="Arial"/>
      <color rgb="00404040"/>
      <sz val="8"/>
    </font>
    <font>
      <name val="Arial"/>
      <i val="1"/>
      <sz val="8"/>
    </font>
    <font>
      <name val="Arial"/>
      <color rgb="00000000"/>
    </font>
  </fonts>
  <fills count="11">
    <fill>
      <patternFill/>
    </fill>
    <fill>
      <patternFill patternType="gray125"/>
    </fill>
    <fill>
      <patternFill patternType="solid">
        <fgColor rgb="FF1F4E78"/>
      </patternFill>
    </fill>
    <fill>
      <patternFill patternType="solid">
        <fgColor rgb="FFE2EFDA"/>
      </patternFill>
    </fill>
    <fill>
      <patternFill patternType="solid">
        <fgColor rgb="FFFFFF00"/>
      </patternFill>
    </fill>
    <fill>
      <patternFill patternType="solid">
        <fgColor rgb="FFF2F2F2"/>
      </patternFill>
    </fill>
    <fill>
      <patternFill patternType="solid">
        <fgColor rgb="001F4E78"/>
      </patternFill>
    </fill>
    <fill>
      <patternFill patternType="solid">
        <fgColor rgb="00FFE699"/>
      </patternFill>
    </fill>
    <fill>
      <patternFill patternType="solid">
        <fgColor rgb="00E2EFDA"/>
      </patternFill>
    </fill>
    <fill>
      <patternFill patternType="solid">
        <fgColor rgb="00FFFF00"/>
      </patternFill>
    </fill>
    <fill>
      <patternFill patternType="solid">
        <fgColor rgb="00F2F2F2"/>
      </patternFill>
    </fill>
  </fills>
  <borders count="8">
    <border>
      <left/>
      <right/>
      <top/>
      <bottom/>
      <diagonal/>
    </border>
    <border>
      <left style="thin">
        <color rgb="FFBFBFBF"/>
      </left>
      <right style="thin">
        <color rgb="FFBFBFBF"/>
      </right>
      <top style="thin">
        <color rgb="FFBFBFBF"/>
      </top>
      <bottom style="thin">
        <color rgb="FFBFBFBF"/>
      </bottom>
      <diagonal/>
    </border>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4">
    <xf numFmtId="0" fontId="0" fillId="0" borderId="0" pivotButton="0" quotePrefix="0" xfId="0"/>
    <xf numFmtId="0" fontId="3"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xf>
    <xf numFmtId="3" fontId="9" fillId="0" borderId="1" applyAlignment="1" pivotButton="0" quotePrefix="0" xfId="0">
      <alignment horizontal="center"/>
    </xf>
    <xf numFmtId="3" fontId="10" fillId="0" borderId="1" applyAlignment="1" pivotButton="0" quotePrefix="0" xfId="0">
      <alignment horizontal="center"/>
    </xf>
    <xf numFmtId="3" fontId="10" fillId="3" borderId="1" applyAlignment="1" pivotButton="0" quotePrefix="0" xfId="0">
      <alignment horizontal="center"/>
    </xf>
    <xf numFmtId="0" fontId="11" fillId="0" borderId="1" applyAlignment="1" pivotButton="0" quotePrefix="0" xfId="0">
      <alignment horizontal="center"/>
    </xf>
    <xf numFmtId="3" fontId="11" fillId="4" borderId="1" applyAlignment="1" pivotButton="0" quotePrefix="0" xfId="0">
      <alignment horizontal="center"/>
    </xf>
    <xf numFmtId="0" fontId="11" fillId="5" borderId="1" applyAlignment="1" pivotButton="0" quotePrefix="0" xfId="0">
      <alignment horizontal="center"/>
    </xf>
    <xf numFmtId="3" fontId="0" fillId="5" borderId="1" pivotButton="0" quotePrefix="0" xfId="0"/>
    <xf numFmtId="3" fontId="11" fillId="5" borderId="1" applyAlignment="1" pivotButton="0" quotePrefix="0" xfId="0">
      <alignment horizontal="center"/>
    </xf>
    <xf numFmtId="0" fontId="12" fillId="0" borderId="0" pivotButton="0" quotePrefix="0" xfId="0"/>
    <xf numFmtId="0" fontId="0"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applyAlignment="1" pivotButton="0" quotePrefix="0" xfId="0">
      <alignment horizontal="left" vertical="top" wrapText="1"/>
    </xf>
    <xf numFmtId="0" fontId="1" fillId="0" borderId="0" pivotButton="0" quotePrefix="0" xfId="0"/>
    <xf numFmtId="0" fontId="2" fillId="0" borderId="0" applyAlignment="1" pivotButton="0" quotePrefix="0" xfId="0">
      <alignment horizontal="right" vertical="top" wrapText="1"/>
    </xf>
    <xf numFmtId="0" fontId="0" fillId="0" borderId="0" applyAlignment="1" pivotButton="0" quotePrefix="0" xfId="0">
      <alignment horizontal="right"/>
    </xf>
    <xf numFmtId="0" fontId="4" fillId="0" borderId="0" pivotButton="0" quotePrefix="0" xfId="0"/>
    <xf numFmtId="0" fontId="0" fillId="0" borderId="0" pivotButton="0" quotePrefix="0" xfId="0"/>
    <xf numFmtId="0" fontId="13" fillId="0" borderId="0" applyAlignment="1" pivotButton="0" quotePrefix="0" xfId="0">
      <alignment horizontal="right" vertical="top" wrapText="1" readingOrder="2"/>
    </xf>
    <xf numFmtId="0" fontId="0" fillId="0" borderId="0" applyAlignment="1" pivotButton="0" quotePrefix="0" xfId="0">
      <alignment horizontal="right" readingOrder="2"/>
    </xf>
    <xf numFmtId="0" fontId="15" fillId="0" borderId="2" pivotButton="0" quotePrefix="0" xfId="0"/>
    <xf numFmtId="0" fontId="16" fillId="0" borderId="2" applyAlignment="1" pivotButton="0" quotePrefix="0" xfId="0">
      <alignment horizontal="right" vertical="top" wrapText="1"/>
    </xf>
    <xf numFmtId="0" fontId="3" fillId="0" borderId="2" applyAlignment="1" pivotButton="0" quotePrefix="0" xfId="0">
      <alignment horizontal="right"/>
    </xf>
    <xf numFmtId="164" fontId="17" fillId="0" borderId="2" pivotButton="0" quotePrefix="0" xfId="0"/>
    <xf numFmtId="0" fontId="16" fillId="0" borderId="2" pivotButton="0" quotePrefix="0" xfId="0"/>
    <xf numFmtId="0" fontId="14" fillId="0" borderId="2" pivotButton="0" quotePrefix="0" xfId="0"/>
    <xf numFmtId="0" fontId="18" fillId="6" borderId="3" applyAlignment="1" pivotButton="0" quotePrefix="0" xfId="0">
      <alignment horizontal="center" vertical="center" wrapText="1"/>
    </xf>
    <xf numFmtId="0" fontId="19" fillId="0" borderId="3" applyAlignment="1" pivotButton="0" quotePrefix="0" xfId="0">
      <alignment horizontal="center"/>
    </xf>
    <xf numFmtId="0" fontId="20" fillId="0" borderId="3" applyAlignment="1" pivotButton="0" quotePrefix="0" xfId="0">
      <alignment horizontal="center"/>
    </xf>
    <xf numFmtId="165" fontId="21" fillId="0" borderId="3" applyAlignment="1" pivotButton="0" quotePrefix="0" xfId="0">
      <alignment horizontal="center"/>
    </xf>
    <xf numFmtId="2" fontId="19" fillId="0" borderId="3" pivotButton="0" quotePrefix="0" xfId="0"/>
    <xf numFmtId="0" fontId="22" fillId="7" borderId="3" applyAlignment="1" pivotButton="0" quotePrefix="0" xfId="0">
      <alignment horizontal="right" vertical="top" wrapText="1"/>
    </xf>
    <xf numFmtId="0" fontId="0" fillId="7" borderId="3" pivotButton="0" quotePrefix="0" xfId="0"/>
    <xf numFmtId="0" fontId="23" fillId="7" borderId="3" applyAlignment="1" pivotButton="0" quotePrefix="0" xfId="0">
      <alignment horizontal="right" vertical="top" wrapText="1"/>
    </xf>
    <xf numFmtId="0" fontId="22" fillId="8" borderId="3" applyAlignment="1" pivotButton="0" quotePrefix="0" xfId="0">
      <alignment horizontal="right" vertical="top" wrapText="1"/>
    </xf>
    <xf numFmtId="0" fontId="0" fillId="8" borderId="3" pivotButton="0" quotePrefix="0" xfId="0"/>
    <xf numFmtId="0" fontId="23" fillId="8" borderId="3" applyAlignment="1" pivotButton="0" quotePrefix="0" xfId="0">
      <alignment horizontal="right" vertical="top" wrapText="1"/>
    </xf>
    <xf numFmtId="0" fontId="15" fillId="0" borderId="0" pivotButton="0" quotePrefix="0" xfId="0"/>
    <xf numFmtId="0" fontId="16" fillId="0" borderId="0" applyAlignment="1" pivotButton="0" quotePrefix="0" xfId="0">
      <alignment horizontal="right" vertical="top" wrapText="1"/>
    </xf>
    <xf numFmtId="3" fontId="24" fillId="0" borderId="3" applyAlignment="1" pivotButton="0" quotePrefix="0" xfId="0">
      <alignment horizontal="center"/>
    </xf>
    <xf numFmtId="3" fontId="19" fillId="9" borderId="3" applyAlignment="1" pivotButton="0" quotePrefix="0" xfId="0">
      <alignment horizontal="center"/>
    </xf>
    <xf numFmtId="2" fontId="24" fillId="0" borderId="3" applyAlignment="1" pivotButton="0" quotePrefix="0" xfId="0">
      <alignment horizontal="center"/>
    </xf>
    <xf numFmtId="0" fontId="19" fillId="10" borderId="3" pivotButton="0" quotePrefix="0" xfId="0"/>
    <xf numFmtId="3" fontId="19" fillId="10" borderId="3" applyAlignment="1" pivotButton="0" quotePrefix="0" xfId="0">
      <alignment horizontal="center"/>
    </xf>
    <xf numFmtId="2" fontId="19" fillId="10" borderId="3" applyAlignment="1" pivotButton="0" quotePrefix="0" xfId="0">
      <alignment horizontal="center"/>
    </xf>
    <xf numFmtId="0" fontId="12" fillId="0" borderId="0" applyAlignment="1" pivotButton="0" quotePrefix="0" xfId="0">
      <alignment horizontal="right"/>
    </xf>
    <xf numFmtId="0" fontId="13" fillId="0" borderId="0" applyAlignment="1" pivotButton="0" quotePrefix="0" xfId="0">
      <alignment horizontal="right" vertical="top" wrapText="1"/>
    </xf>
    <xf numFmtId="0" fontId="0" fillId="0" borderId="6" pivotButton="0" quotePrefix="0" xfId="0"/>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bs.gov.il/he/mediarelease/DocLib/2026/089/04_26_089b.pdf" TargetMode="External" Id="rId1" /><Relationship Type="http://schemas.openxmlformats.org/officeDocument/2006/relationships/hyperlink" Target="https://www.cbs.gov.il/he/mediarelease/DocLib/2026/089/04_26_089t7.xls" TargetMode="External" Id="rId2" /></Relationships>
</file>

<file path=xl/worksheets/sheet1.xml><?xml version="1.0" encoding="utf-8"?>
<worksheet xmlns="http://schemas.openxmlformats.org/spreadsheetml/2006/main">
  <sheetPr>
    <outlinePr summaryBelow="1" summaryRight="1"/>
    <pageSetUpPr/>
  </sheetPr>
  <dimension ref="A1:O56"/>
  <sheetViews>
    <sheetView rightToLeft="1" tabSelected="1" workbookViewId="0">
      <pane ySplit="7" topLeftCell="A8" activePane="bottomLeft" state="frozen"/>
      <selection pane="bottomLeft" activeCell="A30" sqref="A30"/>
    </sheetView>
  </sheetViews>
  <sheetFormatPr baseColWidth="8" defaultRowHeight="14"/>
  <cols>
    <col width="20.83203125" bestFit="1" customWidth="1" style="22" min="1" max="1"/>
    <col width="26.08203125" bestFit="1" customWidth="1" style="22" min="2" max="2"/>
    <col width="16" bestFit="1" customWidth="1" style="22" min="3" max="3"/>
    <col width="18.33203125" bestFit="1" customWidth="1" style="22" min="4" max="4"/>
    <col width="14.83203125" bestFit="1" customWidth="1" style="22" min="5" max="5"/>
    <col width="16.4140625" bestFit="1" customWidth="1" style="22" min="6" max="6"/>
    <col width="11.83203125" bestFit="1" customWidth="1" style="22" min="7" max="7"/>
    <col width="9.75" bestFit="1" customWidth="1" style="22" min="8" max="8"/>
    <col width="8.33203125" bestFit="1" customWidth="1" style="22" min="9" max="9"/>
    <col width="7.58203125" bestFit="1" customWidth="1" style="22" min="10" max="10"/>
    <col width="14" bestFit="1" customWidth="1" style="22" min="11" max="11"/>
    <col width="12.33203125" bestFit="1" customWidth="1" style="22" min="12" max="12"/>
    <col width="10.25" bestFit="1" customWidth="1" style="22" min="13" max="13"/>
    <col width="10.83203125" bestFit="1" customWidth="1" style="22" min="14" max="14"/>
    <col width="10.75" bestFit="1" customWidth="1" style="22" min="15" max="15"/>
  </cols>
  <sheetData>
    <row r="1" ht="18" customHeight="1" s="22">
      <c r="A1" s="18" t="inlineStr">
        <is>
          <t>אמידת שוק הצ'ילרים — נתוני התחלות בנייה של הלמ"ס (2021–2025)</t>
        </is>
      </c>
    </row>
    <row r="2">
      <c r="A2" s="19" t="inlineStr">
        <is>
          <t>מקור: הלשכה המרכזית לסטטיסטיקה, "התחלות וגמר בנייה – סיכום שנת 2025", פרסום 089/2026, פורסם ב-19/03/2026. לוח 7 — שטח בנייה, לפי ייעוד ושלב בנייה (חלק התחלות בנייה).</t>
        </is>
      </c>
    </row>
    <row r="3">
      <c r="A3" s="1" t="inlineStr">
        <is>
          <t>הודעה לתקשורת (PDF):</t>
        </is>
      </c>
      <c r="B3" s="21" t="inlineStr">
        <is>
          <t>cbs.gov.il/.../04_26_089b.pdf</t>
        </is>
      </c>
      <c r="F3" s="1" t="inlineStr">
        <is>
          <t>מקור לוח 7 (XLS):</t>
        </is>
      </c>
      <c r="G3" s="21" t="inlineStr">
        <is>
          <t>cbs.gov.il/.../04_26_089t7.xls</t>
        </is>
      </c>
      <c r="K3" s="1" t="n"/>
      <c r="L3" s="16" t="n"/>
    </row>
    <row r="5" ht="15.5" customHeight="1" s="22">
      <c r="A5" s="15" t="inlineStr">
        <is>
          <t>חלק 1 — נתוני למ"ס גולמיים: התחלות בנייה, לפי ייעוד (אלפי מ"ר)</t>
        </is>
      </c>
    </row>
    <row r="6">
      <c r="A6" s="17" t="n"/>
    </row>
    <row r="7" ht="45" customHeight="1" s="22">
      <c r="A7" s="2" t="inlineStr">
        <is>
          <t>שנה</t>
        </is>
      </c>
      <c r="B7" s="2" t="inlineStr">
        <is>
          <t>חקלאות</t>
        </is>
      </c>
      <c r="C7" s="2" t="inlineStr">
        <is>
          <t>מבני ציבור
אחרים</t>
        </is>
      </c>
      <c r="D7" s="2" t="inlineStr">
        <is>
          <t>בריאות</t>
        </is>
      </c>
      <c r="E7" s="2" t="inlineStr">
        <is>
          <t>חינוך</t>
        </is>
      </c>
      <c r="F7" s="2" t="inlineStr">
        <is>
          <t>תעשייה
ואחסנה</t>
        </is>
      </c>
      <c r="G7" s="2" t="inlineStr">
        <is>
          <t>תחבורה
ותקשורת</t>
        </is>
      </c>
      <c r="H7" s="2" t="inlineStr">
        <is>
          <t>מסחר</t>
        </is>
      </c>
      <c r="I7" s="2" t="inlineStr">
        <is>
          <t>משרדים</t>
        </is>
      </c>
      <c r="J7" s="2" t="inlineStr">
        <is>
          <t>הארחה
(מלונאות)</t>
        </is>
      </c>
      <c r="K7" s="2" t="inlineStr">
        <is>
          <t>סה"כ לא למגורים
(דיווח הלמ"ס)</t>
        </is>
      </c>
      <c r="L7" s="2" t="inlineStr">
        <is>
          <t>סה"כ לא למגורים
(מחושב =SUM)</t>
        </is>
      </c>
      <c r="M7" s="2" t="inlineStr">
        <is>
          <t>הפרש
(למ"ס - מחושב)</t>
        </is>
      </c>
      <c r="N7" s="2" t="inlineStr">
        <is>
          <t>מגורים
(דיווח הלמ"ס)</t>
        </is>
      </c>
      <c r="O7" s="2" t="inlineStr">
        <is>
          <t>סה"כ כללי
(דיווח הלמ"ס)</t>
        </is>
      </c>
    </row>
    <row r="8">
      <c r="A8" s="3" t="n">
        <v>2021</v>
      </c>
      <c r="B8" s="4" t="n">
        <v>309</v>
      </c>
      <c r="C8" s="4" t="n">
        <v>253</v>
      </c>
      <c r="D8" s="4" t="n">
        <v>134</v>
      </c>
      <c r="E8" s="4" t="n">
        <v>708</v>
      </c>
      <c r="F8" s="4" t="n">
        <v>991</v>
      </c>
      <c r="G8" s="4" t="n">
        <v>203</v>
      </c>
      <c r="H8" s="4" t="n">
        <v>467</v>
      </c>
      <c r="I8" s="4" t="n">
        <v>1163</v>
      </c>
      <c r="J8" s="4" t="n">
        <v>154</v>
      </c>
      <c r="K8" s="4" t="n">
        <v>4383</v>
      </c>
      <c r="L8" s="5">
        <f>SUM(B8:J8)</f>
        <v/>
      </c>
      <c r="M8" s="6">
        <f>K8-L8</f>
        <v/>
      </c>
      <c r="N8" s="4" t="n">
        <v>12120</v>
      </c>
      <c r="O8" s="4" t="n">
        <v>16503</v>
      </c>
    </row>
    <row r="9">
      <c r="A9" s="3" t="n">
        <v>2022</v>
      </c>
      <c r="B9" s="4" t="n">
        <v>161</v>
      </c>
      <c r="C9" s="4" t="n">
        <v>296</v>
      </c>
      <c r="D9" s="4" t="n">
        <v>57</v>
      </c>
      <c r="E9" s="4" t="n">
        <v>640</v>
      </c>
      <c r="F9" s="4" t="n">
        <v>1349</v>
      </c>
      <c r="G9" s="4" t="n">
        <v>229</v>
      </c>
      <c r="H9" s="4" t="n">
        <v>540</v>
      </c>
      <c r="I9" s="4" t="n">
        <v>1248</v>
      </c>
      <c r="J9" s="4" t="n">
        <v>175</v>
      </c>
      <c r="K9" s="4" t="n">
        <v>4697</v>
      </c>
      <c r="L9" s="5">
        <f>SUM(B9:J9)</f>
        <v/>
      </c>
      <c r="M9" s="6">
        <f>K9-L9</f>
        <v/>
      </c>
      <c r="N9" s="4" t="n">
        <v>12901</v>
      </c>
      <c r="O9" s="4" t="n">
        <v>17598</v>
      </c>
    </row>
    <row r="10">
      <c r="A10" s="3" t="n">
        <v>2023</v>
      </c>
      <c r="B10" s="4" t="n">
        <v>241</v>
      </c>
      <c r="C10" s="4" t="n">
        <v>414</v>
      </c>
      <c r="D10" s="4" t="n">
        <v>45</v>
      </c>
      <c r="E10" s="4" t="n">
        <v>627</v>
      </c>
      <c r="F10" s="4" t="n">
        <v>1391</v>
      </c>
      <c r="G10" s="4" t="n">
        <v>388</v>
      </c>
      <c r="H10" s="4" t="n">
        <v>500</v>
      </c>
      <c r="I10" s="4" t="n">
        <v>1353</v>
      </c>
      <c r="J10" s="4" t="n">
        <v>216</v>
      </c>
      <c r="K10" s="4" t="n">
        <v>5175</v>
      </c>
      <c r="L10" s="5">
        <f>SUM(B10:J10)</f>
        <v/>
      </c>
      <c r="M10" s="6">
        <f>K10-L10</f>
        <v/>
      </c>
      <c r="N10" s="4" t="n">
        <v>12206</v>
      </c>
      <c r="O10" s="4" t="n">
        <v>17381</v>
      </c>
    </row>
    <row r="11">
      <c r="A11" s="3" t="n">
        <v>2024</v>
      </c>
      <c r="B11" s="4" t="n">
        <v>206</v>
      </c>
      <c r="C11" s="4" t="n">
        <v>264</v>
      </c>
      <c r="D11" s="4" t="n">
        <v>40</v>
      </c>
      <c r="E11" s="4" t="n">
        <v>440</v>
      </c>
      <c r="F11" s="4" t="n">
        <v>966</v>
      </c>
      <c r="G11" s="4" t="n">
        <v>151</v>
      </c>
      <c r="H11" s="4" t="n">
        <v>486</v>
      </c>
      <c r="I11" s="4" t="n">
        <v>816</v>
      </c>
      <c r="J11" s="4" t="n">
        <v>178</v>
      </c>
      <c r="K11" s="4" t="n">
        <v>3549</v>
      </c>
      <c r="L11" s="5">
        <f>SUM(B11:J11)</f>
        <v/>
      </c>
      <c r="M11" s="6">
        <f>K11-L11</f>
        <v/>
      </c>
      <c r="N11" s="4" t="n">
        <v>12971</v>
      </c>
      <c r="O11" s="4" t="n">
        <v>16520</v>
      </c>
    </row>
    <row r="12">
      <c r="A12" s="3" t="n">
        <v>2025</v>
      </c>
      <c r="B12" s="4" t="n">
        <v>283</v>
      </c>
      <c r="C12" s="4" t="n">
        <v>350</v>
      </c>
      <c r="D12" s="4" t="n">
        <v>226</v>
      </c>
      <c r="E12" s="4" t="n">
        <v>648</v>
      </c>
      <c r="F12" s="4" t="n">
        <v>1089</v>
      </c>
      <c r="G12" s="4" t="n">
        <v>154</v>
      </c>
      <c r="H12" s="4" t="n">
        <v>823</v>
      </c>
      <c r="I12" s="4" t="n">
        <v>577</v>
      </c>
      <c r="J12" s="4" t="n">
        <v>194</v>
      </c>
      <c r="K12" s="4" t="n">
        <v>4347</v>
      </c>
      <c r="L12" s="5">
        <f>SUM(B12:J12)</f>
        <v/>
      </c>
      <c r="M12" s="6">
        <f>K12-L12</f>
        <v/>
      </c>
      <c r="N12" s="4" t="n">
        <v>14972</v>
      </c>
      <c r="O12" s="4" t="n">
        <v>19319</v>
      </c>
    </row>
    <row r="14">
      <c r="A14" s="17" t="inlineStr">
        <is>
          <t>הערת שוליים של הלמ"ס (בלוח המקור, הערה 2): "הנתונים אינם מסתכמים בהכרח לסך הכל בגלל עיגול מספרים" — ייתכן שהנתונים לא יסתכמו במדויק בשל עיגול מספרים של הלמ"ס. כל היחידות: אלפי מ"ר.</t>
        </is>
      </c>
    </row>
    <row r="16" ht="15.5" customHeight="1" s="22">
      <c r="A16" s="15" t="inlineStr">
        <is>
          <t>חלק 2 — התחלות בנייה רלוונטיות לצ'ילרים (נגזר)</t>
        </is>
      </c>
    </row>
    <row r="17" ht="30" customHeight="1" s="22">
      <c r="A17" s="17" t="inlineStr">
        <is>
          <t>מתודולוגיה (brainstorms/2026-07-22_tax-incentive-market-analysis.md): שטח רצפה רלוונטי לצ'ילרים = סך הבנייה שאינה למגורים פחות חקלאות פחות תחבורה ותקשורת. שתי קטגוריות אלו מוחרגות משום שאינן נושאות עומסי קירור לנוחות כפי שעושים שטחי משרדים/מסחר/מוסדות/תעשייה. כל התאים להלן הם נוסחאות חיות המפנות לחלק 1 — שינוי נתון גולמי של הלמ"ס למעלה מחשב מחדש את החלק הזה.</t>
        </is>
      </c>
    </row>
    <row r="19" ht="40" customHeight="1" s="22">
      <c r="A19" s="2" t="inlineStr">
        <is>
          <t>שנה</t>
        </is>
      </c>
      <c r="B19" s="2" t="inlineStr">
        <is>
          <t>סה"כ לא למגורים, דיווח הלמ"ס
(חלק 1, עמודה K)</t>
        </is>
      </c>
      <c r="C19" s="2" t="inlineStr">
        <is>
          <t>חקלאות
(חלק 1, עמודה B)</t>
        </is>
      </c>
      <c r="D19" s="2" t="inlineStr">
        <is>
          <t>תחבורה ותקשורת
(חלק 1, עמודה G)</t>
        </is>
      </c>
      <c r="E19" s="2" t="inlineStr">
        <is>
          <t>רלוונטי לצ'ילרים
(אלפי מ"ר)</t>
        </is>
      </c>
      <c r="F19" s="2" t="inlineStr">
        <is>
          <t>רלוונטי לצ'ילרים
(מ"ר)</t>
        </is>
      </c>
    </row>
    <row r="20">
      <c r="A20" s="7">
        <f>A8</f>
        <v/>
      </c>
      <c r="B20" s="5">
        <f>K8</f>
        <v/>
      </c>
      <c r="C20" s="5">
        <f>B8</f>
        <v/>
      </c>
      <c r="D20" s="5">
        <f>G8</f>
        <v/>
      </c>
      <c r="E20" s="8">
        <f>B20-C20-D20</f>
        <v/>
      </c>
      <c r="F20" s="8">
        <f>E20*1000</f>
        <v/>
      </c>
    </row>
    <row r="21">
      <c r="A21" s="7">
        <f>A9</f>
        <v/>
      </c>
      <c r="B21" s="5">
        <f>K9</f>
        <v/>
      </c>
      <c r="C21" s="5">
        <f>B9</f>
        <v/>
      </c>
      <c r="D21" s="5">
        <f>G9</f>
        <v/>
      </c>
      <c r="E21" s="8">
        <f>B21-C21-D21</f>
        <v/>
      </c>
      <c r="F21" s="8">
        <f>E21*1000</f>
        <v/>
      </c>
    </row>
    <row r="22">
      <c r="A22" s="7">
        <f>A10</f>
        <v/>
      </c>
      <c r="B22" s="5">
        <f>K10</f>
        <v/>
      </c>
      <c r="C22" s="5">
        <f>B10</f>
        <v/>
      </c>
      <c r="D22" s="5">
        <f>G10</f>
        <v/>
      </c>
      <c r="E22" s="8">
        <f>B22-C22-D22</f>
        <v/>
      </c>
      <c r="F22" s="8">
        <f>E22*1000</f>
        <v/>
      </c>
    </row>
    <row r="23">
      <c r="A23" s="7">
        <f>A11</f>
        <v/>
      </c>
      <c r="B23" s="5">
        <f>K11</f>
        <v/>
      </c>
      <c r="C23" s="5">
        <f>B11</f>
        <v/>
      </c>
      <c r="D23" s="5">
        <f>G11</f>
        <v/>
      </c>
      <c r="E23" s="8">
        <f>B23-C23-D23</f>
        <v/>
      </c>
      <c r="F23" s="8">
        <f>E23*1000</f>
        <v/>
      </c>
    </row>
    <row r="24">
      <c r="A24" s="7">
        <f>A12</f>
        <v/>
      </c>
      <c r="B24" s="5">
        <f>K12</f>
        <v/>
      </c>
      <c r="C24" s="5">
        <f>B12</f>
        <v/>
      </c>
      <c r="D24" s="5">
        <f>G12</f>
        <v/>
      </c>
      <c r="E24" s="8">
        <f>B24-C24-D24</f>
        <v/>
      </c>
      <c r="F24" s="8">
        <f>E24*1000</f>
        <v/>
      </c>
    </row>
    <row r="25">
      <c r="A25" s="9" t="inlineStr">
        <is>
          <t>ממוצע 5 שנים</t>
        </is>
      </c>
      <c r="B25" s="10" t="n"/>
      <c r="C25" s="10" t="n"/>
      <c r="D25" s="10" t="n"/>
      <c r="E25" s="11">
        <f>AVERAGE(E20:E24)</f>
        <v/>
      </c>
      <c r="F25" s="11">
        <f>AVERAGE(F20:F24)</f>
        <v/>
      </c>
    </row>
    <row r="27">
      <c r="A27" s="25" t="inlineStr">
        <is>
          <t>חלק 3 - צפיפות עומס קירור (RT/מ"ר) לפי קטגוריית למ"ס, עם מקורות</t>
        </is>
      </c>
    </row>
    <row r="28" ht="70" customHeight="1" s="22">
      <c r="A28" s="26" t="inlineStr">
        <is>
          <t>אין מקור בודד שמפרסם נתון RT/מ"ר משוקלל אחד למבנה מסחרי, וצפיפות עומס הקירור אכן משתנה לפי סוג המבנה - לכן כל אחת מ-7 הקטגוריות הרלוונטיות לצ'ילרים מקבלת נתון רגל-רבועה/טון עם מקור משלה בטבלה למטה, מומר למ"ר/RT באמצעות מקדם ההמרה המדויק מרגל רבועה למ"ר בתא B29. שורות ירוקות מבוססות על מקור ישיר התואם את קטגוריית הלמ"ס; שורות כתומות הן פרוקסי כללי-מסחרי משום שלא נמצא מקור ספציפי לאותה קטגוריה - מסומן ולא מוסתר. תקן ת"י 5282 (התקן הישראלי) נבדק ונפסל: מדובר בתקן דירוג אנרגטי למבנים (מעטפת, זיגוג, כיווניות), לא תקן לתכנון הספק ציוד, ולכן אין בו נתון RT/מ"ר לציטוט.</t>
        </is>
      </c>
    </row>
    <row r="29">
      <c r="A29" s="27" t="inlineStr">
        <is>
          <t>מקדם המרה: 1 רגל רבועה =</t>
        </is>
      </c>
      <c r="B29" s="28" t="n">
        <v>0.092903</v>
      </c>
      <c r="C29" s="29" t="inlineStr">
        <is>
          <t>מ"ר (מדויק)</t>
        </is>
      </c>
      <c r="D29" s="30" t="n"/>
      <c r="E29" s="30" t="n"/>
      <c r="F29" s="30" t="n"/>
      <c r="G29" s="30" t="n"/>
      <c r="H29" s="30" t="n"/>
      <c r="I29" s="30" t="n"/>
      <c r="J29" s="30" t="n"/>
      <c r="K29" s="30" t="n"/>
      <c r="L29" s="30" t="n"/>
      <c r="M29" s="30" t="n"/>
      <c r="N29" s="30" t="n"/>
      <c r="O29" s="30" t="n"/>
    </row>
    <row r="30">
      <c r="A30" s="30" t="n"/>
      <c r="B30" s="30" t="n"/>
      <c r="C30" s="30" t="n"/>
      <c r="D30" s="30" t="n"/>
      <c r="E30" s="30" t="n"/>
      <c r="F30" s="30" t="n"/>
      <c r="G30" s="30" t="n"/>
      <c r="H30" s="30" t="n"/>
      <c r="I30" s="30" t="n"/>
      <c r="J30" s="30" t="n"/>
      <c r="K30" s="30" t="n"/>
      <c r="L30" s="30" t="n"/>
      <c r="M30" s="30" t="n"/>
      <c r="N30" s="30" t="n"/>
      <c r="O30" s="30" t="n"/>
    </row>
    <row r="31" ht="40" customHeight="1" s="22">
      <c r="A31" s="31" t="inlineStr">
        <is>
          <t>קטגוריה</t>
        </is>
      </c>
      <c r="B31" s="31" t="inlineStr">
        <is>
          <t>עמודה
בחלק 1</t>
        </is>
      </c>
      <c r="C31" s="31" t="inlineStr">
        <is>
          <t>רגל רבועה / טון
(קלט עם מקור)</t>
        </is>
      </c>
      <c r="D31" s="31" t="inlineStr">
        <is>
          <t>מ"ר / RT
(=רגל רבועה/טון * מקדם)</t>
        </is>
      </c>
      <c r="E31" s="31" t="inlineStr">
        <is>
          <t>מקור</t>
        </is>
      </c>
      <c r="F31" s="52" t="n"/>
      <c r="G31" s="52" t="n"/>
      <c r="H31" s="52" t="n"/>
      <c r="I31" s="53" t="n"/>
      <c r="J31" s="31" t="inlineStr">
        <is>
          <t>בסיס</t>
        </is>
      </c>
      <c r="K31" s="52" t="n"/>
      <c r="L31" s="52" t="n"/>
      <c r="M31" s="52" t="n"/>
      <c r="N31" s="52" t="n"/>
      <c r="O31" s="53" t="n"/>
    </row>
    <row r="32" ht="60" customHeight="1" s="22">
      <c r="A32" s="32" t="inlineStr">
        <is>
          <t>מבני ציבור אחרים</t>
        </is>
      </c>
      <c r="B32" s="33" t="inlineStr">
        <is>
          <t>חלק 1, עמודה C</t>
        </is>
      </c>
      <c r="C32" s="34" t="n">
        <v>400</v>
      </c>
      <c r="D32" s="35">
        <f>C32*$B$29</f>
        <v/>
      </c>
      <c r="E32" s="36" t="inlineStr">
        <is>
          <t>Trane (מתוך ליקוט מקורות תעשיית ה-HVAC) - מקדם כללי ל"מסחרי כללי". trane.com/residential/en/resources/glossary/hvac-sizing</t>
        </is>
      </c>
      <c r="F32" s="52" t="n"/>
      <c r="G32" s="52" t="n"/>
      <c r="H32" s="52" t="n"/>
      <c r="I32" s="53" t="n"/>
      <c r="J32" s="38" t="inlineStr">
        <is>
          <t>פרוקסי - לא נמצא מקור ספציפי למבני ציבור/עירייה</t>
        </is>
      </c>
      <c r="K32" s="52" t="n"/>
      <c r="L32" s="52" t="n"/>
      <c r="M32" s="52" t="n"/>
      <c r="N32" s="52" t="n"/>
      <c r="O32" s="53" t="n"/>
    </row>
    <row r="33" ht="60" customHeight="1" s="22">
      <c r="A33" s="32" t="inlineStr">
        <is>
          <t>בריאות</t>
        </is>
      </c>
      <c r="B33" s="33" t="inlineStr">
        <is>
          <t>חלק 1, עמודה D</t>
        </is>
      </c>
      <c r="C33" s="34" t="n">
        <v>275</v>
      </c>
      <c r="D33" s="35">
        <f>C33*$B$29</f>
        <v/>
      </c>
      <c r="E33" s="39" t="inlineStr">
        <is>
          <t>HVAC-ENG.com, Cooling Load Rules of Thumb - חדרי מטופלים ומרפאות, טווח 250-300 רגל רבועה/טון, נעשה שימוש בנקודת האמצע. hvac-eng.com/cooling-load-rules-of-thumb</t>
        </is>
      </c>
      <c r="F33" s="52" t="n"/>
      <c r="G33" s="52" t="n"/>
      <c r="H33" s="52" t="n"/>
      <c r="I33" s="53" t="n"/>
      <c r="J33" s="41" t="inlineStr">
        <is>
          <t>מקור ישיר - תואם את הקטגוריה במדויק</t>
        </is>
      </c>
      <c r="K33" s="52" t="n"/>
      <c r="L33" s="52" t="n"/>
      <c r="M33" s="52" t="n"/>
      <c r="N33" s="52" t="n"/>
      <c r="O33" s="53" t="n"/>
    </row>
    <row r="34" ht="60" customHeight="1" s="22">
      <c r="A34" s="32" t="inlineStr">
        <is>
          <t>חינוך</t>
        </is>
      </c>
      <c r="B34" s="33" t="inlineStr">
        <is>
          <t>חלק 1, עמודה E</t>
        </is>
      </c>
      <c r="C34" s="34" t="n">
        <v>213</v>
      </c>
      <c r="D34" s="35">
        <f>C34*$B$29</f>
        <v/>
      </c>
      <c r="E34" s="39" t="inlineStr">
        <is>
          <t>cfm Distributors (Brad Telker, סמנכ"ל מכירות), Load Calculation Rules of Thumb - כיתות לימוד, הנחות תכנון מוצהרות (עיצוב קיץ 98/78 יבש/רטוב, אוורור לפי 2018 IMC). rc.cfmdistributors.com/helpful-tips/training/load-calculation-rules-of-thumb</t>
        </is>
      </c>
      <c r="F34" s="52" t="n"/>
      <c r="G34" s="52" t="n"/>
      <c r="H34" s="52" t="n"/>
      <c r="I34" s="53" t="n"/>
      <c r="J34" s="41" t="inlineStr">
        <is>
          <t>מקור ישיר - תואם את הקטגוריה במדויק</t>
        </is>
      </c>
      <c r="K34" s="52" t="n"/>
      <c r="L34" s="52" t="n"/>
      <c r="M34" s="52" t="n"/>
      <c r="N34" s="52" t="n"/>
      <c r="O34" s="53" t="n"/>
    </row>
    <row r="35" ht="60" customHeight="1" s="22">
      <c r="A35" s="32" t="inlineStr">
        <is>
          <t>תעשייה ואחסנה</t>
        </is>
      </c>
      <c r="B35" s="33" t="inlineStr">
        <is>
          <t>חלק 1, עמודה F</t>
        </is>
      </c>
      <c r="C35" s="34" t="n">
        <v>400</v>
      </c>
      <c r="D35" s="35">
        <f>C35*$B$29</f>
        <v/>
      </c>
      <c r="E35" s="36" t="inlineStr">
        <is>
          <t>Trane (מתוך ליקוט מקורות תעשיית ה-HVAC) - מקדם כללי ל"מסחרי כללי", זהה למבני ציבור אחרים. trane.com/residential/en/resources/glossary/hvac-sizing</t>
        </is>
      </c>
      <c r="F35" s="52" t="n"/>
      <c r="G35" s="52" t="n"/>
      <c r="H35" s="52" t="n"/>
      <c r="I35" s="53" t="n"/>
      <c r="J35" s="38" t="inlineStr">
        <is>
          <t>פרוקסי - הלמ"ס מאחדת שטח תעשייתי פעיל עם אחסון טהור; לא נמצא מקור מפורק</t>
        </is>
      </c>
      <c r="K35" s="52" t="n"/>
      <c r="L35" s="52" t="n"/>
      <c r="M35" s="52" t="n"/>
      <c r="N35" s="52" t="n"/>
      <c r="O35" s="53" t="n"/>
    </row>
    <row r="36" ht="60" customHeight="1" s="22">
      <c r="A36" s="32" t="inlineStr">
        <is>
          <t>מסחר</t>
        </is>
      </c>
      <c r="B36" s="33" t="inlineStr">
        <is>
          <t>חלק 1, עמודה H</t>
        </is>
      </c>
      <c r="C36" s="34" t="n">
        <v>321</v>
      </c>
      <c r="D36" s="35">
        <f>C36*$B$29</f>
        <v/>
      </c>
      <c r="E36" s="39" t="inlineStr">
        <is>
          <t>cfm Distributors (Brad Telker, סמנכ"ל מכירות), Load Calculation Rules of Thumb - רצפת מכירות קמעונאית. rc.cfmdistributors.com/helpful-tips/training/load-calculation-rules-of-thumb</t>
        </is>
      </c>
      <c r="F36" s="52" t="n"/>
      <c r="G36" s="52" t="n"/>
      <c r="H36" s="52" t="n"/>
      <c r="I36" s="53" t="n"/>
      <c r="J36" s="41" t="inlineStr">
        <is>
          <t>מקור ישיר - תואם את הקטגוריה במדויק</t>
        </is>
      </c>
      <c r="K36" s="52" t="n"/>
      <c r="L36" s="52" t="n"/>
      <c r="M36" s="52" t="n"/>
      <c r="N36" s="52" t="n"/>
      <c r="O36" s="53" t="n"/>
    </row>
    <row r="37" ht="60" customHeight="1" s="22">
      <c r="A37" s="32" t="inlineStr">
        <is>
          <t>משרדים</t>
        </is>
      </c>
      <c r="B37" s="33" t="inlineStr">
        <is>
          <t>חלק 1, עמודה I</t>
        </is>
      </c>
      <c r="C37" s="34" t="n">
        <v>373</v>
      </c>
      <c r="D37" s="35">
        <f>C37*$B$29</f>
        <v/>
      </c>
      <c r="E37" s="39" t="inlineStr">
        <is>
          <t>cfm Distributors (Brad Telker, סמנכ"ל מכירות), Load Calculation Rules of Thumb - שטח משרדים. rc.cfmdistributors.com/helpful-tips/training/load-calculation-rules-of-thumb</t>
        </is>
      </c>
      <c r="F37" s="52" t="n"/>
      <c r="G37" s="52" t="n"/>
      <c r="H37" s="52" t="n"/>
      <c r="I37" s="53" t="n"/>
      <c r="J37" s="41" t="inlineStr">
        <is>
          <t>מקור ישיר - תואם את הקטגוריה במדויק</t>
        </is>
      </c>
      <c r="K37" s="52" t="n"/>
      <c r="L37" s="52" t="n"/>
      <c r="M37" s="52" t="n"/>
      <c r="N37" s="52" t="n"/>
      <c r="O37" s="53" t="n"/>
    </row>
    <row r="38" ht="60" customHeight="1" s="22">
      <c r="A38" s="32" t="inlineStr">
        <is>
          <t>הארחה (מלונאות)</t>
        </is>
      </c>
      <c r="B38" s="33" t="inlineStr">
        <is>
          <t>חלק 1, עמודה J</t>
        </is>
      </c>
      <c r="C38" s="34" t="n">
        <v>362.5</v>
      </c>
      <c r="D38" s="35">
        <f>C38*$B$29</f>
        <v/>
      </c>
      <c r="E38" s="39" t="inlineStr">
        <is>
          <t>HVAC-ENG.com, Cooling Load Rules of Thumb - ממוצע לא משוקלל בין שטחים ציבוריים (250-300, אמצע 275) לחדרי אורחים (400-500, אמצע 450); לא נמצא מקור לחלוקת השטח בין השניים. hvac-eng.com/cooling-load-rules-of-thumb</t>
        </is>
      </c>
      <c r="F38" s="52" t="n"/>
      <c r="G38" s="52" t="n"/>
      <c r="H38" s="52" t="n"/>
      <c r="I38" s="53" t="n"/>
      <c r="J38" s="41" t="inlineStr">
        <is>
          <t>מקור עם מיזוג - אין חלוקת שטח מקורית בין הקטגוריות</t>
        </is>
      </c>
      <c r="K38" s="52" t="n"/>
      <c r="L38" s="52" t="n"/>
      <c r="M38" s="52" t="n"/>
      <c r="N38" s="52" t="n"/>
      <c r="O38" s="53" t="n"/>
    </row>
    <row r="40">
      <c r="A40" s="42" t="inlineStr">
        <is>
          <t>חלק 4 - הספק קירור צ'ילרים מותקן, לפי קטגוריה ושנה (משוקלל)</t>
        </is>
      </c>
    </row>
    <row r="41" ht="55" customHeight="1" s="22">
      <c r="A41" s="43" t="inlineStr">
        <is>
          <t>RT לכל קטגוריה = (מ"ר מחלק 1, באלפים) * 1000 / (מ"ר/RT מחלק 3 לאותה קטגוריה). סכום על פני 7 הקטגוריות הרלוונטיות לצ'ילרים = סך הספק הקירור החדש (RT) שנוסף באותה שנה. עמודת "מ"ר/RT משוקלל (בדיקה)" מחלקת את סך השטח הרלוונטי לצ'ילרים בסך ה-RT - נתון ייחוס שמראה איזה יחס משוקלל בודד תמהיל הבנייה בפועל של אותה שנה מרמז, להשוואה מול הנחה שטוחה.</t>
        </is>
      </c>
    </row>
    <row r="43" ht="40" customHeight="1" s="22">
      <c r="A43" s="31" t="inlineStr">
        <is>
          <t>שנה</t>
        </is>
      </c>
      <c r="B43" s="31" t="inlineStr">
        <is>
          <t>מבני ציבור אחרים
(RT)</t>
        </is>
      </c>
      <c r="C43" s="31" t="inlineStr">
        <is>
          <t>בריאות
(RT)</t>
        </is>
      </c>
      <c r="D43" s="31" t="inlineStr">
        <is>
          <t>חינוך
(RT)</t>
        </is>
      </c>
      <c r="E43" s="31" t="inlineStr">
        <is>
          <t>תעשייה ואחסנה
(RT)</t>
        </is>
      </c>
      <c r="F43" s="31" t="inlineStr">
        <is>
          <t>מסחר
(RT)</t>
        </is>
      </c>
      <c r="G43" s="31" t="inlineStr">
        <is>
          <t>משרדים
(RT)</t>
        </is>
      </c>
      <c r="H43" s="31" t="inlineStr">
        <is>
          <t>הארחה
(RT)</t>
        </is>
      </c>
      <c r="I43" s="31" t="inlineStr">
        <is>
          <t>סה"כ
(RT)</t>
        </is>
      </c>
      <c r="J43" s="31" t="inlineStr">
        <is>
          <t>מ"ר/RT משוקלל
(בדיקה)</t>
        </is>
      </c>
    </row>
    <row r="44">
      <c r="A44" s="32">
        <f>A8</f>
        <v/>
      </c>
      <c r="B44" s="44">
        <f>C8*1000/$D$32</f>
        <v/>
      </c>
      <c r="C44" s="44">
        <f>D8*1000/$D$33</f>
        <v/>
      </c>
      <c r="D44" s="44">
        <f>E8*1000/$D$34</f>
        <v/>
      </c>
      <c r="E44" s="44">
        <f>F8*1000/$D$35</f>
        <v/>
      </c>
      <c r="F44" s="44">
        <f>H8*1000/$D$36</f>
        <v/>
      </c>
      <c r="G44" s="44">
        <f>I8*1000/$D$37</f>
        <v/>
      </c>
      <c r="H44" s="44">
        <f>J8*1000/$D$38</f>
        <v/>
      </c>
      <c r="I44" s="45">
        <f>SUM(B44:H44)</f>
        <v/>
      </c>
      <c r="J44" s="46">
        <f>F20/I44</f>
        <v/>
      </c>
    </row>
    <row r="45">
      <c r="A45" s="32">
        <f>A9</f>
        <v/>
      </c>
      <c r="B45" s="44">
        <f>C9*1000/$D$32</f>
        <v/>
      </c>
      <c r="C45" s="44">
        <f>D9*1000/$D$33</f>
        <v/>
      </c>
      <c r="D45" s="44">
        <f>E9*1000/$D$34</f>
        <v/>
      </c>
      <c r="E45" s="44">
        <f>F9*1000/$D$35</f>
        <v/>
      </c>
      <c r="F45" s="44">
        <f>H9*1000/$D$36</f>
        <v/>
      </c>
      <c r="G45" s="44">
        <f>I9*1000/$D$37</f>
        <v/>
      </c>
      <c r="H45" s="44">
        <f>J9*1000/$D$38</f>
        <v/>
      </c>
      <c r="I45" s="45">
        <f>SUM(B45:H45)</f>
        <v/>
      </c>
      <c r="J45" s="46">
        <f>F21/I45</f>
        <v/>
      </c>
    </row>
    <row r="46">
      <c r="A46" s="32">
        <f>A10</f>
        <v/>
      </c>
      <c r="B46" s="44">
        <f>C10*1000/$D$32</f>
        <v/>
      </c>
      <c r="C46" s="44">
        <f>D10*1000/$D$33</f>
        <v/>
      </c>
      <c r="D46" s="44">
        <f>E10*1000/$D$34</f>
        <v/>
      </c>
      <c r="E46" s="44">
        <f>F10*1000/$D$35</f>
        <v/>
      </c>
      <c r="F46" s="44">
        <f>H10*1000/$D$36</f>
        <v/>
      </c>
      <c r="G46" s="44">
        <f>I10*1000/$D$37</f>
        <v/>
      </c>
      <c r="H46" s="44">
        <f>J10*1000/$D$38</f>
        <v/>
      </c>
      <c r="I46" s="45">
        <f>SUM(B46:H46)</f>
        <v/>
      </c>
      <c r="J46" s="46">
        <f>F22/I46</f>
        <v/>
      </c>
    </row>
    <row r="47">
      <c r="A47" s="32">
        <f>A11</f>
        <v/>
      </c>
      <c r="B47" s="44">
        <f>C11*1000/$D$32</f>
        <v/>
      </c>
      <c r="C47" s="44">
        <f>D11*1000/$D$33</f>
        <v/>
      </c>
      <c r="D47" s="44">
        <f>E11*1000/$D$34</f>
        <v/>
      </c>
      <c r="E47" s="44">
        <f>F11*1000/$D$35</f>
        <v/>
      </c>
      <c r="F47" s="44">
        <f>H11*1000/$D$36</f>
        <v/>
      </c>
      <c r="G47" s="44">
        <f>I11*1000/$D$37</f>
        <v/>
      </c>
      <c r="H47" s="44">
        <f>J11*1000/$D$38</f>
        <v/>
      </c>
      <c r="I47" s="45">
        <f>SUM(B47:H47)</f>
        <v/>
      </c>
      <c r="J47" s="46">
        <f>F23/I47</f>
        <v/>
      </c>
    </row>
    <row r="48">
      <c r="A48" s="32">
        <f>A12</f>
        <v/>
      </c>
      <c r="B48" s="44">
        <f>C12*1000/$D$32</f>
        <v/>
      </c>
      <c r="C48" s="44">
        <f>D12*1000/$D$33</f>
        <v/>
      </c>
      <c r="D48" s="44">
        <f>E12*1000/$D$34</f>
        <v/>
      </c>
      <c r="E48" s="44">
        <f>F12*1000/$D$35</f>
        <v/>
      </c>
      <c r="F48" s="44">
        <f>H12*1000/$D$36</f>
        <v/>
      </c>
      <c r="G48" s="44">
        <f>I12*1000/$D$37</f>
        <v/>
      </c>
      <c r="H48" s="44">
        <f>J12*1000/$D$38</f>
        <v/>
      </c>
      <c r="I48" s="45">
        <f>SUM(B48:H48)</f>
        <v/>
      </c>
      <c r="J48" s="46">
        <f>F24/I48</f>
        <v/>
      </c>
    </row>
    <row r="49">
      <c r="A49" s="47" t="inlineStr">
        <is>
          <t>ממוצע 5 שנים</t>
        </is>
      </c>
      <c r="B49" s="48">
        <f>AVERAGE(B44:B48)</f>
        <v/>
      </c>
      <c r="C49" s="48">
        <f>AVERAGE(C44:C48)</f>
        <v/>
      </c>
      <c r="D49" s="48">
        <f>AVERAGE(D44:D48)</f>
        <v/>
      </c>
      <c r="E49" s="48">
        <f>AVERAGE(E44:E48)</f>
        <v/>
      </c>
      <c r="F49" s="48">
        <f>AVERAGE(F44:F48)</f>
        <v/>
      </c>
      <c r="G49" s="48">
        <f>AVERAGE(G44:G48)</f>
        <v/>
      </c>
      <c r="H49" s="48">
        <f>AVERAGE(H44:H48)</f>
        <v/>
      </c>
      <c r="I49" s="45">
        <f>AVERAGE(I44:I48)</f>
        <v/>
      </c>
      <c r="J49" s="49">
        <f>AVERAGE(J44:J48)</f>
        <v/>
      </c>
    </row>
    <row r="51">
      <c r="A51" s="42" t="inlineStr">
        <is>
          <t>חלק 5 - הערות ושאלות פתוחות</t>
        </is>
      </c>
    </row>
    <row r="52" ht="75" customHeight="1" s="22">
      <c r="A52" s="50" t="inlineStr">
        <is>
          <t>תוצאה</t>
        </is>
      </c>
      <c r="B52" s="51" t="inlineStr">
        <is>
          <t>ממוצע התחלות הבנייה הרלוונטיות לצ'ילרים על פני 5 שנים ≈ 3,965 אלפי מ"ר לשנה (כ-3.97 מיליון מ"ר לשנה), תא E/F בשורת ממוצע 5 השנים למעלה. אין מגמה ברורה של עלייה או ירידה - 2023 היתה שנת שיא (4,546 אלף), 2024 שנת שפל (3,192 אלף), קרוב לוודאי בזיקה לשיבוש ענף הבנייה מאז פרוץ המלחמה (אוקטובר 2023), כפי שהלמ"ס מתעד בנפרד בפרסום (מחסור בכוח אדם, שיבושים באתרים מסיבות ביטחוניות). נעשה שימוש בממוצע 5 שנים קבוע כפרמטר הצמיחה ולא בקו מגמה מותאם, משום שהתנודה בין 2023 ל-2024 הופכת התאמת מגמה לרווית רעש ולא למועילה יותר.</t>
        </is>
      </c>
    </row>
    <row r="53" ht="75" customHeight="1" s="22">
      <c r="A53" s="50" t="inlineStr">
        <is>
          <t xml:space="preserve">שאלה פתוחה </t>
        </is>
      </c>
      <c r="B53" s="51" t="inlineStr">
        <is>
          <t xml:space="preserve">הלמ"ס מאחד את "תעשייה ואחסנה" לקטגוריה אחת (עמודה F, חלק 1). </t>
        </is>
      </c>
    </row>
    <row r="54" ht="75" customHeight="1" s="22">
      <c r="A54" s="50" t="inlineStr">
        <is>
          <t>תוצאה - הספק קירור משוקלל</t>
        </is>
      </c>
      <c r="B54" s="51" t="inlineStr">
        <is>
          <t>ממוצע משוקלל של 5 שנים להספק קירור צ'ילרים מותקן מבנייה חדשה שאינה למגורים כ-128,610 RT לשנה (תא I49, חלק 4). היחס המשוקלל למ"ר/RT השנתי (עמודת בדיקה, חלק 4) נשאר יציב יחסית (כ-30 עד 31.5) למרות שינויים בתמהיל הקטגוריות משנה לשנה, משום שחינוך (צפוף, כ-19.8 מ"ר/RT) ושתי קטגוריות הפרוקסי (פחות צפופות, כ-37.2 מ"ר/RT) מקזזות זו את זו חלקית.</t>
        </is>
      </c>
    </row>
    <row r="55" ht="120" customHeight="1" s="22">
      <c r="A55" s="50" t="inlineStr">
        <is>
          <t>שאלה פתוחה - קטגוריות פרוקסי</t>
        </is>
      </c>
      <c r="B55" s="51" t="inlineStr">
        <is>
          <t>"מבני ציבור אחרים" ו"תעשייה ואחסנה" (חלק 3, שורות כתומות) משתמשות שתיהן בנתון פרוקסי מסחרי כללי (Trane, 400 רגל רבועה/טון) משום שלא נמצא מקור ספציפי לאף אחת מהקטגוריות. זו החוליה החלשה ביותר בחישוב המשוקלל, ועדיין פתוחה לדיון עם דניאל ורפי. שני שיקולים מושכים לכיוונים מנוגדים: מצד אחד, הלמ"ס מאחדת שטח תעשייתי פעיל (שעשוי לדרוש קירור תהליכי אינטנסיבי) עם אחסון טהור (לרוב לא ממוזג כלל - כ-45% מהמחסנים אינם מקוררים לפי מקור אחד שנבדק) - כך שהתמהיל בפועל לא ידוע. מצד שני, דניאל אישר בדיון על הנחת שעות העבודה במודל התמריץ המרכזי ש-3,000 שעות/שנה זו הנחה טובה "במיוחד לצ'ילרים לנוחות" - ניסוח שמרמז שהיקף הצ'ילרים במודל הוא קירור נוחות למבנה ולא קירור תהליכי, מה שדווקא תומך בכיוון של עומס קירור נמוך יותר (לא גבוה יותר) לשטח תעשייה. לא הוכרע - דורש בירור ישיר מול דניאל/רפי לגבי היקף טכנולוגיית הצ'ילרים במודל: קירור נוחות בלבד, או גם קירור תהליכי.</t>
        </is>
      </c>
    </row>
    <row r="56" ht="75" customHeight="1" s="22">
      <c r="A56" s="50" t="inlineStr">
        <is>
          <t>טרם נבנה</t>
        </is>
      </c>
      <c r="B56" s="51" t="inlineStr">
        <is>
          <t>רגישות ביקוש החלפה (מלאי RT קיים / אורך חיי הציוד, לפי שורות אורך החיים של 15-17 שנה במודל עצמו) עדיין השלב הבא - הקובץ הזה מכסה רק ביקוש מבנייה חדשה, מקרה הבסיס השמרני לפי מסמך המתודולוגיה.</t>
        </is>
      </c>
    </row>
  </sheetData>
  <mergeCells count="35">
    <mergeCell ref="A16:O16"/>
    <mergeCell ref="A41:O41"/>
    <mergeCell ref="B54:O54"/>
    <mergeCell ref="J36:O36"/>
    <mergeCell ref="E33:I33"/>
    <mergeCell ref="A27:O27"/>
    <mergeCell ref="J35:O35"/>
    <mergeCell ref="B56:O56"/>
    <mergeCell ref="E35:I35"/>
    <mergeCell ref="A2:O2"/>
    <mergeCell ref="E38:I38"/>
    <mergeCell ref="J32:O32"/>
    <mergeCell ref="B52:O52"/>
    <mergeCell ref="A14:O14"/>
    <mergeCell ref="A5:O5"/>
    <mergeCell ref="J31:O31"/>
    <mergeCell ref="E31:I31"/>
    <mergeCell ref="A17:O17"/>
    <mergeCell ref="E34:I34"/>
    <mergeCell ref="B53:O53"/>
    <mergeCell ref="J33:O33"/>
    <mergeCell ref="A28:O28"/>
    <mergeCell ref="L3:O3"/>
    <mergeCell ref="E36:I36"/>
    <mergeCell ref="A40:O40"/>
    <mergeCell ref="J38:O38"/>
    <mergeCell ref="G3:J3"/>
    <mergeCell ref="A51:O51"/>
    <mergeCell ref="J37:O37"/>
    <mergeCell ref="B55:O55"/>
    <mergeCell ref="E32:I32"/>
    <mergeCell ref="A1:O1"/>
    <mergeCell ref="E37:I37"/>
    <mergeCell ref="A6:O6"/>
    <mergeCell ref="J34:O34"/>
  </mergeCells>
  <hyperlinks>
    <hyperlink xmlns:r="http://schemas.openxmlformats.org/officeDocument/2006/relationships" ref="B3" r:id="rId1"/>
    <hyperlink xmlns:r="http://schemas.openxmlformats.org/officeDocument/2006/relationships" ref="G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2026-08-03T06:56:02Z</dcterms:created>
  <dcterms:modified xsi:type="dcterms:W3CDTF">2026-08-03T09:06:02Z</dcterms:modified>
  <cp:lastModifiedBy>Omri  Shamgar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0x010100C51543B70BD5BB42A75A7AD6563ED4D3</vt:lpwstr>
  </property>
</Properties>
</file>