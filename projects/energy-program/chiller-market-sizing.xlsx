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iller Market Siz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404040"/>
      <sz val="9"/>
    </font>
    <font>
      <name val="Arial"/>
      <b val="1"/>
      <sz val="9"/>
    </font>
    <font>
      <name val="Arial"/>
      <color rgb="000563C1"/>
      <u val="single"/>
    </font>
    <font>
      <name val="Arial"/>
      <b val="1"/>
      <color rgb="001F4E78"/>
      <sz val="12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FF"/>
    </font>
    <font>
      <name val="Arial"/>
      <color rgb="000000FF"/>
    </font>
    <font>
      <name val="Arial"/>
      <color rgb="00000000"/>
    </font>
    <font>
      <name val="Arial"/>
      <b val="1"/>
      <color rgb="00000000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3" fontId="10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3" fontId="11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3" fontId="0" fillId="5" borderId="1" pivotButton="0" quotePrefix="0" xfId="0"/>
    <xf numFmtId="3" fontId="11" fillId="5" borderId="1" applyAlignment="1" pivotButton="0" quotePrefix="0" xfId="0">
      <alignment horizontal="center"/>
    </xf>
    <xf numFmtId="0" fontId="12" fillId="0" borderId="0" pivotButton="0" quotePrefix="0" xfId="0"/>
    <xf numFmtId="0" fontId="1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bs.gov.il/he/mediarelease/DocLib/2026/089/04_26_089b.pdf" TargetMode="External" Id="rId1" /><Relationship Type="http://schemas.openxmlformats.org/officeDocument/2006/relationships/hyperlink" Target="https://www.cbs.gov.il/he/mediarelease/DocLib/2026/089/04_26_089t7.xl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0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9" customWidth="1" min="10" max="10"/>
    <col width="12" customWidth="1" min="11" max="11"/>
    <col width="13" customWidth="1" min="12" max="12"/>
    <col width="10" customWidth="1" min="13" max="13"/>
    <col width="11" customWidth="1" min="14" max="14"/>
    <col width="12" customWidth="1" min="15" max="15"/>
  </cols>
  <sheetData>
    <row r="1">
      <c r="A1" s="1" t="inlineStr">
        <is>
          <t>Chiller Market Sizing -- CBS Construction-Starts Data (2021-2025)</t>
        </is>
      </c>
    </row>
    <row r="2">
      <c r="A2" s="2" t="inlineStr">
        <is>
          <t>Source: Israel Central Bureau of Statistics (הלשכה המרכזית לסטטיסטיקה), "התחלות וגמר בנייה - סיכום שנת 2025" (Construction Begun and Completed in 2025), Publication 089/2026, released 19/03/2026. Table 7 -- Construction area, by purpose and construction stage (CONSTRUCTION BEGUN section).</t>
        </is>
      </c>
    </row>
    <row r="3">
      <c r="A3" s="3" t="inlineStr">
        <is>
          <t>Media release (PDF):</t>
        </is>
      </c>
      <c r="B3" s="4" t="inlineStr">
        <is>
          <t>cbs.gov.il/.../04_26_089b.pdf</t>
        </is>
      </c>
      <c r="F3" s="3" t="inlineStr">
        <is>
          <t>Table 7 source (XLS):</t>
        </is>
      </c>
      <c r="G3" s="4" t="inlineStr">
        <is>
          <t>cbs.gov.il/.../04_26_089t7.xls</t>
        </is>
      </c>
      <c r="K3" s="3" t="inlineStr">
        <is>
          <t>Methodology doc:</t>
        </is>
      </c>
      <c r="L3" s="5" t="inlineStr">
        <is>
          <t>brainstorms/2026-07-22_tax-incentive-market-analysis.md</t>
        </is>
      </c>
    </row>
    <row r="5">
      <c r="A5" s="6" t="inlineStr">
        <is>
          <t>SECTION 1 -- Raw CBS Data: Construction Begun, by Purpose (Thousand m²)</t>
        </is>
      </c>
    </row>
    <row r="6">
      <c r="A6" s="7" t="inlineStr">
        <is>
          <t>All 15 value columns below are entered exactly as published by CBS (blue = hardcoded source input). "Non-res total (computed)" is a live SUM check of the 9 category columns against CBS's own reported total; CBS notes its totals may not sum exactly due to rounding (footnote 2 on the source table).</t>
        </is>
      </c>
    </row>
    <row r="7" ht="45" customHeight="1">
      <c r="A7" s="8" t="inlineStr">
        <is>
          <t>Year</t>
        </is>
      </c>
      <c r="B7" s="8" t="inlineStr">
        <is>
          <t>Agriculture
(חקלאות)</t>
        </is>
      </c>
      <c r="C7" s="8" t="inlineStr">
        <is>
          <t>Other public
buildings</t>
        </is>
      </c>
      <c r="D7" s="8" t="inlineStr">
        <is>
          <t>Health
(בריאות)</t>
        </is>
      </c>
      <c r="E7" s="8" t="inlineStr">
        <is>
          <t>Education
(חינוך)</t>
        </is>
      </c>
      <c r="F7" s="8" t="inlineStr">
        <is>
          <t>Industry &amp;
storage</t>
        </is>
      </c>
      <c r="G7" s="8" t="inlineStr">
        <is>
          <t>Transport &amp;
communications</t>
        </is>
      </c>
      <c r="H7" s="8" t="inlineStr">
        <is>
          <t>Commercial
(מסחר)</t>
        </is>
      </c>
      <c r="I7" s="8" t="inlineStr">
        <is>
          <t>Offices
(משרדים)</t>
        </is>
      </c>
      <c r="J7" s="8" t="inlineStr">
        <is>
          <t>Hotels
(הארחה)</t>
        </is>
      </c>
      <c r="K7" s="8" t="inlineStr">
        <is>
          <t>Non-res total
(CBS reported)</t>
        </is>
      </c>
      <c r="L7" s="8" t="inlineStr">
        <is>
          <t>Non-res total
(computed =SUM)</t>
        </is>
      </c>
      <c r="M7" s="8" t="inlineStr">
        <is>
          <t>Diff
(CBS - computed)</t>
        </is>
      </c>
      <c r="N7" s="8" t="inlineStr">
        <is>
          <t>Residential
(CBS reported)</t>
        </is>
      </c>
      <c r="O7" s="8" t="inlineStr">
        <is>
          <t>Grand total
(CBS reported)</t>
        </is>
      </c>
    </row>
    <row r="8">
      <c r="A8" s="9" t="n">
        <v>2021</v>
      </c>
      <c r="B8" s="10" t="n">
        <v>309</v>
      </c>
      <c r="C8" s="10" t="n">
        <v>253</v>
      </c>
      <c r="D8" s="10" t="n">
        <v>134</v>
      </c>
      <c r="E8" s="10" t="n">
        <v>708</v>
      </c>
      <c r="F8" s="10" t="n">
        <v>991</v>
      </c>
      <c r="G8" s="10" t="n">
        <v>203</v>
      </c>
      <c r="H8" s="10" t="n">
        <v>467</v>
      </c>
      <c r="I8" s="10" t="n">
        <v>1163</v>
      </c>
      <c r="J8" s="10" t="n">
        <v>154</v>
      </c>
      <c r="K8" s="10" t="n">
        <v>4383</v>
      </c>
      <c r="L8" s="11">
        <f>SUM(B8:J8)</f>
        <v/>
      </c>
      <c r="M8" s="12">
        <f>K8-L8</f>
        <v/>
      </c>
      <c r="N8" s="10" t="n">
        <v>12120</v>
      </c>
      <c r="O8" s="10" t="n">
        <v>16503</v>
      </c>
    </row>
    <row r="9">
      <c r="A9" s="9" t="n">
        <v>2022</v>
      </c>
      <c r="B9" s="10" t="n">
        <v>161</v>
      </c>
      <c r="C9" s="10" t="n">
        <v>296</v>
      </c>
      <c r="D9" s="10" t="n">
        <v>57</v>
      </c>
      <c r="E9" s="10" t="n">
        <v>640</v>
      </c>
      <c r="F9" s="10" t="n">
        <v>1349</v>
      </c>
      <c r="G9" s="10" t="n">
        <v>229</v>
      </c>
      <c r="H9" s="10" t="n">
        <v>540</v>
      </c>
      <c r="I9" s="10" t="n">
        <v>1248</v>
      </c>
      <c r="J9" s="10" t="n">
        <v>175</v>
      </c>
      <c r="K9" s="10" t="n">
        <v>4697</v>
      </c>
      <c r="L9" s="11">
        <f>SUM(B9:J9)</f>
        <v/>
      </c>
      <c r="M9" s="12">
        <f>K9-L9</f>
        <v/>
      </c>
      <c r="N9" s="10" t="n">
        <v>12901</v>
      </c>
      <c r="O9" s="10" t="n">
        <v>17598</v>
      </c>
    </row>
    <row r="10">
      <c r="A10" s="9" t="n">
        <v>2023</v>
      </c>
      <c r="B10" s="10" t="n">
        <v>241</v>
      </c>
      <c r="C10" s="10" t="n">
        <v>414</v>
      </c>
      <c r="D10" s="10" t="n">
        <v>45</v>
      </c>
      <c r="E10" s="10" t="n">
        <v>627</v>
      </c>
      <c r="F10" s="10" t="n">
        <v>1391</v>
      </c>
      <c r="G10" s="10" t="n">
        <v>388</v>
      </c>
      <c r="H10" s="10" t="n">
        <v>500</v>
      </c>
      <c r="I10" s="10" t="n">
        <v>1353</v>
      </c>
      <c r="J10" s="10" t="n">
        <v>216</v>
      </c>
      <c r="K10" s="10" t="n">
        <v>5175</v>
      </c>
      <c r="L10" s="11">
        <f>SUM(B10:J10)</f>
        <v/>
      </c>
      <c r="M10" s="12">
        <f>K10-L10</f>
        <v/>
      </c>
      <c r="N10" s="10" t="n">
        <v>12206</v>
      </c>
      <c r="O10" s="10" t="n">
        <v>17381</v>
      </c>
    </row>
    <row r="11">
      <c r="A11" s="9" t="n">
        <v>2024</v>
      </c>
      <c r="B11" s="10" t="n">
        <v>206</v>
      </c>
      <c r="C11" s="10" t="n">
        <v>264</v>
      </c>
      <c r="D11" s="10" t="n">
        <v>40</v>
      </c>
      <c r="E11" s="10" t="n">
        <v>440</v>
      </c>
      <c r="F11" s="10" t="n">
        <v>966</v>
      </c>
      <c r="G11" s="10" t="n">
        <v>151</v>
      </c>
      <c r="H11" s="10" t="n">
        <v>486</v>
      </c>
      <c r="I11" s="10" t="n">
        <v>816</v>
      </c>
      <c r="J11" s="10" t="n">
        <v>178</v>
      </c>
      <c r="K11" s="10" t="n">
        <v>3549</v>
      </c>
      <c r="L11" s="11">
        <f>SUM(B11:J11)</f>
        <v/>
      </c>
      <c r="M11" s="12">
        <f>K11-L11</f>
        <v/>
      </c>
      <c r="N11" s="10" t="n">
        <v>12971</v>
      </c>
      <c r="O11" s="10" t="n">
        <v>16520</v>
      </c>
    </row>
    <row r="12">
      <c r="A12" s="9" t="n">
        <v>2025</v>
      </c>
      <c r="B12" s="10" t="n">
        <v>283</v>
      </c>
      <c r="C12" s="10" t="n">
        <v>350</v>
      </c>
      <c r="D12" s="10" t="n">
        <v>226</v>
      </c>
      <c r="E12" s="10" t="n">
        <v>648</v>
      </c>
      <c r="F12" s="10" t="n">
        <v>1089</v>
      </c>
      <c r="G12" s="10" t="n">
        <v>154</v>
      </c>
      <c r="H12" s="10" t="n">
        <v>823</v>
      </c>
      <c r="I12" s="10" t="n">
        <v>577</v>
      </c>
      <c r="J12" s="10" t="n">
        <v>194</v>
      </c>
      <c r="K12" s="10" t="n">
        <v>4347</v>
      </c>
      <c r="L12" s="11">
        <f>SUM(B12:J12)</f>
        <v/>
      </c>
      <c r="M12" s="12">
        <f>K12-L12</f>
        <v/>
      </c>
      <c r="N12" s="10" t="n">
        <v>14972</v>
      </c>
      <c r="O12" s="10" t="n">
        <v>19319</v>
      </c>
    </row>
    <row r="14">
      <c r="A14" s="7" t="inlineStr">
        <is>
          <t>CBS footnote (source table, note 2): "הנתונים אינם מסתכמים בהכרח לסך הכל בגלל עיגול מספרים" -- figures may not sum exactly due to CBS's own rounding. All units: thousand m².</t>
        </is>
      </c>
    </row>
    <row r="16">
      <c r="A16" s="6" t="inlineStr">
        <is>
          <t>SECTION 2 -- Chiller-Relevant Construction Starts (Derived)</t>
        </is>
      </c>
    </row>
    <row r="17" ht="30" customHeight="1">
      <c r="A17" s="7" t="inlineStr">
        <is>
          <t>Methodology (brainstorms/2026-07-22_tax-incentive-market-analysis.md): chiller-relevant floor area = non-residential total MINUS Agriculture MINUS Transport &amp; communications. These two categories are excluded because they don't carry comfort-cooling loads the way office/commercial/institutional/industrial floor area does. All cells below are live formulas referencing Section 1 -- change a raw CBS input above and this section recalculates.</t>
        </is>
      </c>
    </row>
    <row r="19" ht="40" customHeight="1">
      <c r="A19" s="8" t="inlineStr">
        <is>
          <t>Year</t>
        </is>
      </c>
      <c r="B19" s="8" t="inlineStr">
        <is>
          <t>Non-res total, CBS reported
(Section 1, col K)</t>
        </is>
      </c>
      <c r="C19" s="8" t="inlineStr">
        <is>
          <t>Agriculture
(Section 1, col B)</t>
        </is>
      </c>
      <c r="D19" s="8" t="inlineStr">
        <is>
          <t>Transport &amp; comms
(Section 1, col G)</t>
        </is>
      </c>
      <c r="E19" s="8" t="inlineStr">
        <is>
          <t>Chiller-relevant
(thousand m²)</t>
        </is>
      </c>
      <c r="F19" s="8" t="inlineStr">
        <is>
          <t>Chiller-relevant
(m²)</t>
        </is>
      </c>
    </row>
    <row r="20">
      <c r="A20" s="13">
        <f>A8</f>
        <v/>
      </c>
      <c r="B20" s="11">
        <f>K8</f>
        <v/>
      </c>
      <c r="C20" s="11">
        <f>B8</f>
        <v/>
      </c>
      <c r="D20" s="11">
        <f>G8</f>
        <v/>
      </c>
      <c r="E20" s="14">
        <f>B20-C20-D20</f>
        <v/>
      </c>
      <c r="F20" s="14">
        <f>E20*1000</f>
        <v/>
      </c>
    </row>
    <row r="21">
      <c r="A21" s="13">
        <f>A9</f>
        <v/>
      </c>
      <c r="B21" s="11">
        <f>K9</f>
        <v/>
      </c>
      <c r="C21" s="11">
        <f>B9</f>
        <v/>
      </c>
      <c r="D21" s="11">
        <f>G9</f>
        <v/>
      </c>
      <c r="E21" s="14">
        <f>B21-C21-D21</f>
        <v/>
      </c>
      <c r="F21" s="14">
        <f>E21*1000</f>
        <v/>
      </c>
    </row>
    <row r="22">
      <c r="A22" s="13">
        <f>A10</f>
        <v/>
      </c>
      <c r="B22" s="11">
        <f>K10</f>
        <v/>
      </c>
      <c r="C22" s="11">
        <f>B10</f>
        <v/>
      </c>
      <c r="D22" s="11">
        <f>G10</f>
        <v/>
      </c>
      <c r="E22" s="14">
        <f>B22-C22-D22</f>
        <v/>
      </c>
      <c r="F22" s="14">
        <f>E22*1000</f>
        <v/>
      </c>
    </row>
    <row r="23">
      <c r="A23" s="13">
        <f>A11</f>
        <v/>
      </c>
      <c r="B23" s="11">
        <f>K11</f>
        <v/>
      </c>
      <c r="C23" s="11">
        <f>B11</f>
        <v/>
      </c>
      <c r="D23" s="11">
        <f>G11</f>
        <v/>
      </c>
      <c r="E23" s="14">
        <f>B23-C23-D23</f>
        <v/>
      </c>
      <c r="F23" s="14">
        <f>E23*1000</f>
        <v/>
      </c>
    </row>
    <row r="24">
      <c r="A24" s="13">
        <f>A12</f>
        <v/>
      </c>
      <c r="B24" s="11">
        <f>K12</f>
        <v/>
      </c>
      <c r="C24" s="11">
        <f>B12</f>
        <v/>
      </c>
      <c r="D24" s="11">
        <f>G12</f>
        <v/>
      </c>
      <c r="E24" s="14">
        <f>B24-C24-D24</f>
        <v/>
      </c>
      <c r="F24" s="14">
        <f>E24*1000</f>
        <v/>
      </c>
    </row>
    <row r="25">
      <c r="A25" s="15" t="inlineStr">
        <is>
          <t>5-yr average</t>
        </is>
      </c>
      <c r="B25" s="16" t="n"/>
      <c r="C25" s="16" t="n"/>
      <c r="D25" s="16" t="n"/>
      <c r="E25" s="17">
        <f>AVERAGE(E20:E24)</f>
        <v/>
      </c>
      <c r="F25" s="17">
        <f>AVERAGE(F20:F24)</f>
        <v/>
      </c>
    </row>
    <row r="27">
      <c r="A27" s="6" t="inlineStr">
        <is>
          <t>SECTION 3 -- Notes &amp; Open Questions</t>
        </is>
      </c>
    </row>
    <row r="28" ht="60" customHeight="1">
      <c r="A28" s="18" t="inlineStr">
        <is>
          <t>Result</t>
        </is>
      </c>
      <c r="B28" s="19" t="inlineStr">
        <is>
          <t>5-year average chiller-relevant construction starts ≈ 3,965 thousand m²/year (~3.97M m²/year), cell E/F on the 5-yr average row above. No strong up/down trend -- 2023 was a peak (4,546k), 2024 a trough (3,192k), plausibly tied to construction-sector disruption since the war started (Oct 2023), which CBS's own release separately documents (labor shortages, security-related site disruptions). A flat 5-year average was used as the growth parameter rather than a fitted trend line, since the 2023-2024 swing makes a trend fit noisy rather than more informative.</t>
        </is>
      </c>
    </row>
    <row r="29" ht="60" customHeight="1">
      <c r="A29" s="18" t="inlineStr">
        <is>
          <t>Open question for Daniel</t>
        </is>
      </c>
      <c r="B29" s="19" t="inlineStr">
        <is>
          <t>CBS bundles "Industry &amp; storage" as a single category (column F, Section 1). Pure storage/warehousing space often doesn't carry the same comfort/process cooling load as active industrial floor space, but CBS provides no further breakdown at this level of the release. Flagging as a methodology call rather than guessing a split -- would need a different data source to split it.</t>
        </is>
      </c>
    </row>
    <row r="30" ht="60" customHeight="1">
      <c r="A30" s="18" t="inlineStr">
        <is>
          <t>Not yet built</t>
        </is>
      </c>
      <c r="B30" s="19" t="inlineStr">
        <is>
          <t>RT/m² (cooling-load density) still needs sourcing (ASHRAE rule-of-thumb or Israeli standard SI 5282) to convert the chiller-relevant m²/year figure above into installed cooling capacity (RT/year) -- that's the next step in the sizing engine, not yet in this workbook.</t>
        </is>
      </c>
    </row>
  </sheetData>
  <mergeCells count="14">
    <mergeCell ref="A2:O2"/>
    <mergeCell ref="G3:J3"/>
    <mergeCell ref="A16:O16"/>
    <mergeCell ref="L3:O3"/>
    <mergeCell ref="B30:O30"/>
    <mergeCell ref="A14:O14"/>
    <mergeCell ref="B29:O29"/>
    <mergeCell ref="A1:O1"/>
    <mergeCell ref="A5:O5"/>
    <mergeCell ref="A27:O27"/>
    <mergeCell ref="B3:E3"/>
    <mergeCell ref="A6:O6"/>
    <mergeCell ref="B28:O28"/>
    <mergeCell ref="A17:O17"/>
  </mergeCells>
  <hyperlinks>
    <hyperlink xmlns:r="http://schemas.openxmlformats.org/officeDocument/2006/relationships" ref="B3" r:id="rId1"/>
    <hyperlink xmlns:r="http://schemas.openxmlformats.org/officeDocument/2006/relationships" ref="G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2026-08-03T06:56:02Z</dcterms:created>
  <dcterms:modified xsi:type="dcterms:W3CDTF">2026-08-03T06:56:02Z</dcterms:modified>
</cp:coreProperties>
</file>