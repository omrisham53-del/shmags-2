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ler Market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1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04040"/>
      <sz val="9"/>
    </font>
    <font>
      <name val="Arial"/>
      <b val="1"/>
      <sz val="9"/>
    </font>
    <font>
      <name val="Arial"/>
      <color rgb="000563C1"/>
      <u val="single"/>
    </font>
    <font>
      <name val="Arial"/>
      <b val="1"/>
      <color rgb="001F4E78"/>
      <sz val="12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FF"/>
    </font>
    <font>
      <name val="Arial"/>
      <color rgb="000000FF"/>
    </font>
    <font>
      <name val="Arial"/>
      <color rgb="00000000"/>
    </font>
    <font>
      <name val="Arial"/>
      <b val="1"/>
      <color rgb="00000000"/>
    </font>
    <font>
      <name val="Arial"/>
      <color rgb="00595959"/>
      <sz val="9"/>
    </font>
    <font>
      <name val="Arial"/>
      <color rgb="00404040"/>
      <sz val="8"/>
    </font>
    <font>
      <name val="Arial"/>
      <i val="1"/>
      <sz val="8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3" fontId="10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3" fontId="11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3" fontId="0" fillId="5" borderId="1" pivotButton="0" quotePrefix="0" xfId="0"/>
    <xf numFmtId="3" fontId="11" fillId="5" borderId="1" applyAlignment="1" pivotButton="0" quotePrefix="0" xfId="0">
      <alignment horizontal="center"/>
    </xf>
    <xf numFmtId="164" fontId="8" fillId="0" borderId="0" pivotButton="0" quotePrefix="0" xfId="0"/>
    <xf numFmtId="0" fontId="6" fillId="0" borderId="0" pivotButton="0" quotePrefix="0" xfId="0"/>
    <xf numFmtId="0" fontId="12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2" fontId="11" fillId="0" borderId="1" pivotButton="0" quotePrefix="0" xfId="0"/>
    <xf numFmtId="0" fontId="13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14" fillId="6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14" fillId="3" borderId="1" applyAlignment="1" pivotButton="0" quotePrefix="0" xfId="0">
      <alignment horizontal="left" vertical="top" wrapText="1"/>
    </xf>
    <xf numFmtId="2" fontId="10" fillId="0" borderId="1" applyAlignment="1" pivotButton="0" quotePrefix="0" xfId="0">
      <alignment horizontal="center"/>
    </xf>
    <xf numFmtId="0" fontId="11" fillId="5" borderId="1" pivotButton="0" quotePrefix="0" xfId="0"/>
    <xf numFmtId="2" fontId="11" fillId="5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bs.gov.il/he/mediarelease/DocLib/2026/089/04_26_089b.pdf" TargetMode="External" Id="rId1" /><Relationship Type="http://schemas.openxmlformats.org/officeDocument/2006/relationships/hyperlink" Target="https://www.cbs.gov.il/he/mediarelease/DocLib/2026/089/04_26_089t7.xl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0" customWidth="1" min="10" max="10"/>
    <col width="12" customWidth="1" min="11" max="11"/>
    <col width="13" customWidth="1" min="12" max="12"/>
    <col width="10" customWidth="1" min="13" max="13"/>
    <col width="11" customWidth="1" min="14" max="14"/>
    <col width="12" customWidth="1" min="15" max="15"/>
  </cols>
  <sheetData>
    <row r="1">
      <c r="A1" s="1" t="inlineStr">
        <is>
          <t>Chiller Market Sizing: CBS Construction-Starts Data (2021-2025)</t>
        </is>
      </c>
    </row>
    <row r="2">
      <c r="A2" s="2" t="inlineStr">
        <is>
          <t>Source: Israel Central Bureau of Statistics (הלשכה המרכזית לסטטיסטיקה), "התחלות וגמר בנייה - סיכום שנת 2025" (Construction Begun and Completed in 2025), Publication 089/2026, released 19/03/2026. Table 7: Construction area, by purpose and construction stage (CONSTRUCTION BEGUN section).</t>
        </is>
      </c>
    </row>
    <row r="3">
      <c r="A3" s="3" t="inlineStr">
        <is>
          <t>Media release (PDF):</t>
        </is>
      </c>
      <c r="B3" s="4" t="inlineStr">
        <is>
          <t>cbs.gov.il/.../04_26_089b.pdf</t>
        </is>
      </c>
      <c r="F3" s="3" t="inlineStr">
        <is>
          <t>Table 7 source (XLS):</t>
        </is>
      </c>
      <c r="G3" s="4" t="inlineStr">
        <is>
          <t>cbs.gov.il/.../04_26_089t7.xls</t>
        </is>
      </c>
      <c r="K3" s="3" t="inlineStr">
        <is>
          <t>Methodology doc:</t>
        </is>
      </c>
      <c r="L3" s="5" t="inlineStr">
        <is>
          <t>brainstorms/2026-07-22_tax-incentive-market-analysis.md</t>
        </is>
      </c>
    </row>
    <row r="5">
      <c r="A5" s="6" t="inlineStr">
        <is>
          <t>SECTION 1 - Raw CBS Data: Construction Begun, by Purpose (Thousand m²)</t>
        </is>
      </c>
    </row>
    <row r="6">
      <c r="A6" s="7" t="inlineStr">
        <is>
          <t>All 15 value columns below are entered exactly as published by CBS (blue = hardcoded source input). "Non-res total (computed)" is a live SUM check of the 9 category columns against CBS's own reported total; CBS notes its totals may not sum exactly due to rounding (footnote 2 on the source table).</t>
        </is>
      </c>
    </row>
    <row r="7" ht="45" customHeight="1">
      <c r="A7" s="8" t="inlineStr">
        <is>
          <t>Year</t>
        </is>
      </c>
      <c r="B7" s="8" t="inlineStr">
        <is>
          <t>Agriculture
(חקלאות)</t>
        </is>
      </c>
      <c r="C7" s="8" t="inlineStr">
        <is>
          <t>Other public
buildings</t>
        </is>
      </c>
      <c r="D7" s="8" t="inlineStr">
        <is>
          <t>Health
(בריאות)</t>
        </is>
      </c>
      <c r="E7" s="8" t="inlineStr">
        <is>
          <t>Education
(חינוך)</t>
        </is>
      </c>
      <c r="F7" s="8" t="inlineStr">
        <is>
          <t>Industry &amp;
storage</t>
        </is>
      </c>
      <c r="G7" s="8" t="inlineStr">
        <is>
          <t>Transport &amp;
communications</t>
        </is>
      </c>
      <c r="H7" s="8" t="inlineStr">
        <is>
          <t>Commercial
(מסחר)</t>
        </is>
      </c>
      <c r="I7" s="8" t="inlineStr">
        <is>
          <t>Offices
(משרדים)</t>
        </is>
      </c>
      <c r="J7" s="8" t="inlineStr">
        <is>
          <t>Hotels
(הארחה)</t>
        </is>
      </c>
      <c r="K7" s="8" t="inlineStr">
        <is>
          <t>Non-res total
(CBS reported)</t>
        </is>
      </c>
      <c r="L7" s="8" t="inlineStr">
        <is>
          <t>Non-res total
(computed =SUM)</t>
        </is>
      </c>
      <c r="M7" s="8" t="inlineStr">
        <is>
          <t>Diff
(CBS - computed)</t>
        </is>
      </c>
      <c r="N7" s="8" t="inlineStr">
        <is>
          <t>Residential
(CBS reported)</t>
        </is>
      </c>
      <c r="O7" s="8" t="inlineStr">
        <is>
          <t>Grand total
(CBS reported)</t>
        </is>
      </c>
    </row>
    <row r="8">
      <c r="A8" s="9" t="n">
        <v>2021</v>
      </c>
      <c r="B8" s="10" t="n">
        <v>309</v>
      </c>
      <c r="C8" s="10" t="n">
        <v>253</v>
      </c>
      <c r="D8" s="10" t="n">
        <v>134</v>
      </c>
      <c r="E8" s="10" t="n">
        <v>708</v>
      </c>
      <c r="F8" s="10" t="n">
        <v>991</v>
      </c>
      <c r="G8" s="10" t="n">
        <v>203</v>
      </c>
      <c r="H8" s="10" t="n">
        <v>467</v>
      </c>
      <c r="I8" s="10" t="n">
        <v>1163</v>
      </c>
      <c r="J8" s="10" t="n">
        <v>154</v>
      </c>
      <c r="K8" s="10" t="n">
        <v>4383</v>
      </c>
      <c r="L8" s="11">
        <f>SUM(B8:J8)</f>
        <v/>
      </c>
      <c r="M8" s="12">
        <f>K8-L8</f>
        <v/>
      </c>
      <c r="N8" s="10" t="n">
        <v>12120</v>
      </c>
      <c r="O8" s="10" t="n">
        <v>16503</v>
      </c>
    </row>
    <row r="9">
      <c r="A9" s="9" t="n">
        <v>2022</v>
      </c>
      <c r="B9" s="10" t="n">
        <v>161</v>
      </c>
      <c r="C9" s="10" t="n">
        <v>296</v>
      </c>
      <c r="D9" s="10" t="n">
        <v>57</v>
      </c>
      <c r="E9" s="10" t="n">
        <v>640</v>
      </c>
      <c r="F9" s="10" t="n">
        <v>1349</v>
      </c>
      <c r="G9" s="10" t="n">
        <v>229</v>
      </c>
      <c r="H9" s="10" t="n">
        <v>540</v>
      </c>
      <c r="I9" s="10" t="n">
        <v>1248</v>
      </c>
      <c r="J9" s="10" t="n">
        <v>175</v>
      </c>
      <c r="K9" s="10" t="n">
        <v>4697</v>
      </c>
      <c r="L9" s="11">
        <f>SUM(B9:J9)</f>
        <v/>
      </c>
      <c r="M9" s="12">
        <f>K9-L9</f>
        <v/>
      </c>
      <c r="N9" s="10" t="n">
        <v>12901</v>
      </c>
      <c r="O9" s="10" t="n">
        <v>17598</v>
      </c>
    </row>
    <row r="10">
      <c r="A10" s="9" t="n">
        <v>2023</v>
      </c>
      <c r="B10" s="10" t="n">
        <v>241</v>
      </c>
      <c r="C10" s="10" t="n">
        <v>414</v>
      </c>
      <c r="D10" s="10" t="n">
        <v>45</v>
      </c>
      <c r="E10" s="10" t="n">
        <v>627</v>
      </c>
      <c r="F10" s="10" t="n">
        <v>1391</v>
      </c>
      <c r="G10" s="10" t="n">
        <v>388</v>
      </c>
      <c r="H10" s="10" t="n">
        <v>500</v>
      </c>
      <c r="I10" s="10" t="n">
        <v>1353</v>
      </c>
      <c r="J10" s="10" t="n">
        <v>216</v>
      </c>
      <c r="K10" s="10" t="n">
        <v>5175</v>
      </c>
      <c r="L10" s="11">
        <f>SUM(B10:J10)</f>
        <v/>
      </c>
      <c r="M10" s="12">
        <f>K10-L10</f>
        <v/>
      </c>
      <c r="N10" s="10" t="n">
        <v>12206</v>
      </c>
      <c r="O10" s="10" t="n">
        <v>17381</v>
      </c>
    </row>
    <row r="11">
      <c r="A11" s="9" t="n">
        <v>2024</v>
      </c>
      <c r="B11" s="10" t="n">
        <v>206</v>
      </c>
      <c r="C11" s="10" t="n">
        <v>264</v>
      </c>
      <c r="D11" s="10" t="n">
        <v>40</v>
      </c>
      <c r="E11" s="10" t="n">
        <v>440</v>
      </c>
      <c r="F11" s="10" t="n">
        <v>966</v>
      </c>
      <c r="G11" s="10" t="n">
        <v>151</v>
      </c>
      <c r="H11" s="10" t="n">
        <v>486</v>
      </c>
      <c r="I11" s="10" t="n">
        <v>816</v>
      </c>
      <c r="J11" s="10" t="n">
        <v>178</v>
      </c>
      <c r="K11" s="10" t="n">
        <v>3549</v>
      </c>
      <c r="L11" s="11">
        <f>SUM(B11:J11)</f>
        <v/>
      </c>
      <c r="M11" s="12">
        <f>K11-L11</f>
        <v/>
      </c>
      <c r="N11" s="10" t="n">
        <v>12971</v>
      </c>
      <c r="O11" s="10" t="n">
        <v>16520</v>
      </c>
    </row>
    <row r="12">
      <c r="A12" s="9" t="n">
        <v>2025</v>
      </c>
      <c r="B12" s="10" t="n">
        <v>283</v>
      </c>
      <c r="C12" s="10" t="n">
        <v>350</v>
      </c>
      <c r="D12" s="10" t="n">
        <v>226</v>
      </c>
      <c r="E12" s="10" t="n">
        <v>648</v>
      </c>
      <c r="F12" s="10" t="n">
        <v>1089</v>
      </c>
      <c r="G12" s="10" t="n">
        <v>154</v>
      </c>
      <c r="H12" s="10" t="n">
        <v>823</v>
      </c>
      <c r="I12" s="10" t="n">
        <v>577</v>
      </c>
      <c r="J12" s="10" t="n">
        <v>194</v>
      </c>
      <c r="K12" s="10" t="n">
        <v>4347</v>
      </c>
      <c r="L12" s="11">
        <f>SUM(B12:J12)</f>
        <v/>
      </c>
      <c r="M12" s="12">
        <f>K12-L12</f>
        <v/>
      </c>
      <c r="N12" s="10" t="n">
        <v>14972</v>
      </c>
      <c r="O12" s="10" t="n">
        <v>19319</v>
      </c>
    </row>
    <row r="14">
      <c r="A14" s="7" t="inlineStr">
        <is>
          <t>CBS footnote (source table, note 2): "הנתונים אינם מסתכמים בהכרח לסך הכל בגלל עיגול מספרים": figures may not sum exactly due to CBS's own rounding. All units: thousand m².</t>
        </is>
      </c>
    </row>
    <row r="16">
      <c r="A16" s="6" t="inlineStr">
        <is>
          <t>SECTION 2: Chiller-Relevant Construction Starts (Derived)</t>
        </is>
      </c>
    </row>
    <row r="17" ht="30" customHeight="1">
      <c r="A17" s="7" t="inlineStr">
        <is>
          <t>Methodology (brainstorms/2026-07-22_tax-incentive-market-analysis.md): chiller-relevant floor area = non-residential total MINUS Agriculture MINUS Transport &amp; communications. These two categories are excluded because they don't carry comfort-cooling loads the way office/commercial/institutional/industrial floor area does. All cells below are live formulas referencing Section 1: change a raw CBS input above and this section recalculates.</t>
        </is>
      </c>
    </row>
    <row r="19" ht="40" customHeight="1">
      <c r="A19" s="8" t="inlineStr">
        <is>
          <t>Year</t>
        </is>
      </c>
      <c r="B19" s="8" t="inlineStr">
        <is>
          <t>Non-res total, CBS reported
(Section 1, col K)</t>
        </is>
      </c>
      <c r="C19" s="8" t="inlineStr">
        <is>
          <t>Agriculture
(Section 1, col B)</t>
        </is>
      </c>
      <c r="D19" s="8" t="inlineStr">
        <is>
          <t>Transport &amp; comms
(Section 1, col G)</t>
        </is>
      </c>
      <c r="E19" s="8" t="inlineStr">
        <is>
          <t>Chiller-relevant
(thousand m²)</t>
        </is>
      </c>
      <c r="F19" s="8" t="inlineStr">
        <is>
          <t>Chiller-relevant
(m²)</t>
        </is>
      </c>
    </row>
    <row r="20">
      <c r="A20" s="13">
        <f>A8</f>
        <v/>
      </c>
      <c r="B20" s="11">
        <f>K8</f>
        <v/>
      </c>
      <c r="C20" s="11">
        <f>B8</f>
        <v/>
      </c>
      <c r="D20" s="11">
        <f>G8</f>
        <v/>
      </c>
      <c r="E20" s="14">
        <f>B20-C20-D20</f>
        <v/>
      </c>
      <c r="F20" s="14">
        <f>E20*1000</f>
        <v/>
      </c>
    </row>
    <row r="21">
      <c r="A21" s="13">
        <f>A9</f>
        <v/>
      </c>
      <c r="B21" s="11">
        <f>K9</f>
        <v/>
      </c>
      <c r="C21" s="11">
        <f>B9</f>
        <v/>
      </c>
      <c r="D21" s="11">
        <f>G9</f>
        <v/>
      </c>
      <c r="E21" s="14">
        <f>B21-C21-D21</f>
        <v/>
      </c>
      <c r="F21" s="14">
        <f>E21*1000</f>
        <v/>
      </c>
    </row>
    <row r="22">
      <c r="A22" s="13">
        <f>A10</f>
        <v/>
      </c>
      <c r="B22" s="11">
        <f>K10</f>
        <v/>
      </c>
      <c r="C22" s="11">
        <f>B10</f>
        <v/>
      </c>
      <c r="D22" s="11">
        <f>G10</f>
        <v/>
      </c>
      <c r="E22" s="14">
        <f>B22-C22-D22</f>
        <v/>
      </c>
      <c r="F22" s="14">
        <f>E22*1000</f>
        <v/>
      </c>
    </row>
    <row r="23">
      <c r="A23" s="13">
        <f>A11</f>
        <v/>
      </c>
      <c r="B23" s="11">
        <f>K11</f>
        <v/>
      </c>
      <c r="C23" s="11">
        <f>B11</f>
        <v/>
      </c>
      <c r="D23" s="11">
        <f>G11</f>
        <v/>
      </c>
      <c r="E23" s="14">
        <f>B23-C23-D23</f>
        <v/>
      </c>
      <c r="F23" s="14">
        <f>E23*1000</f>
        <v/>
      </c>
    </row>
    <row r="24">
      <c r="A24" s="13">
        <f>A12</f>
        <v/>
      </c>
      <c r="B24" s="11">
        <f>K12</f>
        <v/>
      </c>
      <c r="C24" s="11">
        <f>B12</f>
        <v/>
      </c>
      <c r="D24" s="11">
        <f>G12</f>
        <v/>
      </c>
      <c r="E24" s="14">
        <f>B24-C24-D24</f>
        <v/>
      </c>
      <c r="F24" s="14">
        <f>E24*1000</f>
        <v/>
      </c>
    </row>
    <row r="25">
      <c r="A25" s="15" t="inlineStr">
        <is>
          <t>5-yr average</t>
        </is>
      </c>
      <c r="B25" s="16" t="n"/>
      <c r="C25" s="16" t="n"/>
      <c r="D25" s="16" t="n"/>
      <c r="E25" s="17">
        <f>AVERAGE(E20:E24)</f>
        <v/>
      </c>
      <c r="F25" s="17">
        <f>AVERAGE(F20:F24)</f>
        <v/>
      </c>
    </row>
    <row r="27">
      <c r="A27" s="6" t="inlineStr">
        <is>
          <t>SECTION 3: Cooling-Load Density (RT/m²) by CBS Category, Sourced</t>
        </is>
      </c>
    </row>
    <row r="28" ht="55" customHeight="1">
      <c r="A28" s="7" t="inlineStr">
        <is>
          <t>No single source publishes one blended commercial-building RT/m² figure, and cooling-load density varies genuinely by building type: so each of the 7 chiller-relevant CBS categories gets its own sourced sq ft/ton figure below, converted to m²/RT via the exact sq-ft-to-m² factor in cell B30. Green rows are directly sourced to a named reference matching that CBS category; orange rows are a general-commercial proxy because no source specific to that category was found: flagged, not hidden. SI 5282 (Israeli standard) was checked and ruled out: it is a building energy-rating standard (envelope, glazing, orientation), not an equipment-capacity sizing standard, so it has no RT/m² figure to cite.</t>
        </is>
      </c>
    </row>
    <row r="29">
      <c r="A29" s="3" t="inlineStr">
        <is>
          <t>Conversion factor: 1 sq ft =</t>
        </is>
      </c>
      <c r="B29" s="18" t="n">
        <v>0.092903</v>
      </c>
      <c r="C29" s="19" t="inlineStr">
        <is>
          <t>m² (exact)</t>
        </is>
      </c>
    </row>
    <row r="31">
      <c r="A31" s="8" t="inlineStr">
        <is>
          <t>Category</t>
        </is>
      </c>
      <c r="B31" s="8" t="inlineStr">
        <is>
          <t>Section 1
column</t>
        </is>
      </c>
      <c r="C31" s="8" t="inlineStr">
        <is>
          <t>sq ft / ton
(sourced input)</t>
        </is>
      </c>
      <c r="D31" s="8" t="inlineStr">
        <is>
          <t>m² / RT
(=sqft/ton x conv.)</t>
        </is>
      </c>
      <c r="E31" s="8" t="inlineStr">
        <is>
          <t>Source</t>
        </is>
      </c>
      <c r="F31" s="8" t="n"/>
      <c r="G31" s="8" t="n"/>
      <c r="H31" s="8" t="n"/>
      <c r="I31" s="8" t="n"/>
      <c r="J31" s="8" t="inlineStr">
        <is>
          <t>Basis</t>
        </is>
      </c>
      <c r="K31" s="8" t="n"/>
      <c r="L31" s="8" t="n"/>
      <c r="M31" s="8" t="n"/>
      <c r="N31" s="8" t="n"/>
      <c r="O31" s="8" t="n"/>
    </row>
    <row r="32" ht="60" customHeight="1">
      <c r="A32" s="13" t="inlineStr">
        <is>
          <t>Other public buildings</t>
        </is>
      </c>
      <c r="B32" s="20" t="inlineStr">
        <is>
          <t>Section 1, col C</t>
        </is>
      </c>
      <c r="C32" s="21" t="n">
        <v>400</v>
      </c>
      <c r="D32" s="22">
        <f>C32*$B$29</f>
        <v/>
      </c>
      <c r="E32" s="23" t="inlineStr">
        <is>
          <t>Trane (via HVAC industry search compilation): "general commercial" catch-all figure. trane.com/residential/en/resources/glossary/hvac-sizing</t>
        </is>
      </c>
      <c r="F32" s="24" t="n"/>
      <c r="G32" s="24" t="n"/>
      <c r="H32" s="24" t="n"/>
      <c r="I32" s="24" t="n"/>
      <c r="J32" s="25" t="inlineStr">
        <is>
          <t>Proxy: no source specific to civic/municipal buildings found</t>
        </is>
      </c>
      <c r="K32" s="24" t="n"/>
      <c r="L32" s="24" t="n"/>
      <c r="M32" s="24" t="n"/>
      <c r="N32" s="24" t="n"/>
      <c r="O32" s="24" t="n"/>
    </row>
    <row r="33" ht="60" customHeight="1">
      <c r="A33" s="13" t="inlineStr">
        <is>
          <t>Health (בריאות)</t>
        </is>
      </c>
      <c r="B33" s="20" t="inlineStr">
        <is>
          <t>Section 1, col D</t>
        </is>
      </c>
      <c r="C33" s="21" t="n">
        <v>275</v>
      </c>
      <c r="D33" s="22">
        <f>C33*$B$29</f>
        <v/>
      </c>
      <c r="E33" s="26" t="inlineStr">
        <is>
          <t>HVAC-ENG.com, Cooling Load Rules of Thumb: patient rooms &amp; medical offices, 250-300 sq ft/ton range, midpoint used. hvac-eng.com/cooling-load-rules-of-thumb</t>
        </is>
      </c>
      <c r="F33" s="27" t="n"/>
      <c r="G33" s="27" t="n"/>
      <c r="H33" s="27" t="n"/>
      <c r="I33" s="27" t="n"/>
      <c r="J33" s="28" t="inlineStr">
        <is>
          <t>Sourced: matches category directly</t>
        </is>
      </c>
      <c r="K33" s="27" t="n"/>
      <c r="L33" s="27" t="n"/>
      <c r="M33" s="27" t="n"/>
      <c r="N33" s="27" t="n"/>
      <c r="O33" s="27" t="n"/>
    </row>
    <row r="34" ht="60" customHeight="1">
      <c r="A34" s="13" t="inlineStr">
        <is>
          <t>Education (חינוך)</t>
        </is>
      </c>
      <c r="B34" s="20" t="inlineStr">
        <is>
          <t>Section 1, col E</t>
        </is>
      </c>
      <c r="C34" s="21" t="n">
        <v>213</v>
      </c>
      <c r="D34" s="22">
        <f>C34*$B$29</f>
        <v/>
      </c>
      <c r="E34" s="26" t="inlineStr">
        <is>
          <t>cfm Distributors (Brad Telker, VP Sales), Load Calculation Rules of Thumb: classrooms, stated design assumptions (98/78 db/wb summer design, 2018 IMC ventilation). rc.cfmdistributors.com/helpful-tips/training/load-calculation-rules-of-thumb</t>
        </is>
      </c>
      <c r="F34" s="27" t="n"/>
      <c r="G34" s="27" t="n"/>
      <c r="H34" s="27" t="n"/>
      <c r="I34" s="27" t="n"/>
      <c r="J34" s="28" t="inlineStr">
        <is>
          <t>Sourced: matches category directly</t>
        </is>
      </c>
      <c r="K34" s="27" t="n"/>
      <c r="L34" s="27" t="n"/>
      <c r="M34" s="27" t="n"/>
      <c r="N34" s="27" t="n"/>
      <c r="O34" s="27" t="n"/>
    </row>
    <row r="35" ht="60" customHeight="1">
      <c r="A35" s="13" t="inlineStr">
        <is>
          <t>Industry &amp; storage</t>
        </is>
      </c>
      <c r="B35" s="20" t="inlineStr">
        <is>
          <t>Section 1, col F</t>
        </is>
      </c>
      <c r="C35" s="21" t="n">
        <v>400</v>
      </c>
      <c r="D35" s="22">
        <f>C35*$B$29</f>
        <v/>
      </c>
      <c r="E35" s="23" t="inlineStr">
        <is>
          <t>Trane (via HVAC industry search compilation): "general commercial" catch-all figure, same as Other public buildings. trane.com/residential/en/resources/glossary/hvac-sizing</t>
        </is>
      </c>
      <c r="F35" s="24" t="n"/>
      <c r="G35" s="24" t="n"/>
      <c r="H35" s="24" t="n"/>
      <c r="I35" s="24" t="n"/>
      <c r="J35" s="25" t="inlineStr">
        <is>
          <t>Proxy: CBS bundles active industrial process floor with pure storage; no disaggregated source found, and HVAC-ENG's industrial figures (50-300 sq ft/ton) are computer-room/precision-manufacturing specific, not general storage</t>
        </is>
      </c>
      <c r="K35" s="24" t="n"/>
      <c r="L35" s="24" t="n"/>
      <c r="M35" s="24" t="n"/>
      <c r="N35" s="24" t="n"/>
      <c r="O35" s="24" t="n"/>
    </row>
    <row r="36" ht="60" customHeight="1">
      <c r="A36" s="13" t="inlineStr">
        <is>
          <t>Commercial (מסחר)</t>
        </is>
      </c>
      <c r="B36" s="20" t="inlineStr">
        <is>
          <t>Section 1, col H</t>
        </is>
      </c>
      <c r="C36" s="21" t="n">
        <v>321</v>
      </c>
      <c r="D36" s="22">
        <f>C36*$B$29</f>
        <v/>
      </c>
      <c r="E36" s="26" t="inlineStr">
        <is>
          <t>cfm Distributors (Brad Telker, VP Sales), Load Calculation Rules of Thumb: retail sales floor. rc.cfmdistributors.com/helpful-tips/training/load-calculation-rules-of-thumb</t>
        </is>
      </c>
      <c r="F36" s="27" t="n"/>
      <c r="G36" s="27" t="n"/>
      <c r="H36" s="27" t="n"/>
      <c r="I36" s="27" t="n"/>
      <c r="J36" s="28" t="inlineStr">
        <is>
          <t>Sourced: matches category directly</t>
        </is>
      </c>
      <c r="K36" s="27" t="n"/>
      <c r="L36" s="27" t="n"/>
      <c r="M36" s="27" t="n"/>
      <c r="N36" s="27" t="n"/>
      <c r="O36" s="27" t="n"/>
    </row>
    <row r="37" ht="60" customHeight="1">
      <c r="A37" s="13" t="inlineStr">
        <is>
          <t>Offices (משרדים)</t>
        </is>
      </c>
      <c r="B37" s="20" t="inlineStr">
        <is>
          <t>Section 1, col I</t>
        </is>
      </c>
      <c r="C37" s="21" t="n">
        <v>373</v>
      </c>
      <c r="D37" s="22">
        <f>C37*$B$29</f>
        <v/>
      </c>
      <c r="E37" s="26" t="inlineStr">
        <is>
          <t>cfm Distributors (Brad Telker, VP Sales), Load Calculation Rules of Thumb: office space. rc.cfmdistributors.com/helpful-tips/training/load-calculation-rules-of-thumb</t>
        </is>
      </c>
      <c r="F37" s="27" t="n"/>
      <c r="G37" s="27" t="n"/>
      <c r="H37" s="27" t="n"/>
      <c r="I37" s="27" t="n"/>
      <c r="J37" s="28" t="inlineStr">
        <is>
          <t>Sourced: matches category directly</t>
        </is>
      </c>
      <c r="K37" s="27" t="n"/>
      <c r="L37" s="27" t="n"/>
      <c r="M37" s="27" t="n"/>
      <c r="N37" s="27" t="n"/>
      <c r="O37" s="27" t="n"/>
    </row>
    <row r="38" ht="60" customHeight="1">
      <c r="A38" s="13" t="inlineStr">
        <is>
          <t>Hotels (הארחה)</t>
        </is>
      </c>
      <c r="B38" s="20" t="inlineStr">
        <is>
          <t>Section 1, col J</t>
        </is>
      </c>
      <c r="C38" s="21" t="n">
        <v>362.5</v>
      </c>
      <c r="D38" s="22">
        <f>C38*$B$29</f>
        <v/>
      </c>
      <c r="E38" s="26" t="inlineStr">
        <is>
          <t>HVAC-ENG.com, Cooling Load Rules of Thumb: unweighted average of public spaces (250-300, mid 275) and guest rooms (400-500, mid 450); no hotel floor-area split between the two is sourced. hvac-eng.com/cooling-load-rules-of-thumb</t>
        </is>
      </c>
      <c r="F38" s="27" t="n"/>
      <c r="G38" s="27" t="n"/>
      <c r="H38" s="27" t="n"/>
      <c r="I38" s="27" t="n"/>
      <c r="J38" s="28" t="inlineStr">
        <is>
          <t>Sourced but blended: no public/guest-room area split available</t>
        </is>
      </c>
      <c r="K38" s="27" t="n"/>
      <c r="L38" s="27" t="n"/>
      <c r="M38" s="27" t="n"/>
      <c r="N38" s="27" t="n"/>
      <c r="O38" s="27" t="n"/>
    </row>
    <row r="40">
      <c r="A40" s="6" t="inlineStr">
        <is>
          <t>SECTION 4: Installed Chiller Capacity by Category and Year (Weighted)</t>
        </is>
      </c>
    </row>
    <row r="41" ht="30" customHeight="1">
      <c r="A41" s="7" t="inlineStr">
        <is>
          <t>Per-category RT = (Section 1 m², thousand) x 1000 / (Section 3 m²/RT for that category). Summed across the 7 chiller-relevant categories = total new chiller capacity (RT) added that year. "Blended m²/RT (check)" divides total chiller-relevant m² by total RT: a reference figure showing what single blended ratio this year's actual construction mix implies, for comparison against a flat assumption.</t>
        </is>
      </c>
    </row>
    <row r="43" ht="40" customHeight="1">
      <c r="A43" s="8" t="inlineStr">
        <is>
          <t>Year</t>
        </is>
      </c>
      <c r="B43" s="8" t="inlineStr">
        <is>
          <t>Other public
(RT)</t>
        </is>
      </c>
      <c r="C43" s="8" t="inlineStr">
        <is>
          <t>Health
(RT)</t>
        </is>
      </c>
      <c r="D43" s="8" t="inlineStr">
        <is>
          <t>Education
(RT)</t>
        </is>
      </c>
      <c r="E43" s="8" t="inlineStr">
        <is>
          <t>Industry &amp; storage
(RT)</t>
        </is>
      </c>
      <c r="F43" s="8" t="inlineStr">
        <is>
          <t>Commercial
(RT)</t>
        </is>
      </c>
      <c r="G43" s="8" t="inlineStr">
        <is>
          <t>Offices
(RT)</t>
        </is>
      </c>
      <c r="H43" s="8" t="inlineStr">
        <is>
          <t>Hotels
(RT)</t>
        </is>
      </c>
      <c r="I43" s="8" t="inlineStr">
        <is>
          <t>Total
(RT)</t>
        </is>
      </c>
      <c r="J43" s="8" t="inlineStr">
        <is>
          <t>Blended m²/RT
(check)</t>
        </is>
      </c>
    </row>
    <row r="44">
      <c r="A44" s="13">
        <f>A8</f>
        <v/>
      </c>
      <c r="B44" s="11">
        <f>C8*1000/$D$32</f>
        <v/>
      </c>
      <c r="C44" s="11">
        <f>D8*1000/$D$33</f>
        <v/>
      </c>
      <c r="D44" s="11">
        <f>E8*1000/$D$34</f>
        <v/>
      </c>
      <c r="E44" s="11">
        <f>F8*1000/$D$35</f>
        <v/>
      </c>
      <c r="F44" s="11">
        <f>H8*1000/$D$36</f>
        <v/>
      </c>
      <c r="G44" s="11">
        <f>I8*1000/$D$37</f>
        <v/>
      </c>
      <c r="H44" s="11">
        <f>J8*1000/$D$38</f>
        <v/>
      </c>
      <c r="I44" s="14">
        <f>SUM(B44:H44)</f>
        <v/>
      </c>
      <c r="J44" s="29">
        <f>F20/I44</f>
        <v/>
      </c>
    </row>
    <row r="45">
      <c r="A45" s="13">
        <f>A9</f>
        <v/>
      </c>
      <c r="B45" s="11">
        <f>C9*1000/$D$32</f>
        <v/>
      </c>
      <c r="C45" s="11">
        <f>D9*1000/$D$33</f>
        <v/>
      </c>
      <c r="D45" s="11">
        <f>E9*1000/$D$34</f>
        <v/>
      </c>
      <c r="E45" s="11">
        <f>F9*1000/$D$35</f>
        <v/>
      </c>
      <c r="F45" s="11">
        <f>H9*1000/$D$36</f>
        <v/>
      </c>
      <c r="G45" s="11">
        <f>I9*1000/$D$37</f>
        <v/>
      </c>
      <c r="H45" s="11">
        <f>J9*1000/$D$38</f>
        <v/>
      </c>
      <c r="I45" s="14">
        <f>SUM(B45:H45)</f>
        <v/>
      </c>
      <c r="J45" s="29">
        <f>F21/I45</f>
        <v/>
      </c>
    </row>
    <row r="46">
      <c r="A46" s="13">
        <f>A10</f>
        <v/>
      </c>
      <c r="B46" s="11">
        <f>C10*1000/$D$32</f>
        <v/>
      </c>
      <c r="C46" s="11">
        <f>D10*1000/$D$33</f>
        <v/>
      </c>
      <c r="D46" s="11">
        <f>E10*1000/$D$34</f>
        <v/>
      </c>
      <c r="E46" s="11">
        <f>F10*1000/$D$35</f>
        <v/>
      </c>
      <c r="F46" s="11">
        <f>H10*1000/$D$36</f>
        <v/>
      </c>
      <c r="G46" s="11">
        <f>I10*1000/$D$37</f>
        <v/>
      </c>
      <c r="H46" s="11">
        <f>J10*1000/$D$38</f>
        <v/>
      </c>
      <c r="I46" s="14">
        <f>SUM(B46:H46)</f>
        <v/>
      </c>
      <c r="J46" s="29">
        <f>F22/I46</f>
        <v/>
      </c>
    </row>
    <row r="47">
      <c r="A47" s="13">
        <f>A11</f>
        <v/>
      </c>
      <c r="B47" s="11">
        <f>C11*1000/$D$32</f>
        <v/>
      </c>
      <c r="C47" s="11">
        <f>D11*1000/$D$33</f>
        <v/>
      </c>
      <c r="D47" s="11">
        <f>E11*1000/$D$34</f>
        <v/>
      </c>
      <c r="E47" s="11">
        <f>F11*1000/$D$35</f>
        <v/>
      </c>
      <c r="F47" s="11">
        <f>H11*1000/$D$36</f>
        <v/>
      </c>
      <c r="G47" s="11">
        <f>I11*1000/$D$37</f>
        <v/>
      </c>
      <c r="H47" s="11">
        <f>J11*1000/$D$38</f>
        <v/>
      </c>
      <c r="I47" s="14">
        <f>SUM(B47:H47)</f>
        <v/>
      </c>
      <c r="J47" s="29">
        <f>F23/I47</f>
        <v/>
      </c>
    </row>
    <row r="48">
      <c r="A48" s="13">
        <f>A12</f>
        <v/>
      </c>
      <c r="B48" s="11">
        <f>C12*1000/$D$32</f>
        <v/>
      </c>
      <c r="C48" s="11">
        <f>D12*1000/$D$33</f>
        <v/>
      </c>
      <c r="D48" s="11">
        <f>E12*1000/$D$34</f>
        <v/>
      </c>
      <c r="E48" s="11">
        <f>F12*1000/$D$35</f>
        <v/>
      </c>
      <c r="F48" s="11">
        <f>H12*1000/$D$36</f>
        <v/>
      </c>
      <c r="G48" s="11">
        <f>I12*1000/$D$37</f>
        <v/>
      </c>
      <c r="H48" s="11">
        <f>J12*1000/$D$38</f>
        <v/>
      </c>
      <c r="I48" s="14">
        <f>SUM(B48:H48)</f>
        <v/>
      </c>
      <c r="J48" s="29">
        <f>F24/I48</f>
        <v/>
      </c>
    </row>
    <row r="49">
      <c r="A49" s="30" t="inlineStr">
        <is>
          <t>5-yr average</t>
        </is>
      </c>
      <c r="B49" s="17">
        <f>AVERAGE(B44:B48)</f>
        <v/>
      </c>
      <c r="C49" s="17">
        <f>AVERAGE(C44:C48)</f>
        <v/>
      </c>
      <c r="D49" s="17">
        <f>AVERAGE(D44:D48)</f>
        <v/>
      </c>
      <c r="E49" s="17">
        <f>AVERAGE(E44:E48)</f>
        <v/>
      </c>
      <c r="F49" s="17">
        <f>AVERAGE(F44:F48)</f>
        <v/>
      </c>
      <c r="G49" s="17">
        <f>AVERAGE(G44:G48)</f>
        <v/>
      </c>
      <c r="H49" s="17">
        <f>AVERAGE(H44:H48)</f>
        <v/>
      </c>
      <c r="I49" s="14">
        <f>AVERAGE(I44:I48)</f>
        <v/>
      </c>
      <c r="J49" s="31">
        <f>AVERAGE(J44:J48)</f>
        <v/>
      </c>
    </row>
    <row r="51">
      <c r="A51" s="6" t="inlineStr">
        <is>
          <t>SECTION 5: Notes &amp; Open Questions</t>
        </is>
      </c>
    </row>
    <row r="52" ht="75" customHeight="1">
      <c r="A52" s="32" t="inlineStr">
        <is>
          <t>Result</t>
        </is>
      </c>
      <c r="B52" s="33" t="inlineStr">
        <is>
          <t>5-year average weighted installed chiller capacity from new non-residential construction ≈ 128,600 RT/year (cell I49). The blended m²/RT this implies each year (column J, Section 4) stays fairly stable at ~30-31.5 m²/RT despite year-to-year swings in category mix, because Education (dense, ~19.8 m²/RT) and the two proxy categories (less dense, ~37.2 m²/RT) partly offset each other.</t>
        </is>
      </c>
    </row>
    <row r="53" ht="75" customHeight="1">
      <c r="A53" s="32" t="inlineStr">
        <is>
          <t>Open question for Daniel: proxy categories</t>
        </is>
      </c>
      <c r="B53" s="33" t="inlineStr">
        <is>
          <t>"Other public buildings" and "Industry &amp; storage" (Section 3, orange rows) both use a general-commercial proxy figure (Trane, 400 sq ft/ton) because no source specific to either category was found. This is the weakest link in the weighted calc: industrial/storage floor space in particular could plausibly be much lower cooling-load than a flat commercial proxy assumes (empty warehouse space often isn't fully air-conditioned at all). Flagging rather than guessing a differentiated number with no basis.</t>
        </is>
      </c>
    </row>
    <row r="54" ht="75" customHeight="1">
      <c r="A54" s="32" t="inlineStr">
        <is>
          <t>Open question for Daniel: CBS bundling</t>
        </is>
      </c>
      <c r="B54" s="33" t="inlineStr">
        <is>
          <t>CBS bundles "Industry &amp; storage" as a single category (Section 1, column F) with no further breakdown at this release level: pure storage/warehousing likely doesn't carry the same load as active industrial floor space, but there's no CBS-level way to split it. Would need a different data source (e.g. PRTR facility-level data, already flagged as a lead for the HP/VSD sizing engines) to separate them.</t>
        </is>
      </c>
    </row>
    <row r="55" ht="75" customHeight="1">
      <c r="A55" s="32" t="inlineStr">
        <is>
          <t>Not yet built</t>
        </is>
      </c>
      <c r="B55" s="33" t="inlineStr">
        <is>
          <t>Replacement-demand sensitivity (existing stock RT / equipment lifetime, per the model's own 15-17yr lifetime rows) is still the next step: this workbook covers new-construction demand only, the conservative base case per the market-sizing methodology doc.</t>
        </is>
      </c>
    </row>
  </sheetData>
  <mergeCells count="35">
    <mergeCell ref="A16:O16"/>
    <mergeCell ref="A41:O41"/>
    <mergeCell ref="B54:O54"/>
    <mergeCell ref="J36:O36"/>
    <mergeCell ref="E33:I33"/>
    <mergeCell ref="A27:O27"/>
    <mergeCell ref="J35:O35"/>
    <mergeCell ref="E35:I35"/>
    <mergeCell ref="A2:O2"/>
    <mergeCell ref="E38:I38"/>
    <mergeCell ref="J32:O32"/>
    <mergeCell ref="B52:O52"/>
    <mergeCell ref="A14:O14"/>
    <mergeCell ref="A5:O5"/>
    <mergeCell ref="J31:O31"/>
    <mergeCell ref="B3:E3"/>
    <mergeCell ref="E31:I31"/>
    <mergeCell ref="A17:O17"/>
    <mergeCell ref="E34:I34"/>
    <mergeCell ref="B53:O53"/>
    <mergeCell ref="J33:O33"/>
    <mergeCell ref="A28:O28"/>
    <mergeCell ref="L3:O3"/>
    <mergeCell ref="E36:I36"/>
    <mergeCell ref="A40:O40"/>
    <mergeCell ref="J38:O38"/>
    <mergeCell ref="G3:J3"/>
    <mergeCell ref="A51:O51"/>
    <mergeCell ref="J37:O37"/>
    <mergeCell ref="B55:O55"/>
    <mergeCell ref="E32:I32"/>
    <mergeCell ref="A1:O1"/>
    <mergeCell ref="E37:I37"/>
    <mergeCell ref="A6:O6"/>
    <mergeCell ref="J34:O34"/>
  </mergeCells>
  <hyperlinks>
    <hyperlink xmlns:r="http://schemas.openxmlformats.org/officeDocument/2006/relationships" ref="B3" r:id="rId1"/>
    <hyperlink xmlns:r="http://schemas.openxmlformats.org/officeDocument/2006/relationships" ref="G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2026-08-03T07:58:39Z</dcterms:created>
  <dcterms:modified xsi:type="dcterms:W3CDTF">2026-08-03T07:58:39Z</dcterms:modified>
</cp:coreProperties>
</file>