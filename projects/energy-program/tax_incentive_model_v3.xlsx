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תונים והנחות" sheetId="1" state="visible" r:id="rId1"/>
    <sheet name="ניתו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%"/>
    <numFmt numFmtId="165" formatCode="#,##0.0"/>
    <numFmt numFmtId="166" formatCode="#,##0.000"/>
    <numFmt numFmtId="167" formatCode="#,##0 ₪"/>
    <numFmt numFmtId="168" formatCode="0.0&quot;×&quot;"/>
    <numFmt numFmtId="169" formatCode="#,##0&quot; kW&quot;"/>
    <numFmt numFmtId="170" formatCode="#,##0.0&quot; טון&quot;"/>
    <numFmt numFmtId="171" formatCode="#,##0&quot; קוט&quot;&quot;ש&quot;"/>
    <numFmt numFmtId="172" formatCode="0.0"/>
    <numFmt numFmtId="173" formatCode="#,##0&quot; RT&quot;"/>
    <numFmt numFmtId="174" formatCode="0.00&quot; kW/ton&quot;"/>
    <numFmt numFmtId="175" formatCode="0.0&quot; kW/100cfm&quot;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b val="1"/>
      <color rgb="00C00000"/>
      <sz val="14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i val="1"/>
      <color rgb="00FF0000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C00000"/>
      <sz val="13"/>
    </font>
    <font>
      <name val="Arial"/>
      <i val="1"/>
      <color rgb="00FF0000"/>
      <sz val="9"/>
    </font>
  </fonts>
  <fills count="1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538135"/>
      </patternFill>
    </fill>
    <fill>
      <patternFill patternType="solid">
        <fgColor rgb="002E75B6"/>
      </patternFill>
    </fill>
    <fill>
      <patternFill patternType="solid">
        <fgColor rgb="007B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right" vertical="center" readingOrder="2"/>
    </xf>
    <xf numFmtId="0" fontId="2" fillId="4" borderId="0" applyAlignment="1" pivotButton="0" quotePrefix="0" xfId="0">
      <alignment horizontal="right" vertical="center" readingOrder="2"/>
    </xf>
    <xf numFmtId="0" fontId="2" fillId="5" borderId="0" applyAlignment="1" pivotButton="0" quotePrefix="0" xfId="0">
      <alignment horizontal="right" vertical="center" readingOrder="2"/>
    </xf>
    <xf numFmtId="0" fontId="2" fillId="6" borderId="0" applyAlignment="1" pivotButton="0" quotePrefix="0" xfId="0">
      <alignment horizontal="right" vertical="center" readingOrder="2"/>
    </xf>
    <xf numFmtId="0" fontId="2" fillId="7" borderId="0" applyAlignment="1" pivotButton="0" quotePrefix="0" xfId="0">
      <alignment horizontal="right" vertical="center" readingOrder="2"/>
    </xf>
    <xf numFmtId="0" fontId="2" fillId="8" borderId="0" applyAlignment="1" pivotButton="0" quotePrefix="0" xfId="0">
      <alignment horizontal="right" vertical="center" readingOrder="2"/>
    </xf>
    <xf numFmtId="0" fontId="3" fillId="9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wrapText="1" readingOrder="2"/>
    </xf>
    <xf numFmtId="164" fontId="0" fillId="3" borderId="0" applyAlignment="1" pivotButton="0" quotePrefix="0" xfId="0">
      <alignment horizontal="center" vertical="center" readingOrder="2"/>
    </xf>
    <xf numFmtId="164" fontId="0" fillId="4" borderId="0" applyAlignment="1" pivotButton="0" quotePrefix="0" xfId="0">
      <alignment horizontal="center" vertical="center" readingOrder="2"/>
    </xf>
    <xf numFmtId="165" fontId="0" fillId="2" borderId="0" applyAlignment="1" pivotButton="0" quotePrefix="0" xfId="0">
      <alignment horizontal="center" vertical="center" readingOrder="2"/>
    </xf>
    <xf numFmtId="166" fontId="0" fillId="4" borderId="0" applyAlignment="1" pivotButton="0" quotePrefix="0" xfId="0">
      <alignment horizontal="center" vertical="center" readingOrder="2"/>
    </xf>
    <xf numFmtId="167" fontId="0" fillId="4" borderId="0" applyAlignment="1" pivotButton="0" quotePrefix="0" xfId="0">
      <alignment horizontal="center" vertical="center" readingOrder="2"/>
    </xf>
    <xf numFmtId="0" fontId="3" fillId="10" borderId="0" applyAlignment="1" pivotButton="0" quotePrefix="0" xfId="0">
      <alignment horizontal="right" vertical="center" readingOrder="2"/>
    </xf>
    <xf numFmtId="0" fontId="3" fillId="10" borderId="0" applyAlignment="1" pivotButton="0" quotePrefix="0" xfId="0">
      <alignment horizontal="center" vertical="center" readingOrder="2"/>
    </xf>
    <xf numFmtId="0" fontId="4" fillId="10" borderId="0" applyAlignment="1" pivotButton="0" quotePrefix="0" xfId="0">
      <alignment horizontal="right" vertical="center" readingOrder="2"/>
    </xf>
    <xf numFmtId="168" fontId="5" fillId="2" borderId="0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vertical="center" readingOrder="2"/>
    </xf>
    <xf numFmtId="164" fontId="0" fillId="0" borderId="0" applyAlignment="1" pivotButton="0" quotePrefix="0" xfId="0">
      <alignment horizontal="center" vertical="center" readingOrder="2"/>
    </xf>
    <xf numFmtId="0" fontId="1" fillId="11" borderId="0" applyAlignment="1" pivotButton="0" quotePrefix="0" xfId="0">
      <alignment horizontal="center" vertical="center" readingOrder="2"/>
    </xf>
    <xf numFmtId="0" fontId="6" fillId="12" borderId="0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center" vertical="center" readingOrder="2"/>
    </xf>
    <xf numFmtId="169" fontId="0" fillId="4" borderId="0" applyAlignment="1" pivotButton="0" quotePrefix="0" xfId="0">
      <alignment horizontal="center" vertical="center" readingOrder="2"/>
    </xf>
    <xf numFmtId="173" fontId="0" fillId="4" borderId="0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right" vertical="center" wrapText="1" readingOrder="2"/>
    </xf>
    <xf numFmtId="3" fontId="8" fillId="2" borderId="0" applyAlignment="1" pivotButton="0" quotePrefix="0" xfId="0">
      <alignment horizontal="center" vertical="center" readingOrder="2"/>
    </xf>
    <xf numFmtId="3" fontId="0" fillId="5" borderId="0" applyAlignment="1" pivotButton="0" quotePrefix="0" xfId="0">
      <alignment horizontal="center" vertical="center" readingOrder="2"/>
    </xf>
    <xf numFmtId="2" fontId="0" fillId="4" borderId="0" applyAlignment="1" pivotButton="0" quotePrefix="0" xfId="0">
      <alignment horizontal="center" vertical="center" readingOrder="2"/>
    </xf>
    <xf numFmtId="164" fontId="0" fillId="5" borderId="0" applyAlignment="1" pivotButton="0" quotePrefix="0" xfId="0">
      <alignment horizontal="center" vertical="center" readingOrder="2"/>
    </xf>
    <xf numFmtId="0" fontId="9" fillId="2" borderId="0" applyAlignment="1" pivotButton="0" quotePrefix="0" xfId="0">
      <alignment horizontal="center" vertical="center" readingOrder="2"/>
    </xf>
    <xf numFmtId="174" fontId="0" fillId="4" borderId="0" applyAlignment="1" pivotButton="0" quotePrefix="0" xfId="0">
      <alignment horizontal="center" vertical="center" readingOrder="2"/>
    </xf>
    <xf numFmtId="175" fontId="0" fillId="4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center" vertical="center" readingOrder="2"/>
    </xf>
    <xf numFmtId="170" fontId="0" fillId="0" borderId="0" applyAlignment="1" pivotButton="0" quotePrefix="0" xfId="0">
      <alignment horizontal="center" vertical="center" readingOrder="2"/>
    </xf>
    <xf numFmtId="171" fontId="0" fillId="0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167" fontId="0" fillId="5" borderId="0" applyAlignment="1" pivotButton="0" quotePrefix="0" xfId="0">
      <alignment horizontal="center" vertical="center" readingOrder="2"/>
    </xf>
    <xf numFmtId="167" fontId="0" fillId="0" borderId="0" applyAlignment="1" pivotButton="0" quotePrefix="0" xfId="0">
      <alignment horizontal="center" vertical="center" readingOrder="2"/>
    </xf>
    <xf numFmtId="172" fontId="0" fillId="3" borderId="0" applyAlignment="1" pivotButton="0" quotePrefix="0" xfId="0">
      <alignment horizontal="center" vertical="center" readingOrder="2"/>
    </xf>
    <xf numFmtId="164" fontId="0" fillId="2" borderId="0" applyAlignment="1" pivotButton="0" quotePrefix="0" xfId="0">
      <alignment horizontal="center" vertical="center" readingOrder="2"/>
    </xf>
    <xf numFmtId="0" fontId="10" fillId="9" borderId="0" applyAlignment="1" pivotButton="0" quotePrefix="0" xfId="0">
      <alignment horizontal="right" vertical="center" readingOrder="2"/>
    </xf>
    <xf numFmtId="166" fontId="0" fillId="2" borderId="0" applyAlignment="1" pivotButton="0" quotePrefix="0" xfId="0">
      <alignment horizontal="center" vertical="center" readingOrder="2"/>
    </xf>
    <xf numFmtId="168" fontId="11" fillId="2" borderId="0" applyAlignment="1" pivotButton="0" quotePrefix="0" xfId="0">
      <alignment horizontal="center" vertical="center" readingOrder="2"/>
    </xf>
    <xf numFmtId="0" fontId="3" fillId="12" borderId="0" applyAlignment="1" pivotButton="0" quotePrefix="0" xfId="0">
      <alignment horizontal="right" vertical="center" readingOrder="2"/>
    </xf>
    <xf numFmtId="0" fontId="7" fillId="0" borderId="0" applyAlignment="1" pivotButton="0" quotePrefix="0" xfId="0">
      <alignment horizontal="right" vertical="center" readingOrder="2"/>
    </xf>
    <xf numFmtId="0" fontId="1" fillId="11" borderId="0" applyAlignment="1" pivotButton="0" quotePrefix="0" xfId="0">
      <alignment horizontal="right" vertical="center" readingOrder="2"/>
    </xf>
    <xf numFmtId="167" fontId="0" fillId="6" borderId="0" applyAlignment="1" pivotButton="0" quotePrefix="0" xfId="0">
      <alignment horizontal="center" vertical="center" readingOrder="2"/>
    </xf>
    <xf numFmtId="167" fontId="0" fillId="7" borderId="0" applyAlignment="1" pivotButton="0" quotePrefix="0" xfId="0">
      <alignment horizontal="center" vertical="center" readingOrder="2"/>
    </xf>
    <xf numFmtId="167" fontId="0" fillId="8" borderId="0" applyAlignment="1" pivotButton="0" quotePrefix="0" xfId="0">
      <alignment horizontal="center" vertical="center" readingOrder="2"/>
    </xf>
    <xf numFmtId="0" fontId="1" fillId="13" borderId="0" applyAlignment="1" pivotButton="0" quotePrefix="0" xfId="0">
      <alignment horizontal="right" vertical="center" readingOrder="2"/>
    </xf>
    <xf numFmtId="0" fontId="1" fillId="14" borderId="0" applyAlignment="1" pivotButton="0" quotePrefix="0" xfId="0">
      <alignment horizontal="right" vertical="center" readingOrder="2"/>
    </xf>
    <xf numFmtId="0" fontId="1" fillId="15" borderId="0" applyAlignment="1" pivotButton="0" quotePrefix="0" xfId="0">
      <alignment horizontal="right" vertical="center" readingOrder="2"/>
    </xf>
    <xf numFmtId="0" fontId="9" fillId="6" borderId="0" applyAlignment="1" pivotButton="0" quotePrefix="0" xfId="0">
      <alignment horizontal="right" vertical="center" readingOrder="2"/>
    </xf>
    <xf numFmtId="0" fontId="9" fillId="7" borderId="0" applyAlignment="1" pivotButton="0" quotePrefix="0" xfId="0">
      <alignment horizontal="right" vertical="center" readingOrder="2"/>
    </xf>
    <xf numFmtId="0" fontId="9" fillId="8" borderId="0" applyAlignment="1" pivotButton="0" quotePrefix="0" xfId="0">
      <alignment horizontal="right" vertical="center" readingOrder="2"/>
    </xf>
    <xf numFmtId="0" fontId="9" fillId="2" borderId="0" applyAlignment="1" pivotButton="0" quotePrefix="0" xfId="0">
      <alignment horizontal="right" vertical="center" readingOrder="2"/>
    </xf>
    <xf numFmtId="167" fontId="0" fillId="2" borderId="0" applyAlignment="1" pivotButton="0" quotePrefix="0" xfId="0">
      <alignment horizontal="center" vertical="center" readingOrder="2"/>
    </xf>
    <xf numFmtId="0" fontId="9" fillId="10" borderId="0" applyAlignment="1" pivotButton="0" quotePrefix="0" xfId="0">
      <alignment horizontal="right" vertical="center" readingOrder="2"/>
    </xf>
    <xf numFmtId="167" fontId="0" fillId="10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3" customWidth="1" min="3" max="3"/>
    <col width="32" customWidth="1" min="4" max="4"/>
    <col width="34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B1" s="1" t="inlineStr">
        <is>
          <t>מקרא צבעים</t>
        </is>
      </c>
    </row>
    <row r="2">
      <c r="B2" s="2" t="inlineStr">
        <is>
          <t>ערך להזנה / ממתין לנתונים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</t>
        </is>
      </c>
    </row>
    <row r="5">
      <c r="B5" s="5" t="inlineStr">
        <is>
          <t>נתון מוערך/נגזר (עם מקור)</t>
        </is>
      </c>
    </row>
    <row r="6">
      <c r="B6" s="6" t="inlineStr">
        <is>
          <t>תרחיש A — טכנולוגיה קיימת</t>
        </is>
      </c>
    </row>
    <row r="7">
      <c r="B7" s="7" t="inlineStr">
        <is>
          <t>תרחיש B — יעיל, ללא תמריץ</t>
        </is>
      </c>
    </row>
    <row r="8">
      <c r="B8" s="8" t="inlineStr">
        <is>
          <t>תרחיש C — יעיל, עם תמריץ</t>
        </is>
      </c>
    </row>
    <row r="9">
      <c r="B9" s="9" t="inlineStr">
        <is>
          <t>1. פרמטרים פיננסיים</t>
        </is>
      </c>
    </row>
    <row r="10">
      <c r="B10" s="3" t="inlineStr">
        <is>
          <t>שיעור מס חברות</t>
        </is>
      </c>
      <c r="C10" s="10" t="inlineStr">
        <is>
          <t>%</t>
        </is>
      </c>
      <c r="D10" s="11" t="inlineStr">
        <is>
          <t>רשות המסים</t>
        </is>
      </c>
      <c r="E10" s="11" t="inlineStr"/>
      <c r="F10" s="12" t="n">
        <v>0.23</v>
      </c>
    </row>
    <row r="11">
      <c r="B11" s="4" t="inlineStr">
        <is>
          <t>שיעור היוון (יזמי / פרטי)</t>
        </is>
      </c>
      <c r="C11" s="10" t="inlineStr">
        <is>
          <t>%</t>
        </is>
      </c>
      <c r="D11" s="11" t="inlineStr">
        <is>
          <t>סוכם עם דניאל (2026-07-13)</t>
        </is>
      </c>
      <c r="E11" s="11" t="inlineStr">
        <is>
          <t>6% — הוחלט עם דניאל</t>
        </is>
      </c>
      <c r="F11" s="13" t="n">
        <v>0.06</v>
      </c>
    </row>
    <row r="12">
      <c r="B12" s="2" t="inlineStr">
        <is>
          <t>מחיר חשמל ממוצע לתעשייה</t>
        </is>
      </c>
      <c r="C12" s="10" t="inlineStr">
        <is>
          <t>אג'/קוט"ש</t>
        </is>
      </c>
      <c r="D12" s="11" t="inlineStr">
        <is>
          <t>חברת החשמל — ממוצע SMP 2024</t>
        </is>
      </c>
      <c r="E12" s="11" t="inlineStr">
        <is>
          <t>נתון כללי, ייתכן שיעודכן לממוצע משוקלל לפי שעות תעו"ז</t>
        </is>
      </c>
      <c r="F12" s="14" t="n">
        <v>14</v>
      </c>
    </row>
    <row r="13">
      <c r="B13" s="9" t="inlineStr">
        <is>
          <t>1ב. מחירי דלקים ומקדמי המרה (עבור בסיס משאבות חום)</t>
        </is>
      </c>
    </row>
    <row r="14">
      <c r="B14" s="4" t="inlineStr">
        <is>
          <t>מחיר סולר בתעשייה (בתוספת מרווח שיווק)</t>
        </is>
      </c>
      <c r="C14" s="10" t="inlineStr">
        <is>
          <t>₪/ליטר</t>
        </is>
      </c>
      <c r="D14" s="11" t="inlineStr">
        <is>
          <t>משרד האנרגיה — מחירים תיאורטיים 2024</t>
        </is>
      </c>
      <c r="E14" s="11" t="inlineStr">
        <is>
          <t>מרווח שיווק - 0.5 ₪ (מוסיף עמרי)</t>
        </is>
      </c>
      <c r="F14" s="15" t="n">
        <v>2.59368</v>
      </c>
    </row>
    <row r="15">
      <c r="B15" s="4" t="inlineStr">
        <is>
          <t>מחיר מזוט בתעשייה (בתוספת מרווח שיווק)</t>
        </is>
      </c>
      <c r="C15" s="10" t="inlineStr">
        <is>
          <t>₪/טון</t>
        </is>
      </c>
      <c r="D15" s="11" t="inlineStr">
        <is>
          <t>משרד האנרגיה — מחירים תיאורטיים 2024</t>
        </is>
      </c>
      <c r="E15" s="11" t="inlineStr">
        <is>
          <t>מרווח שיווק - 0.5 ₪ (מוסיף עמרי)</t>
        </is>
      </c>
      <c r="F15" s="16" t="n">
        <v>2344.72</v>
      </c>
    </row>
    <row r="16">
      <c r="B16" s="4" t="inlineStr">
        <is>
          <t>יחס קלורי — סולר</t>
        </is>
      </c>
      <c r="C16" s="10" t="inlineStr">
        <is>
          <t>טון דלק/MWh</t>
        </is>
      </c>
      <c r="D16" s="11" t="inlineStr">
        <is>
          <t>אקסל של עמרי (MRV)</t>
        </is>
      </c>
      <c r="E16" s="11" t="inlineStr"/>
      <c r="F16" s="15" t="n">
        <v>0.08500000000000001</v>
      </c>
    </row>
    <row r="17">
      <c r="B17" s="4" t="inlineStr">
        <is>
          <t>יחס קלורי — מזוט</t>
        </is>
      </c>
      <c r="C17" s="10" t="inlineStr">
        <is>
          <t>טון דלק/MWh</t>
        </is>
      </c>
      <c r="D17" s="11" t="inlineStr">
        <is>
          <t>אקסל של עמרי (MRV)</t>
        </is>
      </c>
      <c r="E17" s="11" t="inlineStr"/>
      <c r="F17" s="15" t="n">
        <v>0.08799999999999999</v>
      </c>
    </row>
    <row r="18">
      <c r="B18" s="4" t="inlineStr">
        <is>
          <t>צפיפות סולר</t>
        </is>
      </c>
      <c r="C18" s="10" t="inlineStr">
        <is>
          <t>ק"ג/ליטר</t>
        </is>
      </c>
      <c r="D18" s="11" t="inlineStr">
        <is>
          <t>אקסל של עמרי (MRV)</t>
        </is>
      </c>
      <c r="E18" s="11" t="inlineStr">
        <is>
          <t>להמרת טון סולר לליטר אם נבחר סולר כדלק בסיס</t>
        </is>
      </c>
      <c r="F18" s="15" t="n">
        <v>0.82</v>
      </c>
    </row>
    <row r="19">
      <c r="B19" s="9" t="inlineStr">
        <is>
          <t>2. פרמטר תמריץ — מכפיל פחת (פחת מואץ)</t>
        </is>
      </c>
    </row>
    <row r="20">
      <c r="B20" s="17" t="inlineStr">
        <is>
          <t>מכפיל שיעור הפחת  ←  פרמטר המדיניות המרכזי</t>
        </is>
      </c>
      <c r="C20" s="18" t="inlineStr">
        <is>
          <t>מכפיל</t>
        </is>
      </c>
      <c r="D20" s="10" t="inlineStr">
        <is>
          <t>פרמטר ניתן לשינוי</t>
        </is>
      </c>
      <c r="E20" s="19" t="inlineStr">
        <is>
          <t>1.0 = ללא תמריץ | 2.0 = כפול, 5 שנים | 5.0 = 2 שנים</t>
        </is>
      </c>
      <c r="F20" s="20" t="n">
        <v>2</v>
      </c>
    </row>
    <row r="21">
      <c r="B21" s="9" t="inlineStr">
        <is>
          <t>3. שיעורי פחת סטנדרטיים — תקנות מס הכנסה</t>
        </is>
      </c>
    </row>
    <row r="22">
      <c r="B22" s="21" t="inlineStr">
        <is>
          <t>משאבות חום</t>
        </is>
      </c>
      <c r="C22" s="10" t="inlineStr">
        <is>
          <t>% לשנה</t>
        </is>
      </c>
      <c r="D22" s="10" t="inlineStr">
        <is>
          <t>תקנות פחת — ציוד מכני</t>
        </is>
      </c>
      <c r="F22" s="22" t="n">
        <v>0.1</v>
      </c>
    </row>
    <row r="23">
      <c r="B23" s="21" t="inlineStr">
        <is>
          <t>צ'ילרים</t>
        </is>
      </c>
      <c r="C23" s="10" t="inlineStr">
        <is>
          <t>% לשנה</t>
        </is>
      </c>
      <c r="D23" s="10" t="inlineStr">
        <is>
          <t>תקנות פחת — ציוד מכני</t>
        </is>
      </c>
      <c r="F23" s="22" t="n">
        <v>0.1</v>
      </c>
    </row>
    <row r="24">
      <c r="B24" s="21" t="inlineStr">
        <is>
          <t>מדחסי VSD</t>
        </is>
      </c>
      <c r="C24" s="10" t="inlineStr">
        <is>
          <t>% לשנה</t>
        </is>
      </c>
      <c r="D24" s="10" t="inlineStr">
        <is>
          <t>תקנות פחת — ציוד מכני</t>
        </is>
      </c>
      <c r="F24" s="22" t="n">
        <v>0.1</v>
      </c>
    </row>
    <row r="25">
      <c r="B25" s="9" t="inlineStr">
        <is>
          <t>4. הנחות לפי טכנולוגיה — שתי נקודות קיבולת לכל טכנולוגיה</t>
        </is>
      </c>
    </row>
    <row r="26">
      <c r="B26" s="23" t="inlineStr">
        <is>
          <t>פרמטר</t>
        </is>
      </c>
      <c r="C26" s="23" t="inlineStr">
        <is>
          <t>יחידות</t>
        </is>
      </c>
      <c r="D26" s="23" t="inlineStr">
        <is>
          <t>מקור</t>
        </is>
      </c>
      <c r="E26" s="23" t="inlineStr">
        <is>
          <t>הערות</t>
        </is>
      </c>
      <c r="F26" s="24" t="inlineStr">
        <is>
          <t>משאבות חום — 40 kW</t>
        </is>
      </c>
      <c r="G26" s="24" t="inlineStr">
        <is>
          <t>משאבות חום — 70 kW</t>
        </is>
      </c>
      <c r="H26" s="24" t="inlineStr">
        <is>
          <t>צ'ילרים — 100 RT</t>
        </is>
      </c>
      <c r="I26" s="24" t="inlineStr">
        <is>
          <t>צ'ילרים — 500 RT</t>
        </is>
      </c>
      <c r="J26" s="24" t="inlineStr">
        <is>
          <t>מדחסי VSD — 45 kW</t>
        </is>
      </c>
      <c r="K26" s="24" t="inlineStr">
        <is>
          <t>מדחסי VSD — 150 kW</t>
        </is>
      </c>
    </row>
    <row r="27">
      <c r="F27" s="25" t="inlineStr">
        <is>
          <t>vs. תנור מזוט/סולר — 40 kW</t>
        </is>
      </c>
      <c r="G27" s="25" t="inlineStr">
        <is>
          <t>vs. תנור מזוט/סולר — 70 kW</t>
        </is>
      </c>
      <c r="H27" s="25" t="inlineStr">
        <is>
          <t>vs. מערכת קירור קונבנציונלית — 100 RT</t>
        </is>
      </c>
      <c r="I27" s="25" t="inlineStr">
        <is>
          <t>vs. מערכת קירור קונבנציונלית — 500 RT</t>
        </is>
      </c>
      <c r="J27" s="25" t="inlineStr">
        <is>
          <t>vs. מדחס מהירות קבועה — 45 kW</t>
        </is>
      </c>
      <c r="K27" s="25" t="inlineStr">
        <is>
          <t>vs. מדחס מהירות קבועה — 150 kW</t>
        </is>
      </c>
    </row>
    <row r="28">
      <c r="B28" s="21" t="inlineStr">
        <is>
          <t>קיבולת מותקנת</t>
        </is>
      </c>
      <c r="C28" s="10" t="inlineStr">
        <is>
          <t>kW / RT</t>
        </is>
      </c>
      <c r="D28" s="11" t="inlineStr">
        <is>
          <t>baseline-technology-data.md</t>
        </is>
      </c>
      <c r="F28" s="26" t="n">
        <v>40</v>
      </c>
      <c r="G28" s="26" t="n">
        <v>70</v>
      </c>
      <c r="H28" s="27" t="n">
        <v>100</v>
      </c>
      <c r="I28" s="27" t="n">
        <v>500</v>
      </c>
      <c r="J28" s="26" t="n">
        <v>45</v>
      </c>
      <c r="K28" s="26" t="n">
        <v>150</v>
      </c>
    </row>
    <row r="29">
      <c r="B29" s="21" t="inlineStr">
        <is>
          <t>שעות פעילות שנתיות</t>
        </is>
      </c>
      <c r="C29" s="10" t="inlineStr">
        <is>
          <t>שעות/שנה</t>
        </is>
      </c>
      <c r="D29" s="11" t="inlineStr">
        <is>
          <t>ראו הערות לפי טכנולוגיה</t>
        </is>
      </c>
      <c r="E29" s="28" t="inlineStr">
        <is>
          <t>משאבות חום: ממתין לייעוץ מהנדס | צ'ילרים: 3,000 (מספר עבודה) | VSD: 6,400 (אמצע 6,000-6,800)</t>
        </is>
      </c>
      <c r="F29" s="29" t="inlineStr">
        <is>
          <t>PENDING</t>
        </is>
      </c>
      <c r="G29" s="29" t="inlineStr">
        <is>
          <t>PENDING</t>
        </is>
      </c>
      <c r="H29" s="30" t="n">
        <v>3000</v>
      </c>
      <c r="I29" s="30" t="n">
        <v>3000</v>
      </c>
      <c r="J29" s="30" t="n">
        <v>6400</v>
      </c>
      <c r="K29" s="30" t="n">
        <v>6400</v>
      </c>
    </row>
    <row r="30">
      <c r="B30" s="21" t="inlineStr">
        <is>
          <t>COP — משאבת חום (יעיל)</t>
        </is>
      </c>
      <c r="C30" s="10" t="inlineStr">
        <is>
          <t>יחס</t>
        </is>
      </c>
      <c r="D30" s="11" t="inlineStr">
        <is>
          <t>Sprsun — עמוד מפרט מוצר</t>
        </is>
      </c>
      <c r="E30" s="28" t="inlineStr">
        <is>
          <t>משאבות חום בלבד</t>
        </is>
      </c>
      <c r="F30" s="31" t="n">
        <v>4.13</v>
      </c>
      <c r="G30" s="31" t="n">
        <v>3.235</v>
      </c>
    </row>
    <row r="31">
      <c r="B31" s="21" t="inlineStr">
        <is>
          <t>יעילות בעירה — תנור בסיס</t>
        </is>
      </c>
      <c r="C31" s="10" t="inlineStr">
        <is>
          <t>%</t>
        </is>
      </c>
      <c r="D31" s="11" t="inlineStr">
        <is>
          <t>ASME PTC 4 (אמצע 80-88%)</t>
        </is>
      </c>
      <c r="E31" s="28" t="inlineStr">
        <is>
          <t>משאבות חום בלבד</t>
        </is>
      </c>
      <c r="F31" s="32" t="n">
        <v>0.835</v>
      </c>
      <c r="G31" s="32" t="n">
        <v>0.835</v>
      </c>
    </row>
    <row r="32">
      <c r="B32" s="21" t="inlineStr">
        <is>
          <t>סוג דלק בסיס</t>
        </is>
      </c>
      <c r="C32" s="10" t="inlineStr">
        <is>
          <t>טקסט</t>
        </is>
      </c>
      <c r="D32" s="11" t="inlineStr">
        <is>
          <t>הנחת עבודה — ניתן לשנות</t>
        </is>
      </c>
      <c r="E32" s="28" t="inlineStr">
        <is>
          <t>משאבות חום בלבד — "מזוט"/"סולר"</t>
        </is>
      </c>
      <c r="F32" s="33" t="inlineStr">
        <is>
          <t>סולר</t>
        </is>
      </c>
      <c r="G32" s="33" t="inlineStr">
        <is>
          <t>סולר</t>
        </is>
      </c>
    </row>
    <row r="33">
      <c r="B33" s="21" t="inlineStr">
        <is>
          <t>יעילות אנרגטית — בסיסי</t>
        </is>
      </c>
      <c r="C33" s="10" t="inlineStr">
        <is>
          <t>kW/ton | kW/100cfm</t>
        </is>
      </c>
      <c r="D33" s="11" t="inlineStr">
        <is>
          <t>צ'ילר: ASHRAE 90.1 | VSD: CAGI</t>
        </is>
      </c>
      <c r="E33" s="28" t="inlineStr">
        <is>
          <t>צ'ילרים/VSD בלבד</t>
        </is>
      </c>
      <c r="H33" s="34" t="n">
        <v>0.95</v>
      </c>
      <c r="I33" s="34" t="n">
        <v>0.6</v>
      </c>
      <c r="J33" s="35" t="n">
        <v>21.5</v>
      </c>
      <c r="K33" s="35" t="n">
        <v>21.5</v>
      </c>
    </row>
    <row r="34">
      <c r="B34" s="21" t="inlineStr">
        <is>
          <t>יעילות אנרגטית — יעיל</t>
        </is>
      </c>
      <c r="C34" s="10" t="inlineStr">
        <is>
          <t>kW/ton | kW/100cfm</t>
        </is>
      </c>
      <c r="D34" s="11" t="inlineStr">
        <is>
          <t>צ'ילר: DOE FEMP | VSD: CAGI</t>
        </is>
      </c>
      <c r="E34" s="28" t="inlineStr">
        <is>
          <t>צ'ילרים/VSD בלבד</t>
        </is>
      </c>
      <c r="H34" s="34" t="n">
        <v>0.8</v>
      </c>
      <c r="I34" s="34" t="n">
        <v>0.48</v>
      </c>
      <c r="J34" s="35" t="n">
        <v>16.5</v>
      </c>
      <c r="K34" s="35" t="n">
        <v>16.5</v>
      </c>
    </row>
    <row r="35">
      <c r="B35" s="21" t="inlineStr">
        <is>
          <t>חיסכון אנרגטי (מחושב)</t>
        </is>
      </c>
      <c r="C35" s="10" t="inlineStr">
        <is>
          <t>% מצריכה</t>
        </is>
      </c>
      <c r="D35" s="11" t="inlineStr">
        <is>
          <t>חישוב</t>
        </is>
      </c>
      <c r="E35" s="28" t="inlineStr">
        <is>
          <t>צ'ילרים/VSD — נגזר משורות 33-34</t>
        </is>
      </c>
      <c r="F35" s="36" t="inlineStr">
        <is>
          <t>-</t>
        </is>
      </c>
      <c r="G35" s="36" t="inlineStr">
        <is>
          <t>-</t>
        </is>
      </c>
      <c r="H35" s="22">
        <f>IF(AND(ISNUMBER(H33),ISNUMBER(H34)),(H33-H34)/H33,"PENDING")</f>
        <v/>
      </c>
      <c r="I35" s="22">
        <f>IF(AND(ISNUMBER(I33),ISNUMBER(I34)),(I33-I34)/I33,"PENDING")</f>
        <v/>
      </c>
      <c r="J35" s="22">
        <f>IF(AND(ISNUMBER(J33),ISNUMBER(J34)),(J33-J34)/J33,"PENDING")</f>
        <v/>
      </c>
      <c r="K35" s="22">
        <f>IF(AND(ISNUMBER(K33),ISNUMBER(K34)),(K33-K34)/K33,"PENDING")</f>
        <v/>
      </c>
    </row>
    <row r="36">
      <c r="B36" s="21" t="inlineStr">
        <is>
          <t>צריכת אנרגיה/דלק שנתית — בסיסי</t>
        </is>
      </c>
      <c r="C36" s="10" t="inlineStr">
        <is>
          <t>טון דלק / קוט"ש</t>
        </is>
      </c>
      <c r="D36" s="11" t="inlineStr">
        <is>
          <t>חישוב — קיבולת × שעות × יעילות</t>
        </is>
      </c>
      <c r="E36" s="28" t="inlineStr">
        <is>
          <t>משאבות חום: טון דלק | אחר: קוט"ש</t>
        </is>
      </c>
      <c r="F36" s="37">
        <f>IF(AND(ISNUMBER(F28),ISNUMBER(F29),ISNUMBER(F31)),(F28*F29/1000/F31)*IF(F32="מזוט",'נתונים והנחות'!$F$17,'נתונים והנחות'!$F$16),"PENDING")</f>
        <v/>
      </c>
      <c r="G36" s="37">
        <f>IF(AND(ISNUMBER(G28),ISNUMBER(G29),ISNUMBER(G31)),(G28*G29/1000/G31)*IF(G32="מזוט",'נתונים והנחות'!$F$17,'נתונים והנחות'!$F$16),"PENDING")</f>
        <v/>
      </c>
      <c r="H36" s="38">
        <f>IF(AND(ISNUMBER(H28),ISNUMBER(H29),ISNUMBER(H33)),H28*H33*H29,"PENDING")</f>
        <v/>
      </c>
      <c r="I36" s="38">
        <f>IF(AND(ISNUMBER(I28),ISNUMBER(I29),ISNUMBER(I33)),I28*I33*I29,"PENDING")</f>
        <v/>
      </c>
      <c r="J36" s="38">
        <f>IF(AND(ISNUMBER(J28),ISNUMBER(J29)),J28*J29,"PENDING")</f>
        <v/>
      </c>
      <c r="K36" s="38">
        <f>IF(AND(ISNUMBER(K28),ISNUMBER(K29)),K28*K29,"PENDING")</f>
        <v/>
      </c>
    </row>
    <row r="37">
      <c r="B37" s="21" t="inlineStr">
        <is>
          <t>צריכת חשמל שנתית — יעיל</t>
        </is>
      </c>
      <c r="C37" s="10" t="inlineStr">
        <is>
          <t>קוט"ש/שנה</t>
        </is>
      </c>
      <c r="D37" s="11" t="inlineStr">
        <is>
          <t>חישוב</t>
        </is>
      </c>
      <c r="E37" s="28" t="inlineStr">
        <is>
          <t>הצד היעיל תמיד חשמלי</t>
        </is>
      </c>
      <c r="F37" s="38">
        <f>IF(AND(ISNUMBER(F28),ISNUMBER(F29),ISNUMBER(F30)),F28*F29/F30,"PENDING")</f>
        <v/>
      </c>
      <c r="G37" s="38">
        <f>IF(AND(ISNUMBER(G28),ISNUMBER(G29),ISNUMBER(G30)),G28*G29/G30,"PENDING")</f>
        <v/>
      </c>
      <c r="H37" s="38">
        <f>IF(AND(ISNUMBER(H36),ISNUMBER(H35)),H36*(1-H35),"PENDING")</f>
        <v/>
      </c>
      <c r="I37" s="38">
        <f>IF(AND(ISNUMBER(I36),ISNUMBER(I35)),I36*(1-I35),"PENDING")</f>
        <v/>
      </c>
      <c r="J37" s="38">
        <f>IF(AND(ISNUMBER(J36),ISNUMBER(J35)),J36*(1-J35),"PENDING")</f>
        <v/>
      </c>
      <c r="K37" s="38">
        <f>IF(AND(ISNUMBER(K36),ISNUMBER(K35)),K36*(1-K35),"PENDING")</f>
        <v/>
      </c>
    </row>
    <row r="39">
      <c r="B39" s="21" t="inlineStr">
        <is>
          <t>CapEx — ציוד קיים (בסיסי)</t>
        </is>
      </c>
      <c r="C39" s="10" t="inlineStr">
        <is>
          <t>₪</t>
        </is>
      </c>
      <c r="D39" s="11" t="inlineStr">
        <is>
          <t>ראו הערות לפי טכנולוגיה</t>
        </is>
      </c>
      <c r="E39" s="28" t="inlineStr">
        <is>
          <t>צ'ילר: יעיל ÷ 1.175 (פרמיית יעילות 10-25%) | VSD: יעיל ÷ 1.225 (פרמיית VSD 15-30%) | משאבות חום: אין מקור לתנור בסיס — ממתין</t>
        </is>
      </c>
      <c r="F39" s="39" t="inlineStr">
        <is>
          <t>PENDING</t>
        </is>
      </c>
      <c r="G39" s="39" t="inlineStr">
        <is>
          <t>PENDING</t>
        </is>
      </c>
      <c r="H39" s="40" t="n">
        <v>356200</v>
      </c>
      <c r="I39" s="40" t="n">
        <v>1781000</v>
      </c>
      <c r="J39" s="40" t="n">
        <v>55102</v>
      </c>
      <c r="K39" s="40" t="n">
        <v>183673</v>
      </c>
    </row>
    <row r="40">
      <c r="B40" s="21" t="inlineStr">
        <is>
          <t>CapEx — ציוד יעיל</t>
        </is>
      </c>
      <c r="C40" s="10" t="inlineStr">
        <is>
          <t>₪</t>
        </is>
      </c>
      <c r="D40" s="11" t="inlineStr">
        <is>
          <t>ראו הערות לפי טכנולוגיה</t>
        </is>
      </c>
      <c r="E40" s="28" t="inlineStr">
        <is>
          <t>משאבות חום: מענקים ₪1,050/kW | צ'ילר: מענקים חציון ₪4,186/טון | VSD: מענקים חציון ₪1,500/kW</t>
        </is>
      </c>
      <c r="F40" s="40" t="n">
        <v>42000</v>
      </c>
      <c r="G40" s="40" t="n">
        <v>73500</v>
      </c>
      <c r="H40" s="16" t="n">
        <v>418600</v>
      </c>
      <c r="I40" s="16" t="n">
        <v>2093000</v>
      </c>
      <c r="J40" s="16" t="n">
        <v>67500</v>
      </c>
      <c r="K40" s="16" t="n">
        <v>225000</v>
      </c>
    </row>
    <row r="41">
      <c r="B41" s="21" t="inlineStr">
        <is>
          <t>ΔCapEx = יעיל − בסיסי</t>
        </is>
      </c>
      <c r="C41" s="10" t="inlineStr">
        <is>
          <t>₪</t>
        </is>
      </c>
      <c r="D41" s="11" t="inlineStr">
        <is>
          <t>חישוב</t>
        </is>
      </c>
      <c r="F41" s="41">
        <f>IF(ISNUMBER(F40)*ISNUMBER(F39),F40-F39,"PENDING")</f>
        <v/>
      </c>
      <c r="G41" s="41">
        <f>IF(ISNUMBER(G40)*ISNUMBER(G39),G40-G39,"PENDING")</f>
        <v/>
      </c>
      <c r="H41" s="41">
        <f>IF(ISNUMBER(H40)*ISNUMBER(H39),H40-H39,"PENDING")</f>
        <v/>
      </c>
      <c r="I41" s="41">
        <f>IF(ISNUMBER(I40)*ISNUMBER(I39),I40-I39,"PENDING")</f>
        <v/>
      </c>
      <c r="J41" s="41">
        <f>IF(ISNUMBER(J40)*ISNUMBER(J39),J40-J39,"PENDING")</f>
        <v/>
      </c>
      <c r="K41" s="41">
        <f>IF(ISNUMBER(K40)*ISNUMBER(K39),K40-K39,"PENDING")</f>
        <v/>
      </c>
    </row>
    <row r="42">
      <c r="B42" s="21" t="inlineStr">
        <is>
          <t>אורך חיים — ציוד בסיסי</t>
        </is>
      </c>
      <c r="C42" s="10" t="inlineStr">
        <is>
          <t>שנים</t>
        </is>
      </c>
      <c r="D42" s="11" t="inlineStr">
        <is>
          <t>ממצאי הנדסה / הנחת עבודה</t>
        </is>
      </c>
      <c r="F42" s="42" t="n">
        <v>15</v>
      </c>
      <c r="G42" s="42" t="n">
        <v>15</v>
      </c>
      <c r="H42" s="42" t="n">
        <v>15</v>
      </c>
      <c r="I42" s="42" t="n">
        <v>15</v>
      </c>
      <c r="J42" s="42" t="n">
        <v>12</v>
      </c>
      <c r="K42" s="42" t="n">
        <v>12</v>
      </c>
    </row>
    <row r="43">
      <c r="B43" s="21" t="inlineStr">
        <is>
          <t>אורך חיים — ציוד יעיל</t>
        </is>
      </c>
      <c r="C43" s="10" t="inlineStr">
        <is>
          <t>שנים</t>
        </is>
      </c>
      <c r="D43" s="11" t="inlineStr">
        <is>
          <t>ממצאי הנדסה / הנחת עבודה</t>
        </is>
      </c>
      <c r="F43" s="42" t="n">
        <v>10</v>
      </c>
      <c r="G43" s="42" t="n">
        <v>10</v>
      </c>
      <c r="H43" s="42" t="n">
        <v>17</v>
      </c>
      <c r="I43" s="42" t="n">
        <v>17</v>
      </c>
      <c r="J43" s="42" t="n">
        <v>12</v>
      </c>
      <c r="K43" s="42" t="n">
        <v>12</v>
      </c>
    </row>
    <row r="44">
      <c r="B44" s="21" t="inlineStr">
        <is>
          <t>גורם שחיקת ביצועים</t>
        </is>
      </c>
      <c r="C44" s="10" t="inlineStr">
        <is>
          <t>%/שנה</t>
        </is>
      </c>
      <c r="D44" s="11" t="inlineStr">
        <is>
          <t>הנחת עבודה (0.5-1% טיפוסי)</t>
        </is>
      </c>
      <c r="F44" s="43" t="n">
        <v>0.005</v>
      </c>
      <c r="G44" s="43" t="n">
        <v>0.005</v>
      </c>
      <c r="H44" s="43" t="n">
        <v>0.005</v>
      </c>
      <c r="I44" s="43" t="n">
        <v>0.005</v>
      </c>
      <c r="J44" s="43" t="n">
        <v>0.005</v>
      </c>
      <c r="K44" s="43" t="n">
        <v>0.005</v>
      </c>
    </row>
    <row r="45">
      <c r="B45" s="21" t="inlineStr">
        <is>
          <t>OPEX אחר — בסיסי (תחזוקה...)</t>
        </is>
      </c>
      <c r="C45" s="10" t="inlineStr">
        <is>
          <t>₪/שנה</t>
        </is>
      </c>
      <c r="D45" s="11" t="inlineStr">
        <is>
          <t>נתוני רפי (טרם התקבל)</t>
        </is>
      </c>
      <c r="E45" s="28" t="inlineStr">
        <is>
          <t>⚠ ממתין לרפי</t>
        </is>
      </c>
      <c r="F45" s="39" t="inlineStr">
        <is>
          <t>PENDING</t>
        </is>
      </c>
      <c r="G45" s="39" t="inlineStr">
        <is>
          <t>PENDING</t>
        </is>
      </c>
      <c r="H45" s="39" t="inlineStr">
        <is>
          <t>PENDING</t>
        </is>
      </c>
      <c r="I45" s="39" t="inlineStr">
        <is>
          <t>PENDING</t>
        </is>
      </c>
      <c r="J45" s="39" t="inlineStr">
        <is>
          <t>PENDING</t>
        </is>
      </c>
      <c r="K45" s="39" t="inlineStr">
        <is>
          <t>PENDING</t>
        </is>
      </c>
    </row>
    <row r="46">
      <c r="B46" s="21" t="inlineStr">
        <is>
          <t>OPEX אחר — יעיל (תחזוקה...)</t>
        </is>
      </c>
      <c r="C46" s="10" t="inlineStr">
        <is>
          <t>₪/שנה</t>
        </is>
      </c>
      <c r="D46" s="11" t="inlineStr">
        <is>
          <t>נתוני רפי (טרם התקבל)</t>
        </is>
      </c>
      <c r="E46" s="28" t="inlineStr">
        <is>
          <t>⚠ ממתין לרפי</t>
        </is>
      </c>
      <c r="F46" s="39" t="inlineStr">
        <is>
          <t>PENDING</t>
        </is>
      </c>
      <c r="G46" s="39" t="inlineStr">
        <is>
          <t>PENDING</t>
        </is>
      </c>
      <c r="H46" s="39" t="inlineStr">
        <is>
          <t>PENDING</t>
        </is>
      </c>
      <c r="I46" s="39" t="inlineStr">
        <is>
          <t>PENDING</t>
        </is>
      </c>
      <c r="J46" s="39" t="inlineStr">
        <is>
          <t>PENDING</t>
        </is>
      </c>
      <c r="K46" s="39" t="inlineStr">
        <is>
          <t>PENDING</t>
        </is>
      </c>
    </row>
    <row r="47">
      <c r="B47" s="21" t="inlineStr">
        <is>
          <t>OPEX אנרגיה/דלק שנה 1 — בסיסי</t>
        </is>
      </c>
      <c r="C47" s="10" t="inlineStr">
        <is>
          <t>₪/שנה</t>
        </is>
      </c>
      <c r="D47" s="11" t="inlineStr">
        <is>
          <t>חישוב</t>
        </is>
      </c>
      <c r="F47" s="41">
        <f>IF(ISNUMBER(F36),IF(F32="מזוט",F36*'נתונים והנחות'!$F$15,F36*1000/'נתונים והנחות'!$F$18*'נתונים והנחות'!$F$14),"PENDING")</f>
        <v/>
      </c>
      <c r="G47" s="41">
        <f>IF(ISNUMBER(G36),IF(G32="מזוט",G36*'נתונים והנחות'!$F$15,G36*1000/'נתונים והנחות'!$F$18*'נתונים והנחות'!$F$14),"PENDING")</f>
        <v/>
      </c>
      <c r="H47" s="41">
        <f>IF(ISNUMBER(H36),H36*'נתונים והנחות'!$F$12/100,"PENDING")</f>
        <v/>
      </c>
      <c r="I47" s="41">
        <f>IF(ISNUMBER(I36),I36*'נתונים והנחות'!$F$12/100,"PENDING")</f>
        <v/>
      </c>
      <c r="J47" s="41">
        <f>IF(ISNUMBER(J36),J36*'נתונים והנחות'!$F$12/100,"PENDING")</f>
        <v/>
      </c>
      <c r="K47" s="41">
        <f>IF(ISNUMBER(K36),K36*'נתונים והנחות'!$F$12/100,"PENDING")</f>
        <v/>
      </c>
    </row>
    <row r="48">
      <c r="B48" s="21" t="inlineStr">
        <is>
          <t>OPEX אנרגיה שנה 1 — יעיל</t>
        </is>
      </c>
      <c r="C48" s="10" t="inlineStr">
        <is>
          <t>₪/שנה</t>
        </is>
      </c>
      <c r="D48" s="11" t="inlineStr">
        <is>
          <t>חישוב</t>
        </is>
      </c>
      <c r="F48" s="41">
        <f>IF(ISNUMBER(F37),F37*'נתונים והנחות'!$F$12/100,"PENDING")</f>
        <v/>
      </c>
      <c r="G48" s="41">
        <f>IF(ISNUMBER(G37),G37*'נתונים והנחות'!$F$12/100,"PENDING")</f>
        <v/>
      </c>
      <c r="H48" s="41">
        <f>IF(ISNUMBER(H37),H37*'נתונים והנחות'!$F$12/100,"PENDING")</f>
        <v/>
      </c>
      <c r="I48" s="41">
        <f>IF(ISNUMBER(I37),I37*'נתונים והנחות'!$F$12/100,"PENDING")</f>
        <v/>
      </c>
      <c r="J48" s="41">
        <f>IF(ISNUMBER(J37),J37*'נתונים והנחות'!$F$12/100,"PENDING")</f>
        <v/>
      </c>
      <c r="K48" s="41">
        <f>IF(ISNUMBER(K37),K37*'נתונים והנחות'!$F$12/100,"PENDING")</f>
        <v/>
      </c>
    </row>
    <row r="51">
      <c r="B51" s="9" t="inlineStr">
        <is>
          <t>5. מתודולוגיה — גזירות והבהרות</t>
        </is>
      </c>
    </row>
    <row r="52" ht="28" customHeight="1">
      <c r="B52" s="28" t="inlineStr">
        <is>
          <t>• CapEx צ'ילר בסיסי — נגזר מהיעיל: נתוני המענקים כוללים רק את הציוד היעיל שמומן, ולכן אין מחיר לציוד בסיסי. הבסיסי נאמד כ- ₪4,186 ÷ 1.175 = ₪3,562/טון, לפי פרמיית יעילות של 10-25% (DOE FEMP + מקורות שוק, אמצע 17.5%). הערכה, לא ציטוט ישיר.</t>
        </is>
      </c>
    </row>
    <row r="53" ht="28" customHeight="1">
      <c r="B53" s="28" t="inlineStr">
        <is>
          <t>• CapEx VSD בסיסי — נגזר בדומה: ₪1,500 ÷ 1.225 = ₪1,224/kW, לפי פרמיית VSD מול מהירות קבועה של 15-30% (אמצע 22.5%). ₪1,500/kW היעיל = חציון של 3 יחידות מהמענקים (הממוצע ~₪2,030 מוטה ע"י יחידה חריגה יקרה).</t>
        </is>
      </c>
    </row>
    <row r="54" ht="28" customHeight="1">
      <c r="B54" s="28" t="inlineStr">
        <is>
          <t>• CapEx משאבת חום בסיסי (תנור מזוט/סולר) — נותר PENDING: בניגוד ל-VSD, תנור בעירה אינו "אותה טכנולוגיה ברמת יעילות אחרת", ולכן שיטת הפרמיה לא חלה. אין מקור נאות עדיין.</t>
        </is>
      </c>
    </row>
    <row r="55" ht="28" customHeight="1">
      <c r="B55" s="28" t="inlineStr">
        <is>
          <t>• יעילות צ'ילר משתנה לפי קיבולת: 100 RT = 0.95/0.80 kW/ton, 500 RT = 0.60/0.48 kW/ton (ASHRAE 90.1 מינימום תקן מול DOE FEMP יעיל). יעילות VSD (specific power) אינה משתנה לפי קיבולת — היא השוואת טכנולוגיה (מהירות קבועה מול VSD).</t>
        </is>
      </c>
    </row>
    <row r="56" ht="28" customHeight="1">
      <c r="B56" s="28" t="inlineStr">
        <is>
          <t>• מחירי דלק — משרד האנרגיה, מינהל הדלק והגז, "מחירים תיאורטיים של מוצרי דלק שאינם בפיקוח", 2024 (לפני מע"מ ובלו). מרווח שיווק של 0.5 ₪ מתווסף ידנית ע"י עמרי.</t>
        </is>
      </c>
    </row>
    <row r="57" ht="28" customHeight="1">
      <c r="B57" s="28" t="inlineStr">
        <is>
          <t>• OPEX אחר (תחזוקה, חלפים) — ממתין לנתוני רפי לכל 3 הטכנולוגיות.</t>
        </is>
      </c>
    </row>
  </sheetData>
  <mergeCells count="12">
    <mergeCell ref="B53:L53"/>
    <mergeCell ref="B13:L13"/>
    <mergeCell ref="B52:L52"/>
    <mergeCell ref="B21:L21"/>
    <mergeCell ref="B54:L54"/>
    <mergeCell ref="B56:L56"/>
    <mergeCell ref="B55:L55"/>
    <mergeCell ref="B19:L19"/>
    <mergeCell ref="B51:L51"/>
    <mergeCell ref="B25:K25"/>
    <mergeCell ref="B9:L9"/>
    <mergeCell ref="B57:L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83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3" customWidth="1" min="3" max="3"/>
    <col width="32" customWidth="1" min="4" max="4"/>
    <col width="34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B1" s="1" t="inlineStr">
        <is>
          <t>מקרא צבעים</t>
        </is>
      </c>
    </row>
    <row r="2">
      <c r="B2" s="2" t="inlineStr">
        <is>
          <t>ערך להזנה / ממתין לנתונים</t>
        </is>
      </c>
    </row>
    <row r="3">
      <c r="B3" s="3" t="inlineStr">
        <is>
          <t>נתון לעדכון / בקרה</t>
        </is>
      </c>
    </row>
    <row r="4">
      <c r="B4" s="4" t="inlineStr">
        <is>
          <t>נתון ממקור אמיתי</t>
        </is>
      </c>
    </row>
    <row r="5">
      <c r="B5" s="5" t="inlineStr">
        <is>
          <t>נתון מוערך/נגזר (עם מקור)</t>
        </is>
      </c>
    </row>
    <row r="6">
      <c r="B6" s="6" t="inlineStr">
        <is>
          <t>תרחיש A — טכנולוגיה קיימת</t>
        </is>
      </c>
    </row>
    <row r="7">
      <c r="B7" s="7" t="inlineStr">
        <is>
          <t>תרחיש B — יעיל, ללא תמריץ</t>
        </is>
      </c>
    </row>
    <row r="8">
      <c r="B8" s="8" t="inlineStr">
        <is>
          <t>תרחיש C — יעיל, עם תמריץ</t>
        </is>
      </c>
    </row>
    <row r="9">
      <c r="B9" s="44" t="inlineStr">
        <is>
          <t>ניתוח כלכלי — פחת מואץ לפי טכנולוגיה | NPV בלבד</t>
        </is>
      </c>
    </row>
    <row r="11">
      <c r="B11" s="9" t="inlineStr">
        <is>
          <t>1. פרמטרים פיננסיים</t>
        </is>
      </c>
    </row>
    <row r="12">
      <c r="B12" s="3" t="inlineStr">
        <is>
          <t>שיעור מס חברות</t>
        </is>
      </c>
      <c r="C12" s="10" t="inlineStr">
        <is>
          <t>%</t>
        </is>
      </c>
      <c r="D12" s="10" t="inlineStr">
        <is>
          <t>נתונים והנחות</t>
        </is>
      </c>
      <c r="F12" s="12">
        <f>'נתונים והנחות'!$F$10</f>
        <v/>
      </c>
    </row>
    <row r="13">
      <c r="B13" s="4" t="inlineStr">
        <is>
          <t>שיעור היוון</t>
        </is>
      </c>
      <c r="C13" s="10" t="inlineStr">
        <is>
          <t>%</t>
        </is>
      </c>
      <c r="D13" s="10" t="inlineStr">
        <is>
          <t>נתונים והנחות</t>
        </is>
      </c>
      <c r="F13" s="13">
        <f>'נתונים והנחות'!$F$11</f>
        <v/>
      </c>
    </row>
    <row r="14">
      <c r="B14" s="2" t="inlineStr">
        <is>
          <t>מחיר חשמל (₪/קוט"ש)</t>
        </is>
      </c>
      <c r="C14" s="10" t="inlineStr">
        <is>
          <t>₪/קוט"ש</t>
        </is>
      </c>
      <c r="D14" s="10" t="inlineStr">
        <is>
          <t>נתונים והנחות</t>
        </is>
      </c>
      <c r="F14" s="45">
        <f>'נתונים והנחות'!$F$12/100</f>
        <v/>
      </c>
    </row>
    <row r="16">
      <c r="B16" s="9" t="inlineStr">
        <is>
          <t>2. פרמטר תמריץ — מכפיל פחת</t>
        </is>
      </c>
    </row>
    <row r="17">
      <c r="B17" s="17" t="inlineStr">
        <is>
          <t>מכפיל שיעור הפחת  ←  שנה ב'נתונים והנחות'!F20</t>
        </is>
      </c>
      <c r="C17" s="18" t="inlineStr">
        <is>
          <t>מכפיל</t>
        </is>
      </c>
      <c r="D17" s="10" t="inlineStr">
        <is>
          <t>נתונים והנחות</t>
        </is>
      </c>
      <c r="F17" s="46">
        <f>'נתונים והנחות'!$F$20</f>
        <v/>
      </c>
    </row>
    <row r="19">
      <c r="B19" s="9" t="inlineStr">
        <is>
          <t>3. ניתוחים לפי טכנולוגיה</t>
        </is>
      </c>
    </row>
    <row r="21">
      <c r="B21" s="47" t="inlineStr">
        <is>
          <t>3.1א  משאבות חום — 40 kW</t>
        </is>
      </c>
    </row>
    <row r="22">
      <c r="B22" s="48" t="inlineStr">
        <is>
          <t>* מול תנור מזוט/סולר — 40 kW | נתונים: גיליון 'נתונים והנחות' סעיף 4</t>
        </is>
      </c>
    </row>
    <row r="23">
      <c r="B23" s="49" t="inlineStr">
        <is>
          <t>ב. לוחות פחת (ציוד בסיסי vs. יעיל)</t>
        </is>
      </c>
    </row>
    <row r="24">
      <c r="B24" s="23" t="inlineStr">
        <is>
          <t>פרמטר</t>
        </is>
      </c>
      <c r="C24" s="23" t="inlineStr">
        <is>
          <t>יחידות</t>
        </is>
      </c>
      <c r="D24" s="23" t="inlineStr">
        <is>
          <t>מקור</t>
        </is>
      </c>
      <c r="E24" s="23" t="inlineStr">
        <is>
          <t>הערות</t>
        </is>
      </c>
      <c r="F24" s="23" t="inlineStr">
        <is>
          <t>שנה 0 (השקעה)</t>
        </is>
      </c>
      <c r="G24" s="23" t="inlineStr">
        <is>
          <t>שנה 1</t>
        </is>
      </c>
      <c r="H24" s="23" t="inlineStr">
        <is>
          <t>שנה 2</t>
        </is>
      </c>
      <c r="I24" s="23" t="inlineStr">
        <is>
          <t>שנה 3</t>
        </is>
      </c>
      <c r="J24" s="23" t="inlineStr">
        <is>
          <t>שנה 4</t>
        </is>
      </c>
      <c r="K24" s="23" t="inlineStr">
        <is>
          <t>שנה 5</t>
        </is>
      </c>
      <c r="L24" s="23" t="inlineStr">
        <is>
          <t>שנה 6</t>
        </is>
      </c>
      <c r="M24" s="23" t="inlineStr">
        <is>
          <t>שנה 7</t>
        </is>
      </c>
      <c r="N24" s="23" t="inlineStr">
        <is>
          <t>שנה 8</t>
        </is>
      </c>
      <c r="O24" s="23" t="inlineStr">
        <is>
          <t>שנה 9</t>
        </is>
      </c>
      <c r="P24" s="23" t="inlineStr">
        <is>
          <t>שנה 10</t>
        </is>
      </c>
      <c r="Q24" s="23" t="inlineStr">
        <is>
          <t>שנה 11</t>
        </is>
      </c>
      <c r="R24" s="23" t="inlineStr">
        <is>
          <t>שנה 12</t>
        </is>
      </c>
      <c r="S24" s="23" t="inlineStr">
        <is>
          <t>שנה 13</t>
        </is>
      </c>
      <c r="T24" s="23" t="inlineStr">
        <is>
          <t>שנה 14</t>
        </is>
      </c>
      <c r="U24" s="23" t="inlineStr">
        <is>
          <t>שנה 15</t>
        </is>
      </c>
      <c r="V24" s="23" t="inlineStr">
        <is>
          <t>שנה 16</t>
        </is>
      </c>
      <c r="W24" s="23" t="inlineStr">
        <is>
          <t>שנה 17</t>
        </is>
      </c>
      <c r="X24" s="23" t="inlineStr">
        <is>
          <t>שנה 18</t>
        </is>
      </c>
      <c r="Y24" s="23" t="inlineStr">
        <is>
          <t>שנה 19</t>
        </is>
      </c>
      <c r="Z24" s="23" t="inlineStr">
        <is>
          <t>שנה 20</t>
        </is>
      </c>
    </row>
    <row r="25">
      <c r="B25" s="6" t="inlineStr">
        <is>
          <t>פחת סטנדרטי — תנור מזוט/סולר — 40 kW</t>
        </is>
      </c>
      <c r="C25" s="10" t="inlineStr">
        <is>
          <t>₪</t>
        </is>
      </c>
      <c r="D25" s="10" t="inlineStr">
        <is>
          <t>חישוב</t>
        </is>
      </c>
      <c r="F25" s="50" t="n">
        <v>0</v>
      </c>
      <c r="G25" s="50">
        <f>IF(ISNUMBER('נתונים והנחות'!$F$39),'נתונים והנחות'!$F$39*0.1,0)</f>
        <v/>
      </c>
      <c r="H25" s="50">
        <f>IF(ISNUMBER('נתונים והנחות'!$F$39),'נתונים והנחות'!$F$39*0.1,0)</f>
        <v/>
      </c>
      <c r="I25" s="50">
        <f>IF(ISNUMBER('נתונים והנחות'!$F$39),'נתונים והנחות'!$F$39*0.1,0)</f>
        <v/>
      </c>
      <c r="J25" s="50">
        <f>IF(ISNUMBER('נתונים והנחות'!$F$39),'נתונים והנחות'!$F$39*0.1,0)</f>
        <v/>
      </c>
      <c r="K25" s="50">
        <f>IF(ISNUMBER('נתונים והנחות'!$F$39),'נתונים והנחות'!$F$39*0.1,0)</f>
        <v/>
      </c>
      <c r="L25" s="50">
        <f>IF(ISNUMBER('נתונים והנחות'!$F$39),'נתונים והנחות'!$F$39*0.1,0)</f>
        <v/>
      </c>
      <c r="M25" s="50">
        <f>IF(ISNUMBER('נתונים והנחות'!$F$39),'נתונים והנחות'!$F$39*0.1,0)</f>
        <v/>
      </c>
      <c r="N25" s="50">
        <f>IF(ISNUMBER('נתונים והנחות'!$F$39),'נתונים והנחות'!$F$39*0.1,0)</f>
        <v/>
      </c>
      <c r="O25" s="50">
        <f>IF(ISNUMBER('נתונים והנחות'!$F$39),'נתונים והנחות'!$F$39*0.1,0)</f>
        <v/>
      </c>
      <c r="P25" s="50">
        <f>IF(ISNUMBER('נתונים והנחות'!$F$39),'נתונים והנחות'!$F$39*0.1,0)</f>
        <v/>
      </c>
      <c r="Q25" s="50">
        <f>0</f>
        <v/>
      </c>
      <c r="R25" s="50">
        <f>0</f>
        <v/>
      </c>
      <c r="S25" s="50">
        <f>0</f>
        <v/>
      </c>
      <c r="T25" s="50">
        <f>0</f>
        <v/>
      </c>
      <c r="U25" s="50">
        <f>0</f>
        <v/>
      </c>
      <c r="V25" s="50">
        <f>0</f>
        <v/>
      </c>
      <c r="W25" s="50">
        <f>0</f>
        <v/>
      </c>
      <c r="X25" s="50">
        <f>0</f>
        <v/>
      </c>
      <c r="Y25" s="50">
        <f>0</f>
        <v/>
      </c>
      <c r="Z25" s="50">
        <f>0</f>
        <v/>
      </c>
    </row>
    <row r="26">
      <c r="B26" s="6" t="inlineStr">
        <is>
          <t>מגן מס — תנור מזוט/סולר — 40 kW</t>
        </is>
      </c>
      <c r="C26" s="10" t="inlineStr">
        <is>
          <t>₪</t>
        </is>
      </c>
      <c r="D26" s="10" t="inlineStr">
        <is>
          <t>חישוב</t>
        </is>
      </c>
      <c r="F26" s="50" t="n">
        <v>0</v>
      </c>
      <c r="G26" s="50">
        <f>G25*'נתונים והנחות'!$F$10</f>
        <v/>
      </c>
      <c r="H26" s="50">
        <f>H25*'נתונים והנחות'!$F$10</f>
        <v/>
      </c>
      <c r="I26" s="50">
        <f>I25*'נתונים והנחות'!$F$10</f>
        <v/>
      </c>
      <c r="J26" s="50">
        <f>J25*'נתונים והנחות'!$F$10</f>
        <v/>
      </c>
      <c r="K26" s="50">
        <f>K25*'נתונים והנחות'!$F$10</f>
        <v/>
      </c>
      <c r="L26" s="50">
        <f>L25*'נתונים והנחות'!$F$10</f>
        <v/>
      </c>
      <c r="M26" s="50">
        <f>M25*'נתונים והנחות'!$F$10</f>
        <v/>
      </c>
      <c r="N26" s="50">
        <f>N25*'נתונים והנחות'!$F$10</f>
        <v/>
      </c>
      <c r="O26" s="50">
        <f>O25*'נתונים והנחות'!$F$10</f>
        <v/>
      </c>
      <c r="P26" s="50">
        <f>P25*'נתונים והנחות'!$F$10</f>
        <v/>
      </c>
      <c r="Q26" s="50">
        <f>Q25*'נתונים והנחות'!$F$10</f>
        <v/>
      </c>
      <c r="R26" s="50">
        <f>R25*'נתונים והנחות'!$F$10</f>
        <v/>
      </c>
      <c r="S26" s="50">
        <f>S25*'נתונים והנחות'!$F$10</f>
        <v/>
      </c>
      <c r="T26" s="50">
        <f>T25*'נתונים והנחות'!$F$10</f>
        <v/>
      </c>
      <c r="U26" s="50">
        <f>U25*'נתונים והנחות'!$F$10</f>
        <v/>
      </c>
      <c r="V26" s="50">
        <f>V25*'נתונים והנחות'!$F$10</f>
        <v/>
      </c>
      <c r="W26" s="50">
        <f>W25*'נתונים והנחות'!$F$10</f>
        <v/>
      </c>
      <c r="X26" s="50">
        <f>X25*'נתונים והנחות'!$F$10</f>
        <v/>
      </c>
      <c r="Y26" s="50">
        <f>Y25*'נתונים והנחות'!$F$10</f>
        <v/>
      </c>
      <c r="Z26" s="50">
        <f>Z25*'נתונים והנחות'!$F$10</f>
        <v/>
      </c>
    </row>
    <row r="27">
      <c r="B27" s="7" t="inlineStr">
        <is>
          <t>פחת סטנדרטי — משאבות חום — 40 kW</t>
        </is>
      </c>
      <c r="C27" s="10" t="inlineStr">
        <is>
          <t>₪</t>
        </is>
      </c>
      <c r="D27" s="10" t="inlineStr">
        <is>
          <t>חישוב</t>
        </is>
      </c>
      <c r="F27" s="51" t="n">
        <v>0</v>
      </c>
      <c r="G27" s="51">
        <f>IF(ISNUMBER('נתונים והנחות'!$F$40),'נתונים והנחות'!$F$40*0.1,0)</f>
        <v/>
      </c>
      <c r="H27" s="51">
        <f>IF(ISNUMBER('נתונים והנחות'!$F$40),'נתונים והנחות'!$F$40*0.1,0)</f>
        <v/>
      </c>
      <c r="I27" s="51">
        <f>IF(ISNUMBER('נתונים והנחות'!$F$40),'נתונים והנחות'!$F$40*0.1,0)</f>
        <v/>
      </c>
      <c r="J27" s="51">
        <f>IF(ISNUMBER('נתונים והנחות'!$F$40),'נתונים והנחות'!$F$40*0.1,0)</f>
        <v/>
      </c>
      <c r="K27" s="51">
        <f>IF(ISNUMBER('נתונים והנחות'!$F$40),'נתונים והנחות'!$F$40*0.1,0)</f>
        <v/>
      </c>
      <c r="L27" s="51">
        <f>IF(ISNUMBER('נתונים והנחות'!$F$40),'נתונים והנחות'!$F$40*0.1,0)</f>
        <v/>
      </c>
      <c r="M27" s="51">
        <f>IF(ISNUMBER('נתונים והנחות'!$F$40),'נתונים והנחות'!$F$40*0.1,0)</f>
        <v/>
      </c>
      <c r="N27" s="51">
        <f>IF(ISNUMBER('נתונים והנחות'!$F$40),'נתונים והנחות'!$F$40*0.1,0)</f>
        <v/>
      </c>
      <c r="O27" s="51">
        <f>IF(ISNUMBER('נתונים והנחות'!$F$40),'נתונים והנחות'!$F$40*0.1,0)</f>
        <v/>
      </c>
      <c r="P27" s="51">
        <f>IF(ISNUMBER('נתונים והנחות'!$F$40),'נתונים והנחות'!$F$40*0.1,0)</f>
        <v/>
      </c>
      <c r="Q27" s="51">
        <f>0</f>
        <v/>
      </c>
      <c r="R27" s="51">
        <f>0</f>
        <v/>
      </c>
      <c r="S27" s="51">
        <f>0</f>
        <v/>
      </c>
      <c r="T27" s="51">
        <f>0</f>
        <v/>
      </c>
      <c r="U27" s="51">
        <f>0</f>
        <v/>
      </c>
      <c r="V27" s="51">
        <f>0</f>
        <v/>
      </c>
      <c r="W27" s="51">
        <f>0</f>
        <v/>
      </c>
      <c r="X27" s="51">
        <f>0</f>
        <v/>
      </c>
      <c r="Y27" s="51">
        <f>0</f>
        <v/>
      </c>
      <c r="Z27" s="51">
        <f>0</f>
        <v/>
      </c>
    </row>
    <row r="28">
      <c r="B28" s="7" t="inlineStr">
        <is>
          <t>מגן מס סטנדרטי — משאבות חום — 40 kW</t>
        </is>
      </c>
      <c r="C28" s="10" t="inlineStr">
        <is>
          <t>₪</t>
        </is>
      </c>
      <c r="D28" s="10" t="inlineStr">
        <is>
          <t>חישוב</t>
        </is>
      </c>
      <c r="F28" s="51" t="n">
        <v>0</v>
      </c>
      <c r="G28" s="51">
        <f>G27*'נתונים והנחות'!$F$10</f>
        <v/>
      </c>
      <c r="H28" s="51">
        <f>H27*'נתונים והנחות'!$F$10</f>
        <v/>
      </c>
      <c r="I28" s="51">
        <f>I27*'נתונים והנחות'!$F$10</f>
        <v/>
      </c>
      <c r="J28" s="51">
        <f>J27*'נתונים והנחות'!$F$10</f>
        <v/>
      </c>
      <c r="K28" s="51">
        <f>K27*'נתונים והנחות'!$F$10</f>
        <v/>
      </c>
      <c r="L28" s="51">
        <f>L27*'נתונים והנחות'!$F$10</f>
        <v/>
      </c>
      <c r="M28" s="51">
        <f>M27*'נתונים והנחות'!$F$10</f>
        <v/>
      </c>
      <c r="N28" s="51">
        <f>N27*'נתונים והנחות'!$F$10</f>
        <v/>
      </c>
      <c r="O28" s="51">
        <f>O27*'נתונים והנחות'!$F$10</f>
        <v/>
      </c>
      <c r="P28" s="51">
        <f>P27*'נתונים והנחות'!$F$10</f>
        <v/>
      </c>
      <c r="Q28" s="51">
        <f>Q27*'נתונים והנחות'!$F$10</f>
        <v/>
      </c>
      <c r="R28" s="51">
        <f>R27*'נתונים והנחות'!$F$10</f>
        <v/>
      </c>
      <c r="S28" s="51">
        <f>S27*'נתונים והנחות'!$F$10</f>
        <v/>
      </c>
      <c r="T28" s="51">
        <f>T27*'נתונים והנחות'!$F$10</f>
        <v/>
      </c>
      <c r="U28" s="51">
        <f>U27*'נתונים והנחות'!$F$10</f>
        <v/>
      </c>
      <c r="V28" s="51">
        <f>V27*'נתונים והנחות'!$F$10</f>
        <v/>
      </c>
      <c r="W28" s="51">
        <f>W27*'נתונים והנחות'!$F$10</f>
        <v/>
      </c>
      <c r="X28" s="51">
        <f>X27*'נתונים והנחות'!$F$10</f>
        <v/>
      </c>
      <c r="Y28" s="51">
        <f>Y27*'נתונים והנחות'!$F$10</f>
        <v/>
      </c>
      <c r="Z28" s="51">
        <f>Z27*'נתונים והנחות'!$F$10</f>
        <v/>
      </c>
    </row>
    <row r="29">
      <c r="B29" s="8" t="inlineStr">
        <is>
          <t>פחת מואץ — משאבות חום — 40 kW</t>
        </is>
      </c>
      <c r="C29" s="10" t="inlineStr">
        <is>
          <t>₪</t>
        </is>
      </c>
      <c r="D29" s="10" t="inlineStr">
        <is>
          <t>חישוב</t>
        </is>
      </c>
      <c r="F29" s="52" t="n">
        <v>0</v>
      </c>
      <c r="G29" s="52">
        <f>IF(ISNUMBER('נתונים והנחות'!$F$40),IF(1&lt;=ROUND(1/(0.1*'נתונים והנחות'!$F$20),0),'נתונים והנחות'!$F$40*0.1*'נתונים והנחות'!$F$20,0),0)</f>
        <v/>
      </c>
      <c r="H29" s="52">
        <f>IF(ISNUMBER('נתונים והנחות'!$F$40),IF(2&lt;=ROUND(1/(0.1*'נתונים והנחות'!$F$20),0),'נתונים והנחות'!$F$40*0.1*'נתונים והנחות'!$F$20,0),0)</f>
        <v/>
      </c>
      <c r="I29" s="52">
        <f>IF(ISNUMBER('נתונים והנחות'!$F$40),IF(3&lt;=ROUND(1/(0.1*'נתונים והנחות'!$F$20),0),'נתונים והנחות'!$F$40*0.1*'נתונים והנחות'!$F$20,0),0)</f>
        <v/>
      </c>
      <c r="J29" s="52">
        <f>IF(ISNUMBER('נתונים והנחות'!$F$40),IF(4&lt;=ROUND(1/(0.1*'נתונים והנחות'!$F$20),0),'נתונים והנחות'!$F$40*0.1*'נתונים והנחות'!$F$20,0),0)</f>
        <v/>
      </c>
      <c r="K29" s="52">
        <f>IF(ISNUMBER('נתונים והנחות'!$F$40),IF(5&lt;=ROUND(1/(0.1*'נתונים והנחות'!$F$20),0),'נתונים והנחות'!$F$40*0.1*'נתונים והנחות'!$F$20,0),0)</f>
        <v/>
      </c>
      <c r="L29" s="52">
        <f>IF(ISNUMBER('נתונים והנחות'!$F$40),IF(6&lt;=ROUND(1/(0.1*'נתונים והנחות'!$F$20),0),'נתונים והנחות'!$F$40*0.1*'נתונים והנחות'!$F$20,0),0)</f>
        <v/>
      </c>
      <c r="M29" s="52">
        <f>IF(ISNUMBER('נתונים והנחות'!$F$40),IF(7&lt;=ROUND(1/(0.1*'נתונים והנחות'!$F$20),0),'נתונים והנחות'!$F$40*0.1*'נתונים והנחות'!$F$20,0),0)</f>
        <v/>
      </c>
      <c r="N29" s="52">
        <f>IF(ISNUMBER('נתונים והנחות'!$F$40),IF(8&lt;=ROUND(1/(0.1*'נתונים והנחות'!$F$20),0),'נתונים והנחות'!$F$40*0.1*'נתונים והנחות'!$F$20,0),0)</f>
        <v/>
      </c>
      <c r="O29" s="52">
        <f>IF(ISNUMBER('נתונים והנחות'!$F$40),IF(9&lt;=ROUND(1/(0.1*'נתונים והנחות'!$F$20),0),'נתונים והנחות'!$F$40*0.1*'נתונים והנחות'!$F$20,0),0)</f>
        <v/>
      </c>
      <c r="P29" s="52">
        <f>IF(ISNUMBER('נתונים והנחות'!$F$40),IF(10&lt;=ROUND(1/(0.1*'נתונים והנחות'!$F$20),0),'נתונים והנחות'!$F$40*0.1*'נתונים והנחות'!$F$20,0),0)</f>
        <v/>
      </c>
      <c r="Q29" s="52">
        <f>IF(ISNUMBER('נתונים והנחות'!$F$40),IF(11&lt;=ROUND(1/(0.1*'נתונים והנחות'!$F$20),0),'נתונים והנחות'!$F$40*0.1*'נתונים והנחות'!$F$20,0),0)</f>
        <v/>
      </c>
      <c r="R29" s="52">
        <f>IF(ISNUMBER('נתונים והנחות'!$F$40),IF(12&lt;=ROUND(1/(0.1*'נתונים והנחות'!$F$20),0),'נתונים והנחות'!$F$40*0.1*'נתונים והנחות'!$F$20,0),0)</f>
        <v/>
      </c>
      <c r="S29" s="52">
        <f>IF(ISNUMBER('נתונים והנחות'!$F$40),IF(13&lt;=ROUND(1/(0.1*'נתונים והנחות'!$F$20),0),'נתונים והנחות'!$F$40*0.1*'נתונים והנחות'!$F$20,0),0)</f>
        <v/>
      </c>
      <c r="T29" s="52">
        <f>IF(ISNUMBER('נתונים והנחות'!$F$40),IF(14&lt;=ROUND(1/(0.1*'נתונים והנחות'!$F$20),0),'נתונים והנחות'!$F$40*0.1*'נתונים והנחות'!$F$20,0),0)</f>
        <v/>
      </c>
      <c r="U29" s="52">
        <f>IF(ISNUMBER('נתונים והנחות'!$F$40),IF(15&lt;=ROUND(1/(0.1*'נתונים והנחות'!$F$20),0),'נתונים והנחות'!$F$40*0.1*'נתונים והנחות'!$F$20,0),0)</f>
        <v/>
      </c>
      <c r="V29" s="52">
        <f>IF(ISNUMBER('נתונים והנחות'!$F$40),IF(16&lt;=ROUND(1/(0.1*'נתונים והנחות'!$F$20),0),'נתונים והנחות'!$F$40*0.1*'נתונים והנחות'!$F$20,0),0)</f>
        <v/>
      </c>
      <c r="W29" s="52">
        <f>IF(ISNUMBER('נתונים והנחות'!$F$40),IF(17&lt;=ROUND(1/(0.1*'נתונים והנחות'!$F$20),0),'נתונים והנחות'!$F$40*0.1*'נתונים והנחות'!$F$20,0),0)</f>
        <v/>
      </c>
      <c r="X29" s="52">
        <f>IF(ISNUMBER('נתונים והנחות'!$F$40),IF(18&lt;=ROUND(1/(0.1*'נתונים והנחות'!$F$20),0),'נתונים והנחות'!$F$40*0.1*'נתונים והנחות'!$F$20,0),0)</f>
        <v/>
      </c>
      <c r="Y29" s="52">
        <f>IF(ISNUMBER('נתונים והנחות'!$F$40),IF(19&lt;=ROUND(1/(0.1*'נתונים והנחות'!$F$20),0),'נתונים והנחות'!$F$40*0.1*'נתונים והנחות'!$F$20,0),0)</f>
        <v/>
      </c>
      <c r="Z29" s="52">
        <f>IF(ISNUMBER('נתונים והנחות'!$F$40),IF(20&lt;=ROUND(1/(0.1*'נתונים והנחות'!$F$20),0),'נתונים והנחות'!$F$40*0.1*'נתונים והנחות'!$F$20,0),0)</f>
        <v/>
      </c>
    </row>
    <row r="30">
      <c r="B30" s="8" t="inlineStr">
        <is>
          <t>מגן מס מואץ — משאבות חום — 40 kW</t>
        </is>
      </c>
      <c r="C30" s="10" t="inlineStr">
        <is>
          <t>₪</t>
        </is>
      </c>
      <c r="D30" s="10" t="inlineStr">
        <is>
          <t>חישוב</t>
        </is>
      </c>
      <c r="F30" s="52" t="n">
        <v>0</v>
      </c>
      <c r="G30" s="52">
        <f>G29*'נתונים והנחות'!$F$10</f>
        <v/>
      </c>
      <c r="H30" s="52">
        <f>H29*'נתונים והנחות'!$F$10</f>
        <v/>
      </c>
      <c r="I30" s="52">
        <f>I29*'נתונים והנחות'!$F$10</f>
        <v/>
      </c>
      <c r="J30" s="52">
        <f>J29*'נתונים והנחות'!$F$10</f>
        <v/>
      </c>
      <c r="K30" s="52">
        <f>K29*'נתונים והנחות'!$F$10</f>
        <v/>
      </c>
      <c r="L30" s="52">
        <f>L29*'נתונים והנחות'!$F$10</f>
        <v/>
      </c>
      <c r="M30" s="52">
        <f>M29*'נתונים והנחות'!$F$10</f>
        <v/>
      </c>
      <c r="N30" s="52">
        <f>N29*'נתונים והנחות'!$F$10</f>
        <v/>
      </c>
      <c r="O30" s="52">
        <f>O29*'נתונים והנחות'!$F$10</f>
        <v/>
      </c>
      <c r="P30" s="52">
        <f>P29*'נתונים והנחות'!$F$10</f>
        <v/>
      </c>
      <c r="Q30" s="52">
        <f>Q29*'נתונים והנחות'!$F$10</f>
        <v/>
      </c>
      <c r="R30" s="52">
        <f>R29*'נתונים והנחות'!$F$10</f>
        <v/>
      </c>
      <c r="S30" s="52">
        <f>S29*'נתונים והנחות'!$F$10</f>
        <v/>
      </c>
      <c r="T30" s="52">
        <f>T29*'נתונים והנחות'!$F$10</f>
        <v/>
      </c>
      <c r="U30" s="52">
        <f>U29*'נתונים והנחות'!$F$10</f>
        <v/>
      </c>
      <c r="V30" s="52">
        <f>V29*'נתונים והנחות'!$F$10</f>
        <v/>
      </c>
      <c r="W30" s="52">
        <f>W29*'נתונים והנחות'!$F$10</f>
        <v/>
      </c>
      <c r="X30" s="52">
        <f>X29*'נתונים והנחות'!$F$10</f>
        <v/>
      </c>
      <c r="Y30" s="52">
        <f>Y29*'נתונים והנחות'!$F$10</f>
        <v/>
      </c>
      <c r="Z30" s="52">
        <f>Z29*'נתונים והנחות'!$F$10</f>
        <v/>
      </c>
    </row>
    <row r="32">
      <c r="B32" s="49" t="inlineStr">
        <is>
          <t>ג. ניתוח תזרים מזומנים — שלושה תרחישים</t>
        </is>
      </c>
    </row>
    <row r="33">
      <c r="B33" s="23" t="inlineStr">
        <is>
          <t>פרמטר</t>
        </is>
      </c>
      <c r="C33" s="23" t="inlineStr">
        <is>
          <t>יחידות</t>
        </is>
      </c>
      <c r="D33" s="23" t="inlineStr">
        <is>
          <t>מקור</t>
        </is>
      </c>
      <c r="E33" s="23" t="inlineStr">
        <is>
          <t>הערות</t>
        </is>
      </c>
      <c r="F33" s="23" t="inlineStr">
        <is>
          <t>שנה 0 (השקעה)</t>
        </is>
      </c>
      <c r="G33" s="23" t="inlineStr">
        <is>
          <t>שנה 1</t>
        </is>
      </c>
      <c r="H33" s="23" t="inlineStr">
        <is>
          <t>שנה 2</t>
        </is>
      </c>
      <c r="I33" s="23" t="inlineStr">
        <is>
          <t>שנה 3</t>
        </is>
      </c>
      <c r="J33" s="23" t="inlineStr">
        <is>
          <t>שנה 4</t>
        </is>
      </c>
      <c r="K33" s="23" t="inlineStr">
        <is>
          <t>שנה 5</t>
        </is>
      </c>
      <c r="L33" s="23" t="inlineStr">
        <is>
          <t>שנה 6</t>
        </is>
      </c>
      <c r="M33" s="23" t="inlineStr">
        <is>
          <t>שנה 7</t>
        </is>
      </c>
      <c r="N33" s="23" t="inlineStr">
        <is>
          <t>שנה 8</t>
        </is>
      </c>
      <c r="O33" s="23" t="inlineStr">
        <is>
          <t>שנה 9</t>
        </is>
      </c>
      <c r="P33" s="23" t="inlineStr">
        <is>
          <t>שנה 10</t>
        </is>
      </c>
      <c r="Q33" s="23" t="inlineStr">
        <is>
          <t>שנה 11</t>
        </is>
      </c>
      <c r="R33" s="23" t="inlineStr">
        <is>
          <t>שנה 12</t>
        </is>
      </c>
      <c r="S33" s="23" t="inlineStr">
        <is>
          <t>שנה 13</t>
        </is>
      </c>
      <c r="T33" s="23" t="inlineStr">
        <is>
          <t>שנה 14</t>
        </is>
      </c>
      <c r="U33" s="23" t="inlineStr">
        <is>
          <t>שנה 15</t>
        </is>
      </c>
      <c r="V33" s="23" t="inlineStr">
        <is>
          <t>שנה 16</t>
        </is>
      </c>
      <c r="W33" s="23" t="inlineStr">
        <is>
          <t>שנה 17</t>
        </is>
      </c>
      <c r="X33" s="23" t="inlineStr">
        <is>
          <t>שנה 18</t>
        </is>
      </c>
      <c r="Y33" s="23" t="inlineStr">
        <is>
          <t>שנה 19</t>
        </is>
      </c>
      <c r="Z33" s="23" t="inlineStr">
        <is>
          <t>שנה 20</t>
        </is>
      </c>
    </row>
    <row r="34">
      <c r="B34" s="53" t="inlineStr">
        <is>
          <t>תרחיש A — רכישת תנור מזוט/סולר — 40 kW (ציוד קיים)</t>
        </is>
      </c>
    </row>
    <row r="35">
      <c r="B35" s="6" t="inlineStr">
        <is>
          <t>השקעה ראשונית</t>
        </is>
      </c>
      <c r="C35" s="10" t="inlineStr">
        <is>
          <t>₪</t>
        </is>
      </c>
      <c r="D35" s="10" t="inlineStr">
        <is>
          <t>חישוב</t>
        </is>
      </c>
      <c r="F35" s="50">
        <f>IF(ISNUMBER('נתונים והנחות'!$F$39),-'נתונים והנחות'!$F$39,"PENDING")</f>
        <v/>
      </c>
    </row>
    <row r="36">
      <c r="B36" s="6" t="inlineStr">
        <is>
          <t>OPEX אנרגיה/דלק</t>
        </is>
      </c>
      <c r="C36" s="10" t="inlineStr">
        <is>
          <t>₪</t>
        </is>
      </c>
      <c r="D36" s="10" t="inlineStr">
        <is>
          <t>חישוב</t>
        </is>
      </c>
      <c r="F36" s="50" t="n">
        <v>0</v>
      </c>
      <c r="G36" s="50">
        <f>IF(ISNUMBER('נתונים והנחות'!$F$47),-'נתונים והנחות'!$F$47,0)</f>
        <v/>
      </c>
      <c r="H36" s="50">
        <f>IF(ISNUMBER('נתונים והנחות'!$F$47),-'נתונים והנחות'!$F$47,0)</f>
        <v/>
      </c>
      <c r="I36" s="50">
        <f>IF(ISNUMBER('נתונים והנחות'!$F$47),-'נתונים והנחות'!$F$47,0)</f>
        <v/>
      </c>
      <c r="J36" s="50">
        <f>IF(ISNUMBER('נתונים והנחות'!$F$47),-'נתונים והנחות'!$F$47,0)</f>
        <v/>
      </c>
      <c r="K36" s="50">
        <f>IF(ISNUMBER('נתונים והנחות'!$F$47),-'נתונים והנחות'!$F$47,0)</f>
        <v/>
      </c>
      <c r="L36" s="50">
        <f>IF(ISNUMBER('נתונים והנחות'!$F$47),-'נתונים והנחות'!$F$47,0)</f>
        <v/>
      </c>
      <c r="M36" s="50">
        <f>IF(ISNUMBER('נתונים והנחות'!$F$47),-'נתונים והנחות'!$F$47,0)</f>
        <v/>
      </c>
      <c r="N36" s="50">
        <f>IF(ISNUMBER('נתונים והנחות'!$F$47),-'נתונים והנחות'!$F$47,0)</f>
        <v/>
      </c>
      <c r="O36" s="50">
        <f>IF(ISNUMBER('נתונים והנחות'!$F$47),-'נתונים והנחות'!$F$47,0)</f>
        <v/>
      </c>
      <c r="P36" s="50">
        <f>IF(ISNUMBER('נתונים והנחות'!$F$47),-'נתונים והנחות'!$F$47,0)</f>
        <v/>
      </c>
      <c r="Q36" s="50">
        <f>IF(ISNUMBER('נתונים והנחות'!$F$47),-'נתונים והנחות'!$F$47,0)</f>
        <v/>
      </c>
      <c r="R36" s="50">
        <f>IF(ISNUMBER('נתונים והנחות'!$F$47),-'נתונים והנחות'!$F$47,0)</f>
        <v/>
      </c>
      <c r="S36" s="50">
        <f>IF(ISNUMBER('נתונים והנחות'!$F$47),-'נתונים והנחות'!$F$47,0)</f>
        <v/>
      </c>
      <c r="T36" s="50">
        <f>IF(ISNUMBER('נתונים והנחות'!$F$47),-'נתונים והנחות'!$F$47,0)</f>
        <v/>
      </c>
      <c r="U36" s="50">
        <f>IF(ISNUMBER('נתונים והנחות'!$F$47),-'נתונים והנחות'!$F$47,0)</f>
        <v/>
      </c>
      <c r="V36" s="50">
        <f>0</f>
        <v/>
      </c>
      <c r="W36" s="50">
        <f>0</f>
        <v/>
      </c>
      <c r="X36" s="50">
        <f>0</f>
        <v/>
      </c>
      <c r="Y36" s="50">
        <f>0</f>
        <v/>
      </c>
      <c r="Z36" s="50">
        <f>0</f>
        <v/>
      </c>
    </row>
    <row r="37">
      <c r="B37" s="6" t="inlineStr">
        <is>
          <t>OPEX אחר</t>
        </is>
      </c>
      <c r="C37" s="10" t="inlineStr">
        <is>
          <t>₪</t>
        </is>
      </c>
      <c r="D37" s="10" t="inlineStr">
        <is>
          <t>חישוב</t>
        </is>
      </c>
      <c r="F37" s="50" t="n">
        <v>0</v>
      </c>
      <c r="G37" s="50">
        <f>IF(ISNUMBER('נתונים והנחות'!$F$45),-'נתונים והנחות'!$F$45,0)</f>
        <v/>
      </c>
      <c r="H37" s="50">
        <f>IF(ISNUMBER('נתונים והנחות'!$F$45),-'נתונים והנחות'!$F$45,0)</f>
        <v/>
      </c>
      <c r="I37" s="50">
        <f>IF(ISNUMBER('נתונים והנחות'!$F$45),-'נתונים והנחות'!$F$45,0)</f>
        <v/>
      </c>
      <c r="J37" s="50">
        <f>IF(ISNUMBER('נתונים והנחות'!$F$45),-'נתונים והנחות'!$F$45,0)</f>
        <v/>
      </c>
      <c r="K37" s="50">
        <f>IF(ISNUMBER('נתונים והנחות'!$F$45),-'נתונים והנחות'!$F$45,0)</f>
        <v/>
      </c>
      <c r="L37" s="50">
        <f>IF(ISNUMBER('נתונים והנחות'!$F$45),-'נתונים והנחות'!$F$45,0)</f>
        <v/>
      </c>
      <c r="M37" s="50">
        <f>IF(ISNUMBER('נתונים והנחות'!$F$45),-'נתונים והנחות'!$F$45,0)</f>
        <v/>
      </c>
      <c r="N37" s="50">
        <f>IF(ISNUMBER('נתונים והנחות'!$F$45),-'נתונים והנחות'!$F$45,0)</f>
        <v/>
      </c>
      <c r="O37" s="50">
        <f>IF(ISNUMBER('נתונים והנחות'!$F$45),-'נתונים והנחות'!$F$45,0)</f>
        <v/>
      </c>
      <c r="P37" s="50">
        <f>IF(ISNUMBER('נתונים והנחות'!$F$45),-'נתונים והנחות'!$F$45,0)</f>
        <v/>
      </c>
      <c r="Q37" s="50">
        <f>IF(ISNUMBER('נתונים והנחות'!$F$45),-'נתונים והנחות'!$F$45,0)</f>
        <v/>
      </c>
      <c r="R37" s="50">
        <f>IF(ISNUMBER('נתונים והנחות'!$F$45),-'נתונים והנחות'!$F$45,0)</f>
        <v/>
      </c>
      <c r="S37" s="50">
        <f>IF(ISNUMBER('נתונים והנחות'!$F$45),-'נתונים והנחות'!$F$45,0)</f>
        <v/>
      </c>
      <c r="T37" s="50">
        <f>IF(ISNUMBER('נתונים והנחות'!$F$45),-'נתונים והנחות'!$F$45,0)</f>
        <v/>
      </c>
      <c r="U37" s="50">
        <f>IF(ISNUMBER('נתונים והנחות'!$F$45),-'נתונים והנחות'!$F$45,0)</f>
        <v/>
      </c>
      <c r="V37" s="50">
        <f>0</f>
        <v/>
      </c>
      <c r="W37" s="50">
        <f>0</f>
        <v/>
      </c>
      <c r="X37" s="50">
        <f>0</f>
        <v/>
      </c>
      <c r="Y37" s="50">
        <f>0</f>
        <v/>
      </c>
      <c r="Z37" s="50">
        <f>0</f>
        <v/>
      </c>
    </row>
    <row r="38">
      <c r="B38" s="6" t="inlineStr">
        <is>
          <t>תזרים נקי — A</t>
        </is>
      </c>
      <c r="C38" s="10" t="inlineStr">
        <is>
          <t>₪</t>
        </is>
      </c>
      <c r="D38" s="10" t="inlineStr">
        <is>
          <t>חישוב</t>
        </is>
      </c>
      <c r="F38" s="50">
        <f>F35</f>
        <v/>
      </c>
      <c r="G38" s="50">
        <f>G36+G37+G26</f>
        <v/>
      </c>
      <c r="H38" s="50">
        <f>H36+H37+H26</f>
        <v/>
      </c>
      <c r="I38" s="50">
        <f>I36+I37+I26</f>
        <v/>
      </c>
      <c r="J38" s="50">
        <f>J36+J37+J26</f>
        <v/>
      </c>
      <c r="K38" s="50">
        <f>K36+K37+K26</f>
        <v/>
      </c>
      <c r="L38" s="50">
        <f>L36+L37+L26</f>
        <v/>
      </c>
      <c r="M38" s="50">
        <f>M36+M37+M26</f>
        <v/>
      </c>
      <c r="N38" s="50">
        <f>N36+N37+N26</f>
        <v/>
      </c>
      <c r="O38" s="50">
        <f>O36+O37+O26</f>
        <v/>
      </c>
      <c r="P38" s="50">
        <f>P36+P37+P26</f>
        <v/>
      </c>
      <c r="Q38" s="50">
        <f>Q36+Q37+Q26</f>
        <v/>
      </c>
      <c r="R38" s="50">
        <f>R36+R37+R26</f>
        <v/>
      </c>
      <c r="S38" s="50">
        <f>S36+S37+S26</f>
        <v/>
      </c>
      <c r="T38" s="50">
        <f>T36+T37+T26</f>
        <v/>
      </c>
      <c r="U38" s="50">
        <f>U36+U37+U26</f>
        <v/>
      </c>
      <c r="V38" s="50">
        <f>V36+V37+V26</f>
        <v/>
      </c>
      <c r="W38" s="50">
        <f>W36+W37+W26</f>
        <v/>
      </c>
      <c r="X38" s="50">
        <f>X36+X37+X26</f>
        <v/>
      </c>
      <c r="Y38" s="50">
        <f>Y36+Y37+Y26</f>
        <v/>
      </c>
      <c r="Z38" s="50">
        <f>Z36+Z37+Z26</f>
        <v/>
      </c>
    </row>
    <row r="39">
      <c r="B39" s="6" t="inlineStr">
        <is>
          <t>תזרים מהוון — A</t>
        </is>
      </c>
      <c r="C39" s="10" t="inlineStr">
        <is>
          <t>₪</t>
        </is>
      </c>
      <c r="D39" s="10" t="inlineStr">
        <is>
          <t>חישוב</t>
        </is>
      </c>
      <c r="F39" s="50">
        <f>F38</f>
        <v/>
      </c>
      <c r="G39" s="50">
        <f>G38/(1+'נתונים והנחות'!$F$11)^1</f>
        <v/>
      </c>
      <c r="H39" s="50">
        <f>H38/(1+'נתונים והנחות'!$F$11)^2</f>
        <v/>
      </c>
      <c r="I39" s="50">
        <f>I38/(1+'נתונים והנחות'!$F$11)^3</f>
        <v/>
      </c>
      <c r="J39" s="50">
        <f>J38/(1+'נתונים והנחות'!$F$11)^4</f>
        <v/>
      </c>
      <c r="K39" s="50">
        <f>K38/(1+'נתונים והנחות'!$F$11)^5</f>
        <v/>
      </c>
      <c r="L39" s="50">
        <f>L38/(1+'נתונים והנחות'!$F$11)^6</f>
        <v/>
      </c>
      <c r="M39" s="50">
        <f>M38/(1+'נתונים והנחות'!$F$11)^7</f>
        <v/>
      </c>
      <c r="N39" s="50">
        <f>N38/(1+'נתונים והנחות'!$F$11)^8</f>
        <v/>
      </c>
      <c r="O39" s="50">
        <f>O38/(1+'נתונים והנחות'!$F$11)^9</f>
        <v/>
      </c>
      <c r="P39" s="50">
        <f>P38/(1+'נתונים והנחות'!$F$11)^10</f>
        <v/>
      </c>
      <c r="Q39" s="50">
        <f>Q38/(1+'נתונים והנחות'!$F$11)^11</f>
        <v/>
      </c>
      <c r="R39" s="50">
        <f>R38/(1+'נתונים והנחות'!$F$11)^12</f>
        <v/>
      </c>
      <c r="S39" s="50">
        <f>S38/(1+'נתונים והנחות'!$F$11)^13</f>
        <v/>
      </c>
      <c r="T39" s="50">
        <f>T38/(1+'נתונים והנחות'!$F$11)^14</f>
        <v/>
      </c>
      <c r="U39" s="50">
        <f>U38/(1+'נתונים והנחות'!$F$11)^15</f>
        <v/>
      </c>
      <c r="V39" s="50">
        <f>V38/(1+'נתונים והנחות'!$F$11)^16</f>
        <v/>
      </c>
      <c r="W39" s="50">
        <f>W38/(1+'נתונים והנחות'!$F$11)^17</f>
        <v/>
      </c>
      <c r="X39" s="50">
        <f>X38/(1+'נתונים והנחות'!$F$11)^18</f>
        <v/>
      </c>
      <c r="Y39" s="50">
        <f>Y38/(1+'נתונים והנחות'!$F$11)^19</f>
        <v/>
      </c>
      <c r="Z39" s="50">
        <f>Z38/(1+'נתונים והנחות'!$F$11)^20</f>
        <v/>
      </c>
    </row>
    <row r="41">
      <c r="B41" s="54" t="inlineStr">
        <is>
          <t>תרחיש B — רכישת משאבות חום — 40 kW | פחת סטנדרטי (ללא תמריץ)</t>
        </is>
      </c>
    </row>
    <row r="42">
      <c r="B42" s="7" t="inlineStr">
        <is>
          <t>השקעה ראשונית</t>
        </is>
      </c>
      <c r="C42" s="10" t="inlineStr">
        <is>
          <t>₪</t>
        </is>
      </c>
      <c r="D42" s="10" t="inlineStr">
        <is>
          <t>חישוב</t>
        </is>
      </c>
      <c r="F42" s="51">
        <f>IF(ISNUMBER('נתונים והנחות'!$F$40),-'נתונים והנחות'!$F$40,"PENDING")</f>
        <v/>
      </c>
    </row>
    <row r="43">
      <c r="B43" s="7" t="inlineStr">
        <is>
          <t>OPEX אנרגיה (עם שחיקה)</t>
        </is>
      </c>
      <c r="C43" s="10" t="inlineStr">
        <is>
          <t>₪</t>
        </is>
      </c>
      <c r="D43" s="10" t="inlineStr">
        <is>
          <t>חישוב</t>
        </is>
      </c>
      <c r="F43" s="51" t="n">
        <v>0</v>
      </c>
      <c r="G43" s="51">
        <f>IF(ISNUMBER('נתונים והנחות'!$F$48),-'נתונים והנחות'!$F$48*(1-0.005)^0,0)</f>
        <v/>
      </c>
      <c r="H43" s="51">
        <f>IF(ISNUMBER('נתונים והנחות'!$F$48),-'נתונים והנחות'!$F$48*(1-0.005)^1,0)</f>
        <v/>
      </c>
      <c r="I43" s="51">
        <f>IF(ISNUMBER('נתונים והנחות'!$F$48),-'נתונים והנחות'!$F$48*(1-0.005)^2,0)</f>
        <v/>
      </c>
      <c r="J43" s="51">
        <f>IF(ISNUMBER('נתונים והנחות'!$F$48),-'נתונים והנחות'!$F$48*(1-0.005)^3,0)</f>
        <v/>
      </c>
      <c r="K43" s="51">
        <f>IF(ISNUMBER('נתונים והנחות'!$F$48),-'נתונים והנחות'!$F$48*(1-0.005)^4,0)</f>
        <v/>
      </c>
      <c r="L43" s="51">
        <f>IF(ISNUMBER('נתונים והנחות'!$F$48),-'נתונים והנחות'!$F$48*(1-0.005)^5,0)</f>
        <v/>
      </c>
      <c r="M43" s="51">
        <f>IF(ISNUMBER('נתונים והנחות'!$F$48),-'נתונים והנחות'!$F$48*(1-0.005)^6,0)</f>
        <v/>
      </c>
      <c r="N43" s="51">
        <f>IF(ISNUMBER('נתונים והנחות'!$F$48),-'נתונים והנחות'!$F$48*(1-0.005)^7,0)</f>
        <v/>
      </c>
      <c r="O43" s="51">
        <f>IF(ISNUMBER('נתונים והנחות'!$F$48),-'נתונים והנחות'!$F$48*(1-0.005)^8,0)</f>
        <v/>
      </c>
      <c r="P43" s="51">
        <f>IF(ISNUMBER('נתונים והנחות'!$F$48),-'נתונים והנחות'!$F$48*(1-0.005)^9,0)</f>
        <v/>
      </c>
      <c r="Q43" s="51">
        <f>0</f>
        <v/>
      </c>
      <c r="R43" s="51">
        <f>0</f>
        <v/>
      </c>
      <c r="S43" s="51">
        <f>0</f>
        <v/>
      </c>
      <c r="T43" s="51">
        <f>0</f>
        <v/>
      </c>
      <c r="U43" s="51">
        <f>0</f>
        <v/>
      </c>
      <c r="V43" s="51">
        <f>0</f>
        <v/>
      </c>
      <c r="W43" s="51">
        <f>0</f>
        <v/>
      </c>
      <c r="X43" s="51">
        <f>0</f>
        <v/>
      </c>
      <c r="Y43" s="51">
        <f>0</f>
        <v/>
      </c>
      <c r="Z43" s="51">
        <f>0</f>
        <v/>
      </c>
    </row>
    <row r="44">
      <c r="B44" s="7" t="inlineStr">
        <is>
          <t>OPEX אחר</t>
        </is>
      </c>
      <c r="C44" s="10" t="inlineStr">
        <is>
          <t>₪</t>
        </is>
      </c>
      <c r="D44" s="10" t="inlineStr">
        <is>
          <t>חישוב</t>
        </is>
      </c>
      <c r="F44" s="51" t="n">
        <v>0</v>
      </c>
      <c r="G44" s="51">
        <f>IF(ISNUMBER('נתונים והנחות'!$F$46),-'נתונים והנחות'!$F$46,0)</f>
        <v/>
      </c>
      <c r="H44" s="51">
        <f>IF(ISNUMBER('נתונים והנחות'!$F$46),-'נתונים והנחות'!$F$46,0)</f>
        <v/>
      </c>
      <c r="I44" s="51">
        <f>IF(ISNUMBER('נתונים והנחות'!$F$46),-'נתונים והנחות'!$F$46,0)</f>
        <v/>
      </c>
      <c r="J44" s="51">
        <f>IF(ISNUMBER('נתונים והנחות'!$F$46),-'נתונים והנחות'!$F$46,0)</f>
        <v/>
      </c>
      <c r="K44" s="51">
        <f>IF(ISNUMBER('נתונים והנחות'!$F$46),-'נתונים והנחות'!$F$46,0)</f>
        <v/>
      </c>
      <c r="L44" s="51">
        <f>IF(ISNUMBER('נתונים והנחות'!$F$46),-'נתונים והנחות'!$F$46,0)</f>
        <v/>
      </c>
      <c r="M44" s="51">
        <f>IF(ISNUMBER('נתונים והנחות'!$F$46),-'נתונים והנחות'!$F$46,0)</f>
        <v/>
      </c>
      <c r="N44" s="51">
        <f>IF(ISNUMBER('נתונים והנחות'!$F$46),-'נתונים והנחות'!$F$46,0)</f>
        <v/>
      </c>
      <c r="O44" s="51">
        <f>IF(ISNUMBER('נתונים והנחות'!$F$46),-'נתונים והנחות'!$F$46,0)</f>
        <v/>
      </c>
      <c r="P44" s="51">
        <f>IF(ISNUMBER('נתונים והנחות'!$F$46),-'נתונים והנחות'!$F$46,0)</f>
        <v/>
      </c>
      <c r="Q44" s="51">
        <f>0</f>
        <v/>
      </c>
      <c r="R44" s="51">
        <f>0</f>
        <v/>
      </c>
      <c r="S44" s="51">
        <f>0</f>
        <v/>
      </c>
      <c r="T44" s="51">
        <f>0</f>
        <v/>
      </c>
      <c r="U44" s="51">
        <f>0</f>
        <v/>
      </c>
      <c r="V44" s="51">
        <f>0</f>
        <v/>
      </c>
      <c r="W44" s="51">
        <f>0</f>
        <v/>
      </c>
      <c r="X44" s="51">
        <f>0</f>
        <v/>
      </c>
      <c r="Y44" s="51">
        <f>0</f>
        <v/>
      </c>
      <c r="Z44" s="51">
        <f>0</f>
        <v/>
      </c>
    </row>
    <row r="45">
      <c r="B45" s="7" t="inlineStr">
        <is>
          <t>תזרים נקי — B</t>
        </is>
      </c>
      <c r="C45" s="10" t="inlineStr">
        <is>
          <t>₪</t>
        </is>
      </c>
      <c r="D45" s="10" t="inlineStr">
        <is>
          <t>חישוב</t>
        </is>
      </c>
      <c r="F45" s="51">
        <f>F42</f>
        <v/>
      </c>
      <c r="G45" s="51">
        <f>G43+G44+G28</f>
        <v/>
      </c>
      <c r="H45" s="51">
        <f>H43+H44+H28</f>
        <v/>
      </c>
      <c r="I45" s="51">
        <f>I43+I44+I28</f>
        <v/>
      </c>
      <c r="J45" s="51">
        <f>J43+J44+J28</f>
        <v/>
      </c>
      <c r="K45" s="51">
        <f>K43+K44+K28</f>
        <v/>
      </c>
      <c r="L45" s="51">
        <f>L43+L44+L28</f>
        <v/>
      </c>
      <c r="M45" s="51">
        <f>M43+M44+M28</f>
        <v/>
      </c>
      <c r="N45" s="51">
        <f>N43+N44+N28</f>
        <v/>
      </c>
      <c r="O45" s="51">
        <f>O43+O44+O28</f>
        <v/>
      </c>
      <c r="P45" s="51">
        <f>P43+P44+P28</f>
        <v/>
      </c>
      <c r="Q45" s="51">
        <f>Q43+Q44+Q28</f>
        <v/>
      </c>
      <c r="R45" s="51">
        <f>R43+R44+R28</f>
        <v/>
      </c>
      <c r="S45" s="51">
        <f>S43+S44+S28</f>
        <v/>
      </c>
      <c r="T45" s="51">
        <f>T43+T44+T28</f>
        <v/>
      </c>
      <c r="U45" s="51">
        <f>U43+U44+U28</f>
        <v/>
      </c>
      <c r="V45" s="51">
        <f>V43+V44+V28</f>
        <v/>
      </c>
      <c r="W45" s="51">
        <f>W43+W44+W28</f>
        <v/>
      </c>
      <c r="X45" s="51">
        <f>X43+X44+X28</f>
        <v/>
      </c>
      <c r="Y45" s="51">
        <f>Y43+Y44+Y28</f>
        <v/>
      </c>
      <c r="Z45" s="51">
        <f>Z43+Z44+Z28</f>
        <v/>
      </c>
    </row>
    <row r="46">
      <c r="B46" s="7" t="inlineStr">
        <is>
          <t>תזרים מהוון — B</t>
        </is>
      </c>
      <c r="C46" s="10" t="inlineStr">
        <is>
          <t>₪</t>
        </is>
      </c>
      <c r="D46" s="10" t="inlineStr">
        <is>
          <t>חישוב</t>
        </is>
      </c>
      <c r="F46" s="51">
        <f>F45</f>
        <v/>
      </c>
      <c r="G46" s="51">
        <f>G45/(1+'נתונים והנחות'!$F$11)^1</f>
        <v/>
      </c>
      <c r="H46" s="51">
        <f>H45/(1+'נתונים והנחות'!$F$11)^2</f>
        <v/>
      </c>
      <c r="I46" s="51">
        <f>I45/(1+'נתונים והנחות'!$F$11)^3</f>
        <v/>
      </c>
      <c r="J46" s="51">
        <f>J45/(1+'נתונים והנחות'!$F$11)^4</f>
        <v/>
      </c>
      <c r="K46" s="51">
        <f>K45/(1+'נתונים והנחות'!$F$11)^5</f>
        <v/>
      </c>
      <c r="L46" s="51">
        <f>L45/(1+'נתונים והנחות'!$F$11)^6</f>
        <v/>
      </c>
      <c r="M46" s="51">
        <f>M45/(1+'נתונים והנחות'!$F$11)^7</f>
        <v/>
      </c>
      <c r="N46" s="51">
        <f>N45/(1+'נתונים והנחות'!$F$11)^8</f>
        <v/>
      </c>
      <c r="O46" s="51">
        <f>O45/(1+'נתונים והנחות'!$F$11)^9</f>
        <v/>
      </c>
      <c r="P46" s="51">
        <f>P45/(1+'נתונים והנחות'!$F$11)^10</f>
        <v/>
      </c>
      <c r="Q46" s="51">
        <f>Q45/(1+'נתונים והנחות'!$F$11)^11</f>
        <v/>
      </c>
      <c r="R46" s="51">
        <f>R45/(1+'נתונים והנחות'!$F$11)^12</f>
        <v/>
      </c>
      <c r="S46" s="51">
        <f>S45/(1+'נתונים והנחות'!$F$11)^13</f>
        <v/>
      </c>
      <c r="T46" s="51">
        <f>T45/(1+'נתונים והנחות'!$F$11)^14</f>
        <v/>
      </c>
      <c r="U46" s="51">
        <f>U45/(1+'נתונים והנחות'!$F$11)^15</f>
        <v/>
      </c>
      <c r="V46" s="51">
        <f>V45/(1+'נתונים והנחות'!$F$11)^16</f>
        <v/>
      </c>
      <c r="W46" s="51">
        <f>W45/(1+'נתונים והנחות'!$F$11)^17</f>
        <v/>
      </c>
      <c r="X46" s="51">
        <f>X45/(1+'נתונים והנחות'!$F$11)^18</f>
        <v/>
      </c>
      <c r="Y46" s="51">
        <f>Y45/(1+'נתונים והנחות'!$F$11)^19</f>
        <v/>
      </c>
      <c r="Z46" s="51">
        <f>Z45/(1+'נתונים והנחות'!$F$11)^20</f>
        <v/>
      </c>
    </row>
    <row r="48">
      <c r="B48" s="55" t="inlineStr">
        <is>
          <t>תרחיש C — רכישת משאבות חום — 40 kW | פחת מואץ (עם תמריץ)</t>
        </is>
      </c>
    </row>
    <row r="49">
      <c r="B49" s="48" t="inlineStr">
        <is>
          <t>* OPEX זהה ל-B — ההבדל הוא מגן המס המואץ בלבד</t>
        </is>
      </c>
    </row>
    <row r="50">
      <c r="B50" s="8" t="inlineStr">
        <is>
          <t>תזרים נקי — C</t>
        </is>
      </c>
      <c r="C50" s="10" t="inlineStr">
        <is>
          <t>₪</t>
        </is>
      </c>
      <c r="D50" s="10" t="inlineStr">
        <is>
          <t>חישוב</t>
        </is>
      </c>
      <c r="F50" s="52">
        <f>F42</f>
        <v/>
      </c>
      <c r="G50" s="52">
        <f>G43+G44+G30</f>
        <v/>
      </c>
      <c r="H50" s="52">
        <f>H43+H44+H30</f>
        <v/>
      </c>
      <c r="I50" s="52">
        <f>I43+I44+I30</f>
        <v/>
      </c>
      <c r="J50" s="52">
        <f>J43+J44+J30</f>
        <v/>
      </c>
      <c r="K50" s="52">
        <f>K43+K44+K30</f>
        <v/>
      </c>
      <c r="L50" s="52">
        <f>L43+L44+L30</f>
        <v/>
      </c>
      <c r="M50" s="52">
        <f>M43+M44+M30</f>
        <v/>
      </c>
      <c r="N50" s="52">
        <f>N43+N44+N30</f>
        <v/>
      </c>
      <c r="O50" s="52">
        <f>O43+O44+O30</f>
        <v/>
      </c>
      <c r="P50" s="52">
        <f>P43+P44+P30</f>
        <v/>
      </c>
      <c r="Q50" s="52">
        <f>Q43+Q44+Q30</f>
        <v/>
      </c>
      <c r="R50" s="52">
        <f>R43+R44+R30</f>
        <v/>
      </c>
      <c r="S50" s="52">
        <f>S43+S44+S30</f>
        <v/>
      </c>
      <c r="T50" s="52">
        <f>T43+T44+T30</f>
        <v/>
      </c>
      <c r="U50" s="52">
        <f>U43+U44+U30</f>
        <v/>
      </c>
      <c r="V50" s="52">
        <f>V43+V44+V30</f>
        <v/>
      </c>
      <c r="W50" s="52">
        <f>W43+W44+W30</f>
        <v/>
      </c>
      <c r="X50" s="52">
        <f>X43+X44+X30</f>
        <v/>
      </c>
      <c r="Y50" s="52">
        <f>Y43+Y44+Y30</f>
        <v/>
      </c>
      <c r="Z50" s="52">
        <f>Z43+Z44+Z30</f>
        <v/>
      </c>
    </row>
    <row r="51">
      <c r="B51" s="8" t="inlineStr">
        <is>
          <t>תזרים מהוון — C</t>
        </is>
      </c>
      <c r="C51" s="10" t="inlineStr">
        <is>
          <t>₪</t>
        </is>
      </c>
      <c r="D51" s="10" t="inlineStr">
        <is>
          <t>חישוב</t>
        </is>
      </c>
      <c r="F51" s="52">
        <f>F50</f>
        <v/>
      </c>
      <c r="G51" s="52">
        <f>G50/(1+'נתונים והנחות'!$F$11)^1</f>
        <v/>
      </c>
      <c r="H51" s="52">
        <f>H50/(1+'נתונים והנחות'!$F$11)^2</f>
        <v/>
      </c>
      <c r="I51" s="52">
        <f>I50/(1+'נתונים והנחות'!$F$11)^3</f>
        <v/>
      </c>
      <c r="J51" s="52">
        <f>J50/(1+'נתונים והנחות'!$F$11)^4</f>
        <v/>
      </c>
      <c r="K51" s="52">
        <f>K50/(1+'נתונים והנחות'!$F$11)^5</f>
        <v/>
      </c>
      <c r="L51" s="52">
        <f>L50/(1+'נתונים והנחות'!$F$11)^6</f>
        <v/>
      </c>
      <c r="M51" s="52">
        <f>M50/(1+'נתונים והנחות'!$F$11)^7</f>
        <v/>
      </c>
      <c r="N51" s="52">
        <f>N50/(1+'נתונים והנחות'!$F$11)^8</f>
        <v/>
      </c>
      <c r="O51" s="52">
        <f>O50/(1+'נתונים והנחות'!$F$11)^9</f>
        <v/>
      </c>
      <c r="P51" s="52">
        <f>P50/(1+'נתונים והנחות'!$F$11)^10</f>
        <v/>
      </c>
      <c r="Q51" s="52">
        <f>Q50/(1+'נתונים והנחות'!$F$11)^11</f>
        <v/>
      </c>
      <c r="R51" s="52">
        <f>R50/(1+'נתונים והנחות'!$F$11)^12</f>
        <v/>
      </c>
      <c r="S51" s="52">
        <f>S50/(1+'נתונים והנחות'!$F$11)^13</f>
        <v/>
      </c>
      <c r="T51" s="52">
        <f>T50/(1+'נתונים והנחות'!$F$11)^14</f>
        <v/>
      </c>
      <c r="U51" s="52">
        <f>U50/(1+'נתונים והנחות'!$F$11)^15</f>
        <v/>
      </c>
      <c r="V51" s="52">
        <f>V50/(1+'נתונים והנחות'!$F$11)^16</f>
        <v/>
      </c>
      <c r="W51" s="52">
        <f>W50/(1+'נתונים והנחות'!$F$11)^17</f>
        <v/>
      </c>
      <c r="X51" s="52">
        <f>X50/(1+'נתונים והנחות'!$F$11)^18</f>
        <v/>
      </c>
      <c r="Y51" s="52">
        <f>Y50/(1+'נתונים והנחות'!$F$11)^19</f>
        <v/>
      </c>
      <c r="Z51" s="52">
        <f>Z50/(1+'נתונים והנחות'!$F$11)^20</f>
        <v/>
      </c>
    </row>
    <row r="53">
      <c r="B53" s="49" t="inlineStr">
        <is>
          <t>ד. תוצאות — NPV</t>
        </is>
      </c>
    </row>
    <row r="54">
      <c r="B54" s="56" t="inlineStr">
        <is>
          <t>NPV — תרחיש A (תנור מזוט/סולר — 40 kW)</t>
        </is>
      </c>
      <c r="C54" s="10" t="inlineStr">
        <is>
          <t>ש"ח</t>
        </is>
      </c>
      <c r="F54" s="50">
        <f>SUM(F39:Z39)</f>
        <v/>
      </c>
    </row>
    <row r="55">
      <c r="B55" s="57" t="inlineStr">
        <is>
          <t>NPV — תרחיש B (משאבות חום — 40 kW, ללא תמריץ)</t>
        </is>
      </c>
      <c r="C55" s="10" t="inlineStr">
        <is>
          <t>ש"ח</t>
        </is>
      </c>
      <c r="F55" s="51">
        <f>SUM(F46:Z46)</f>
        <v/>
      </c>
    </row>
    <row r="56">
      <c r="B56" s="58" t="inlineStr">
        <is>
          <t>NPV — תרחיש C (משאבות חום — 40 kW, עם תמריץ)</t>
        </is>
      </c>
      <c r="C56" s="10" t="inlineStr">
        <is>
          <t>ש"ח</t>
        </is>
      </c>
      <c r="F56" s="52">
        <f>SUM(F51:Z51)</f>
        <v/>
      </c>
    </row>
    <row r="58">
      <c r="B58" s="59" t="inlineStr">
        <is>
          <t>NPV מצטבר — הצדקת השדרוג (B−A)</t>
        </is>
      </c>
      <c r="C58" s="10" t="inlineStr">
        <is>
          <t>ש"ח</t>
        </is>
      </c>
      <c r="F58" s="60">
        <f>F55-F54</f>
        <v/>
      </c>
    </row>
    <row r="59">
      <c r="B59" s="61" t="inlineStr">
        <is>
          <t>ערך התמריץ — תועלת הפחת המואץ (C−B)</t>
        </is>
      </c>
      <c r="C59" s="10" t="inlineStr">
        <is>
          <t>ש"ח</t>
        </is>
      </c>
      <c r="F59" s="62">
        <f>F56-F55</f>
        <v/>
      </c>
    </row>
    <row r="63">
      <c r="B63" s="47" t="inlineStr">
        <is>
          <t>3.1ב  משאבות חום — 70 kW</t>
        </is>
      </c>
    </row>
    <row r="64">
      <c r="B64" s="48" t="inlineStr">
        <is>
          <t>* מול תנור מזוט/סולר — 70 kW | נתונים: גיליון 'נתונים והנחות' סעיף 4</t>
        </is>
      </c>
    </row>
    <row r="65">
      <c r="B65" s="49" t="inlineStr">
        <is>
          <t>ב. לוחות פחת (ציוד בסיסי vs. יעיל)</t>
        </is>
      </c>
    </row>
    <row r="66">
      <c r="B66" s="23" t="inlineStr">
        <is>
          <t>פרמטר</t>
        </is>
      </c>
      <c r="C66" s="23" t="inlineStr">
        <is>
          <t>יחידות</t>
        </is>
      </c>
      <c r="D66" s="23" t="inlineStr">
        <is>
          <t>מקור</t>
        </is>
      </c>
      <c r="E66" s="23" t="inlineStr">
        <is>
          <t>הערות</t>
        </is>
      </c>
      <c r="F66" s="23" t="inlineStr">
        <is>
          <t>שנה 0 (השקעה)</t>
        </is>
      </c>
      <c r="G66" s="23" t="inlineStr">
        <is>
          <t>שנה 1</t>
        </is>
      </c>
      <c r="H66" s="23" t="inlineStr">
        <is>
          <t>שנה 2</t>
        </is>
      </c>
      <c r="I66" s="23" t="inlineStr">
        <is>
          <t>שנה 3</t>
        </is>
      </c>
      <c r="J66" s="23" t="inlineStr">
        <is>
          <t>שנה 4</t>
        </is>
      </c>
      <c r="K66" s="23" t="inlineStr">
        <is>
          <t>שנה 5</t>
        </is>
      </c>
      <c r="L66" s="23" t="inlineStr">
        <is>
          <t>שנה 6</t>
        </is>
      </c>
      <c r="M66" s="23" t="inlineStr">
        <is>
          <t>שנה 7</t>
        </is>
      </c>
      <c r="N66" s="23" t="inlineStr">
        <is>
          <t>שנה 8</t>
        </is>
      </c>
      <c r="O66" s="23" t="inlineStr">
        <is>
          <t>שנה 9</t>
        </is>
      </c>
      <c r="P66" s="23" t="inlineStr">
        <is>
          <t>שנה 10</t>
        </is>
      </c>
      <c r="Q66" s="23" t="inlineStr">
        <is>
          <t>שנה 11</t>
        </is>
      </c>
      <c r="R66" s="23" t="inlineStr">
        <is>
          <t>שנה 12</t>
        </is>
      </c>
      <c r="S66" s="23" t="inlineStr">
        <is>
          <t>שנה 13</t>
        </is>
      </c>
      <c r="T66" s="23" t="inlineStr">
        <is>
          <t>שנה 14</t>
        </is>
      </c>
      <c r="U66" s="23" t="inlineStr">
        <is>
          <t>שנה 15</t>
        </is>
      </c>
      <c r="V66" s="23" t="inlineStr">
        <is>
          <t>שנה 16</t>
        </is>
      </c>
      <c r="W66" s="23" t="inlineStr">
        <is>
          <t>שנה 17</t>
        </is>
      </c>
      <c r="X66" s="23" t="inlineStr">
        <is>
          <t>שנה 18</t>
        </is>
      </c>
      <c r="Y66" s="23" t="inlineStr">
        <is>
          <t>שנה 19</t>
        </is>
      </c>
      <c r="Z66" s="23" t="inlineStr">
        <is>
          <t>שנה 20</t>
        </is>
      </c>
    </row>
    <row r="67">
      <c r="B67" s="6" t="inlineStr">
        <is>
          <t>פחת סטנדרטי — תנור מזוט/סולר — 70 kW</t>
        </is>
      </c>
      <c r="C67" s="10" t="inlineStr">
        <is>
          <t>₪</t>
        </is>
      </c>
      <c r="D67" s="10" t="inlineStr">
        <is>
          <t>חישוב</t>
        </is>
      </c>
      <c r="F67" s="50" t="n">
        <v>0</v>
      </c>
      <c r="G67" s="50">
        <f>IF(ISNUMBER('נתונים והנחות'!$G$39),'נתונים והנחות'!$G$39*0.1,0)</f>
        <v/>
      </c>
      <c r="H67" s="50">
        <f>IF(ISNUMBER('נתונים והנחות'!$G$39),'נתונים והנחות'!$G$39*0.1,0)</f>
        <v/>
      </c>
      <c r="I67" s="50">
        <f>IF(ISNUMBER('נתונים והנחות'!$G$39),'נתונים והנחות'!$G$39*0.1,0)</f>
        <v/>
      </c>
      <c r="J67" s="50">
        <f>IF(ISNUMBER('נתונים והנחות'!$G$39),'נתונים והנחות'!$G$39*0.1,0)</f>
        <v/>
      </c>
      <c r="K67" s="50">
        <f>IF(ISNUMBER('נתונים והנחות'!$G$39),'נתונים והנחות'!$G$39*0.1,0)</f>
        <v/>
      </c>
      <c r="L67" s="50">
        <f>IF(ISNUMBER('נתונים והנחות'!$G$39),'נתונים והנחות'!$G$39*0.1,0)</f>
        <v/>
      </c>
      <c r="M67" s="50">
        <f>IF(ISNUMBER('נתונים והנחות'!$G$39),'נתונים והנחות'!$G$39*0.1,0)</f>
        <v/>
      </c>
      <c r="N67" s="50">
        <f>IF(ISNUMBER('נתונים והנחות'!$G$39),'נתונים והנחות'!$G$39*0.1,0)</f>
        <v/>
      </c>
      <c r="O67" s="50">
        <f>IF(ISNUMBER('נתונים והנחות'!$G$39),'נתונים והנחות'!$G$39*0.1,0)</f>
        <v/>
      </c>
      <c r="P67" s="50">
        <f>IF(ISNUMBER('נתונים והנחות'!$G$39),'נתונים והנחות'!$G$39*0.1,0)</f>
        <v/>
      </c>
      <c r="Q67" s="50">
        <f>0</f>
        <v/>
      </c>
      <c r="R67" s="50">
        <f>0</f>
        <v/>
      </c>
      <c r="S67" s="50">
        <f>0</f>
        <v/>
      </c>
      <c r="T67" s="50">
        <f>0</f>
        <v/>
      </c>
      <c r="U67" s="50">
        <f>0</f>
        <v/>
      </c>
      <c r="V67" s="50">
        <f>0</f>
        <v/>
      </c>
      <c r="W67" s="50">
        <f>0</f>
        <v/>
      </c>
      <c r="X67" s="50">
        <f>0</f>
        <v/>
      </c>
      <c r="Y67" s="50">
        <f>0</f>
        <v/>
      </c>
      <c r="Z67" s="50">
        <f>0</f>
        <v/>
      </c>
    </row>
    <row r="68">
      <c r="B68" s="6" t="inlineStr">
        <is>
          <t>מגן מס — תנור מזוט/סולר — 70 kW</t>
        </is>
      </c>
      <c r="C68" s="10" t="inlineStr">
        <is>
          <t>₪</t>
        </is>
      </c>
      <c r="D68" s="10" t="inlineStr">
        <is>
          <t>חישוב</t>
        </is>
      </c>
      <c r="F68" s="50" t="n">
        <v>0</v>
      </c>
      <c r="G68" s="50">
        <f>G67*'נתונים והנחות'!$F$10</f>
        <v/>
      </c>
      <c r="H68" s="50">
        <f>H67*'נתונים והנחות'!$F$10</f>
        <v/>
      </c>
      <c r="I68" s="50">
        <f>I67*'נתונים והנחות'!$F$10</f>
        <v/>
      </c>
      <c r="J68" s="50">
        <f>J67*'נתונים והנחות'!$F$10</f>
        <v/>
      </c>
      <c r="K68" s="50">
        <f>K67*'נתונים והנחות'!$F$10</f>
        <v/>
      </c>
      <c r="L68" s="50">
        <f>L67*'נתונים והנחות'!$F$10</f>
        <v/>
      </c>
      <c r="M68" s="50">
        <f>M67*'נתונים והנחות'!$F$10</f>
        <v/>
      </c>
      <c r="N68" s="50">
        <f>N67*'נתונים והנחות'!$F$10</f>
        <v/>
      </c>
      <c r="O68" s="50">
        <f>O67*'נתונים והנחות'!$F$10</f>
        <v/>
      </c>
      <c r="P68" s="50">
        <f>P67*'נתונים והנחות'!$F$10</f>
        <v/>
      </c>
      <c r="Q68" s="50">
        <f>Q67*'נתונים והנחות'!$F$10</f>
        <v/>
      </c>
      <c r="R68" s="50">
        <f>R67*'נתונים והנחות'!$F$10</f>
        <v/>
      </c>
      <c r="S68" s="50">
        <f>S67*'נתונים והנחות'!$F$10</f>
        <v/>
      </c>
      <c r="T68" s="50">
        <f>T67*'נתונים והנחות'!$F$10</f>
        <v/>
      </c>
      <c r="U68" s="50">
        <f>U67*'נתונים והנחות'!$F$10</f>
        <v/>
      </c>
      <c r="V68" s="50">
        <f>V67*'נתונים והנחות'!$F$10</f>
        <v/>
      </c>
      <c r="W68" s="50">
        <f>W67*'נתונים והנחות'!$F$10</f>
        <v/>
      </c>
      <c r="X68" s="50">
        <f>X67*'נתונים והנחות'!$F$10</f>
        <v/>
      </c>
      <c r="Y68" s="50">
        <f>Y67*'נתונים והנחות'!$F$10</f>
        <v/>
      </c>
      <c r="Z68" s="50">
        <f>Z67*'נתונים והנחות'!$F$10</f>
        <v/>
      </c>
    </row>
    <row r="69">
      <c r="B69" s="7" t="inlineStr">
        <is>
          <t>פחת סטנדרטי — משאבות חום — 70 kW</t>
        </is>
      </c>
      <c r="C69" s="10" t="inlineStr">
        <is>
          <t>₪</t>
        </is>
      </c>
      <c r="D69" s="10" t="inlineStr">
        <is>
          <t>חישוב</t>
        </is>
      </c>
      <c r="F69" s="51" t="n">
        <v>0</v>
      </c>
      <c r="G69" s="51">
        <f>IF(ISNUMBER('נתונים והנחות'!$G$40),'נתונים והנחות'!$G$40*0.1,0)</f>
        <v/>
      </c>
      <c r="H69" s="51">
        <f>IF(ISNUMBER('נתונים והנחות'!$G$40),'נתונים והנחות'!$G$40*0.1,0)</f>
        <v/>
      </c>
      <c r="I69" s="51">
        <f>IF(ISNUMBER('נתונים והנחות'!$G$40),'נתונים והנחות'!$G$40*0.1,0)</f>
        <v/>
      </c>
      <c r="J69" s="51">
        <f>IF(ISNUMBER('נתונים והנחות'!$G$40),'נתונים והנחות'!$G$40*0.1,0)</f>
        <v/>
      </c>
      <c r="K69" s="51">
        <f>IF(ISNUMBER('נתונים והנחות'!$G$40),'נתונים והנחות'!$G$40*0.1,0)</f>
        <v/>
      </c>
      <c r="L69" s="51">
        <f>IF(ISNUMBER('נתונים והנחות'!$G$40),'נתונים והנחות'!$G$40*0.1,0)</f>
        <v/>
      </c>
      <c r="M69" s="51">
        <f>IF(ISNUMBER('נתונים והנחות'!$G$40),'נתונים והנחות'!$G$40*0.1,0)</f>
        <v/>
      </c>
      <c r="N69" s="51">
        <f>IF(ISNUMBER('נתונים והנחות'!$G$40),'נתונים והנחות'!$G$40*0.1,0)</f>
        <v/>
      </c>
      <c r="O69" s="51">
        <f>IF(ISNUMBER('נתונים והנחות'!$G$40),'נתונים והנחות'!$G$40*0.1,0)</f>
        <v/>
      </c>
      <c r="P69" s="51">
        <f>IF(ISNUMBER('נתונים והנחות'!$G$40),'נתונים והנחות'!$G$40*0.1,0)</f>
        <v/>
      </c>
      <c r="Q69" s="51">
        <f>0</f>
        <v/>
      </c>
      <c r="R69" s="51">
        <f>0</f>
        <v/>
      </c>
      <c r="S69" s="51">
        <f>0</f>
        <v/>
      </c>
      <c r="T69" s="51">
        <f>0</f>
        <v/>
      </c>
      <c r="U69" s="51">
        <f>0</f>
        <v/>
      </c>
      <c r="V69" s="51">
        <f>0</f>
        <v/>
      </c>
      <c r="W69" s="51">
        <f>0</f>
        <v/>
      </c>
      <c r="X69" s="51">
        <f>0</f>
        <v/>
      </c>
      <c r="Y69" s="51">
        <f>0</f>
        <v/>
      </c>
      <c r="Z69" s="51">
        <f>0</f>
        <v/>
      </c>
    </row>
    <row r="70">
      <c r="B70" s="7" t="inlineStr">
        <is>
          <t>מגן מס סטנדרטי — משאבות חום — 70 kW</t>
        </is>
      </c>
      <c r="C70" s="10" t="inlineStr">
        <is>
          <t>₪</t>
        </is>
      </c>
      <c r="D70" s="10" t="inlineStr">
        <is>
          <t>חישוב</t>
        </is>
      </c>
      <c r="F70" s="51" t="n">
        <v>0</v>
      </c>
      <c r="G70" s="51">
        <f>G69*'נתונים והנחות'!$F$10</f>
        <v/>
      </c>
      <c r="H70" s="51">
        <f>H69*'נתונים והנחות'!$F$10</f>
        <v/>
      </c>
      <c r="I70" s="51">
        <f>I69*'נתונים והנחות'!$F$10</f>
        <v/>
      </c>
      <c r="J70" s="51">
        <f>J69*'נתונים והנחות'!$F$10</f>
        <v/>
      </c>
      <c r="K70" s="51">
        <f>K69*'נתונים והנחות'!$F$10</f>
        <v/>
      </c>
      <c r="L70" s="51">
        <f>L69*'נתונים והנחות'!$F$10</f>
        <v/>
      </c>
      <c r="M70" s="51">
        <f>M69*'נתונים והנחות'!$F$10</f>
        <v/>
      </c>
      <c r="N70" s="51">
        <f>N69*'נתונים והנחות'!$F$10</f>
        <v/>
      </c>
      <c r="O70" s="51">
        <f>O69*'נתונים והנחות'!$F$10</f>
        <v/>
      </c>
      <c r="P70" s="51">
        <f>P69*'נתונים והנחות'!$F$10</f>
        <v/>
      </c>
      <c r="Q70" s="51">
        <f>Q69*'נתונים והנחות'!$F$10</f>
        <v/>
      </c>
      <c r="R70" s="51">
        <f>R69*'נתונים והנחות'!$F$10</f>
        <v/>
      </c>
      <c r="S70" s="51">
        <f>S69*'נתונים והנחות'!$F$10</f>
        <v/>
      </c>
      <c r="T70" s="51">
        <f>T69*'נתונים והנחות'!$F$10</f>
        <v/>
      </c>
      <c r="U70" s="51">
        <f>U69*'נתונים והנחות'!$F$10</f>
        <v/>
      </c>
      <c r="V70" s="51">
        <f>V69*'נתונים והנחות'!$F$10</f>
        <v/>
      </c>
      <c r="W70" s="51">
        <f>W69*'נתונים והנחות'!$F$10</f>
        <v/>
      </c>
      <c r="X70" s="51">
        <f>X69*'נתונים והנחות'!$F$10</f>
        <v/>
      </c>
      <c r="Y70" s="51">
        <f>Y69*'נתונים והנחות'!$F$10</f>
        <v/>
      </c>
      <c r="Z70" s="51">
        <f>Z69*'נתונים והנחות'!$F$10</f>
        <v/>
      </c>
    </row>
    <row r="71">
      <c r="B71" s="8" t="inlineStr">
        <is>
          <t>פחת מואץ — משאבות חום — 70 kW</t>
        </is>
      </c>
      <c r="C71" s="10" t="inlineStr">
        <is>
          <t>₪</t>
        </is>
      </c>
      <c r="D71" s="10" t="inlineStr">
        <is>
          <t>חישוב</t>
        </is>
      </c>
      <c r="F71" s="52" t="n">
        <v>0</v>
      </c>
      <c r="G71" s="52">
        <f>IF(ISNUMBER('נתונים והנחות'!$G$40),IF(1&lt;=ROUND(1/(0.1*'נתונים והנחות'!$F$20),0),'נתונים והנחות'!$G$40*0.1*'נתונים והנחות'!$F$20,0),0)</f>
        <v/>
      </c>
      <c r="H71" s="52">
        <f>IF(ISNUMBER('נתונים והנחות'!$G$40),IF(2&lt;=ROUND(1/(0.1*'נתונים והנחות'!$F$20),0),'נתונים והנחות'!$G$40*0.1*'נתונים והנחות'!$F$20,0),0)</f>
        <v/>
      </c>
      <c r="I71" s="52">
        <f>IF(ISNUMBER('נתונים והנחות'!$G$40),IF(3&lt;=ROUND(1/(0.1*'נתונים והנחות'!$F$20),0),'נתונים והנחות'!$G$40*0.1*'נתונים והנחות'!$F$20,0),0)</f>
        <v/>
      </c>
      <c r="J71" s="52">
        <f>IF(ISNUMBER('נתונים והנחות'!$G$40),IF(4&lt;=ROUND(1/(0.1*'נתונים והנחות'!$F$20),0),'נתונים והנחות'!$G$40*0.1*'נתונים והנחות'!$F$20,0),0)</f>
        <v/>
      </c>
      <c r="K71" s="52">
        <f>IF(ISNUMBER('נתונים והנחות'!$G$40),IF(5&lt;=ROUND(1/(0.1*'נתונים והנחות'!$F$20),0),'נתונים והנחות'!$G$40*0.1*'נתונים והנחות'!$F$20,0),0)</f>
        <v/>
      </c>
      <c r="L71" s="52">
        <f>IF(ISNUMBER('נתונים והנחות'!$G$40),IF(6&lt;=ROUND(1/(0.1*'נתונים והנחות'!$F$20),0),'נתונים והנחות'!$G$40*0.1*'נתונים והנחות'!$F$20,0),0)</f>
        <v/>
      </c>
      <c r="M71" s="52">
        <f>IF(ISNUMBER('נתונים והנחות'!$G$40),IF(7&lt;=ROUND(1/(0.1*'נתונים והנחות'!$F$20),0),'נתונים והנחות'!$G$40*0.1*'נתונים והנחות'!$F$20,0),0)</f>
        <v/>
      </c>
      <c r="N71" s="52">
        <f>IF(ISNUMBER('נתונים והנחות'!$G$40),IF(8&lt;=ROUND(1/(0.1*'נתונים והנחות'!$F$20),0),'נתונים והנחות'!$G$40*0.1*'נתונים והנחות'!$F$20,0),0)</f>
        <v/>
      </c>
      <c r="O71" s="52">
        <f>IF(ISNUMBER('נתונים והנחות'!$G$40),IF(9&lt;=ROUND(1/(0.1*'נתונים והנחות'!$F$20),0),'נתונים והנחות'!$G$40*0.1*'נתונים והנחות'!$F$20,0),0)</f>
        <v/>
      </c>
      <c r="P71" s="52">
        <f>IF(ISNUMBER('נתונים והנחות'!$G$40),IF(10&lt;=ROUND(1/(0.1*'נתונים והנחות'!$F$20),0),'נתונים והנחות'!$G$40*0.1*'נתונים והנחות'!$F$20,0),0)</f>
        <v/>
      </c>
      <c r="Q71" s="52">
        <f>IF(ISNUMBER('נתונים והנחות'!$G$40),IF(11&lt;=ROUND(1/(0.1*'נתונים והנחות'!$F$20),0),'נתונים והנחות'!$G$40*0.1*'נתונים והנחות'!$F$20,0),0)</f>
        <v/>
      </c>
      <c r="R71" s="52">
        <f>IF(ISNUMBER('נתונים והנחות'!$G$40),IF(12&lt;=ROUND(1/(0.1*'נתונים והנחות'!$F$20),0),'נתונים והנחות'!$G$40*0.1*'נתונים והנחות'!$F$20,0),0)</f>
        <v/>
      </c>
      <c r="S71" s="52">
        <f>IF(ISNUMBER('נתונים והנחות'!$G$40),IF(13&lt;=ROUND(1/(0.1*'נתונים והנחות'!$F$20),0),'נתונים והנחות'!$G$40*0.1*'נתונים והנחות'!$F$20,0),0)</f>
        <v/>
      </c>
      <c r="T71" s="52">
        <f>IF(ISNUMBER('נתונים והנחות'!$G$40),IF(14&lt;=ROUND(1/(0.1*'נתונים והנחות'!$F$20),0),'נתונים והנחות'!$G$40*0.1*'נתונים והנחות'!$F$20,0),0)</f>
        <v/>
      </c>
      <c r="U71" s="52">
        <f>IF(ISNUMBER('נתונים והנחות'!$G$40),IF(15&lt;=ROUND(1/(0.1*'נתונים והנחות'!$F$20),0),'נתונים והנחות'!$G$40*0.1*'נתונים והנחות'!$F$20,0),0)</f>
        <v/>
      </c>
      <c r="V71" s="52">
        <f>IF(ISNUMBER('נתונים והנחות'!$G$40),IF(16&lt;=ROUND(1/(0.1*'נתונים והנחות'!$F$20),0),'נתונים והנחות'!$G$40*0.1*'נתונים והנחות'!$F$20,0),0)</f>
        <v/>
      </c>
      <c r="W71" s="52">
        <f>IF(ISNUMBER('נתונים והנחות'!$G$40),IF(17&lt;=ROUND(1/(0.1*'נתונים והנחות'!$F$20),0),'נתונים והנחות'!$G$40*0.1*'נתונים והנחות'!$F$20,0),0)</f>
        <v/>
      </c>
      <c r="X71" s="52">
        <f>IF(ISNUMBER('נתונים והנחות'!$G$40),IF(18&lt;=ROUND(1/(0.1*'נתונים והנחות'!$F$20),0),'נתונים והנחות'!$G$40*0.1*'נתונים והנחות'!$F$20,0),0)</f>
        <v/>
      </c>
      <c r="Y71" s="52">
        <f>IF(ISNUMBER('נתונים והנחות'!$G$40),IF(19&lt;=ROUND(1/(0.1*'נתונים והנחות'!$F$20),0),'נתונים והנחות'!$G$40*0.1*'נתונים והנחות'!$F$20,0),0)</f>
        <v/>
      </c>
      <c r="Z71" s="52">
        <f>IF(ISNUMBER('נתונים והנחות'!$G$40),IF(20&lt;=ROUND(1/(0.1*'נתונים והנחות'!$F$20),0),'נתונים והנחות'!$G$40*0.1*'נתונים והנחות'!$F$20,0),0)</f>
        <v/>
      </c>
    </row>
    <row r="72">
      <c r="B72" s="8" t="inlineStr">
        <is>
          <t>מגן מס מואץ — משאבות חום — 70 kW</t>
        </is>
      </c>
      <c r="C72" s="10" t="inlineStr">
        <is>
          <t>₪</t>
        </is>
      </c>
      <c r="D72" s="10" t="inlineStr">
        <is>
          <t>חישוב</t>
        </is>
      </c>
      <c r="F72" s="52" t="n">
        <v>0</v>
      </c>
      <c r="G72" s="52">
        <f>G71*'נתונים והנחות'!$F$10</f>
        <v/>
      </c>
      <c r="H72" s="52">
        <f>H71*'נתונים והנחות'!$F$10</f>
        <v/>
      </c>
      <c r="I72" s="52">
        <f>I71*'נתונים והנחות'!$F$10</f>
        <v/>
      </c>
      <c r="J72" s="52">
        <f>J71*'נתונים והנחות'!$F$10</f>
        <v/>
      </c>
      <c r="K72" s="52">
        <f>K71*'נתונים והנחות'!$F$10</f>
        <v/>
      </c>
      <c r="L72" s="52">
        <f>L71*'נתונים והנחות'!$F$10</f>
        <v/>
      </c>
      <c r="M72" s="52">
        <f>M71*'נתונים והנחות'!$F$10</f>
        <v/>
      </c>
      <c r="N72" s="52">
        <f>N71*'נתונים והנחות'!$F$10</f>
        <v/>
      </c>
      <c r="O72" s="52">
        <f>O71*'נתונים והנחות'!$F$10</f>
        <v/>
      </c>
      <c r="P72" s="52">
        <f>P71*'נתונים והנחות'!$F$10</f>
        <v/>
      </c>
      <c r="Q72" s="52">
        <f>Q71*'נתונים והנחות'!$F$10</f>
        <v/>
      </c>
      <c r="R72" s="52">
        <f>R71*'נתונים והנחות'!$F$10</f>
        <v/>
      </c>
      <c r="S72" s="52">
        <f>S71*'נתונים והנחות'!$F$10</f>
        <v/>
      </c>
      <c r="T72" s="52">
        <f>T71*'נתונים והנחות'!$F$10</f>
        <v/>
      </c>
      <c r="U72" s="52">
        <f>U71*'נתונים והנחות'!$F$10</f>
        <v/>
      </c>
      <c r="V72" s="52">
        <f>V71*'נתונים והנחות'!$F$10</f>
        <v/>
      </c>
      <c r="W72" s="52">
        <f>W71*'נתונים והנחות'!$F$10</f>
        <v/>
      </c>
      <c r="X72" s="52">
        <f>X71*'נתונים והנחות'!$F$10</f>
        <v/>
      </c>
      <c r="Y72" s="52">
        <f>Y71*'נתונים והנחות'!$F$10</f>
        <v/>
      </c>
      <c r="Z72" s="52">
        <f>Z71*'נתונים והנחות'!$F$10</f>
        <v/>
      </c>
    </row>
    <row r="74">
      <c r="B74" s="49" t="inlineStr">
        <is>
          <t>ג. ניתוח תזרים מזומנים — שלושה תרחישים</t>
        </is>
      </c>
    </row>
    <row r="75">
      <c r="B75" s="23" t="inlineStr">
        <is>
          <t>פרמטר</t>
        </is>
      </c>
      <c r="C75" s="23" t="inlineStr">
        <is>
          <t>יחידות</t>
        </is>
      </c>
      <c r="D75" s="23" t="inlineStr">
        <is>
          <t>מקור</t>
        </is>
      </c>
      <c r="E75" s="23" t="inlineStr">
        <is>
          <t>הערות</t>
        </is>
      </c>
      <c r="F75" s="23" t="inlineStr">
        <is>
          <t>שנה 0 (השקעה)</t>
        </is>
      </c>
      <c r="G75" s="23" t="inlineStr">
        <is>
          <t>שנה 1</t>
        </is>
      </c>
      <c r="H75" s="23" t="inlineStr">
        <is>
          <t>שנה 2</t>
        </is>
      </c>
      <c r="I75" s="23" t="inlineStr">
        <is>
          <t>שנה 3</t>
        </is>
      </c>
      <c r="J75" s="23" t="inlineStr">
        <is>
          <t>שנה 4</t>
        </is>
      </c>
      <c r="K75" s="23" t="inlineStr">
        <is>
          <t>שנה 5</t>
        </is>
      </c>
      <c r="L75" s="23" t="inlineStr">
        <is>
          <t>שנה 6</t>
        </is>
      </c>
      <c r="M75" s="23" t="inlineStr">
        <is>
          <t>שנה 7</t>
        </is>
      </c>
      <c r="N75" s="23" t="inlineStr">
        <is>
          <t>שנה 8</t>
        </is>
      </c>
      <c r="O75" s="23" t="inlineStr">
        <is>
          <t>שנה 9</t>
        </is>
      </c>
      <c r="P75" s="23" t="inlineStr">
        <is>
          <t>שנה 10</t>
        </is>
      </c>
      <c r="Q75" s="23" t="inlineStr">
        <is>
          <t>שנה 11</t>
        </is>
      </c>
      <c r="R75" s="23" t="inlineStr">
        <is>
          <t>שנה 12</t>
        </is>
      </c>
      <c r="S75" s="23" t="inlineStr">
        <is>
          <t>שנה 13</t>
        </is>
      </c>
      <c r="T75" s="23" t="inlineStr">
        <is>
          <t>שנה 14</t>
        </is>
      </c>
      <c r="U75" s="23" t="inlineStr">
        <is>
          <t>שנה 15</t>
        </is>
      </c>
      <c r="V75" s="23" t="inlineStr">
        <is>
          <t>שנה 16</t>
        </is>
      </c>
      <c r="W75" s="23" t="inlineStr">
        <is>
          <t>שנה 17</t>
        </is>
      </c>
      <c r="X75" s="23" t="inlineStr">
        <is>
          <t>שנה 18</t>
        </is>
      </c>
      <c r="Y75" s="23" t="inlineStr">
        <is>
          <t>שנה 19</t>
        </is>
      </c>
      <c r="Z75" s="23" t="inlineStr">
        <is>
          <t>שנה 20</t>
        </is>
      </c>
    </row>
    <row r="76">
      <c r="B76" s="53" t="inlineStr">
        <is>
          <t>תרחיש A — רכישת תנור מזוט/סולר — 70 kW (ציוד קיים)</t>
        </is>
      </c>
    </row>
    <row r="77">
      <c r="B77" s="6" t="inlineStr">
        <is>
          <t>השקעה ראשונית</t>
        </is>
      </c>
      <c r="C77" s="10" t="inlineStr">
        <is>
          <t>₪</t>
        </is>
      </c>
      <c r="D77" s="10" t="inlineStr">
        <is>
          <t>חישוב</t>
        </is>
      </c>
      <c r="F77" s="50">
        <f>IF(ISNUMBER('נתונים והנחות'!$G$39),-'נתונים והנחות'!$G$39,"PENDING")</f>
        <v/>
      </c>
    </row>
    <row r="78">
      <c r="B78" s="6" t="inlineStr">
        <is>
          <t>OPEX אנרגיה/דלק</t>
        </is>
      </c>
      <c r="C78" s="10" t="inlineStr">
        <is>
          <t>₪</t>
        </is>
      </c>
      <c r="D78" s="10" t="inlineStr">
        <is>
          <t>חישוב</t>
        </is>
      </c>
      <c r="F78" s="50" t="n">
        <v>0</v>
      </c>
      <c r="G78" s="50">
        <f>IF(ISNUMBER('נתונים והנחות'!$G$47),-'נתונים והנחות'!$G$47,0)</f>
        <v/>
      </c>
      <c r="H78" s="50">
        <f>IF(ISNUMBER('נתונים והנחות'!$G$47),-'נתונים והנחות'!$G$47,0)</f>
        <v/>
      </c>
      <c r="I78" s="50">
        <f>IF(ISNUMBER('נתונים והנחות'!$G$47),-'נתונים והנחות'!$G$47,0)</f>
        <v/>
      </c>
      <c r="J78" s="50">
        <f>IF(ISNUMBER('נתונים והנחות'!$G$47),-'נתונים והנחות'!$G$47,0)</f>
        <v/>
      </c>
      <c r="K78" s="50">
        <f>IF(ISNUMBER('נתונים והנחות'!$G$47),-'נתונים והנחות'!$G$47,0)</f>
        <v/>
      </c>
      <c r="L78" s="50">
        <f>IF(ISNUMBER('נתונים והנחות'!$G$47),-'נתונים והנחות'!$G$47,0)</f>
        <v/>
      </c>
      <c r="M78" s="50">
        <f>IF(ISNUMBER('נתונים והנחות'!$G$47),-'נתונים והנחות'!$G$47,0)</f>
        <v/>
      </c>
      <c r="N78" s="50">
        <f>IF(ISNUMBER('נתונים והנחות'!$G$47),-'נתונים והנחות'!$G$47,0)</f>
        <v/>
      </c>
      <c r="O78" s="50">
        <f>IF(ISNUMBER('נתונים והנחות'!$G$47),-'נתונים והנחות'!$G$47,0)</f>
        <v/>
      </c>
      <c r="P78" s="50">
        <f>IF(ISNUMBER('נתונים והנחות'!$G$47),-'נתונים והנחות'!$G$47,0)</f>
        <v/>
      </c>
      <c r="Q78" s="50">
        <f>IF(ISNUMBER('נתונים והנחות'!$G$47),-'נתונים והנחות'!$G$47,0)</f>
        <v/>
      </c>
      <c r="R78" s="50">
        <f>IF(ISNUMBER('נתונים והנחות'!$G$47),-'נתונים והנחות'!$G$47,0)</f>
        <v/>
      </c>
      <c r="S78" s="50">
        <f>IF(ISNUMBER('נתונים והנחות'!$G$47),-'נתונים והנחות'!$G$47,0)</f>
        <v/>
      </c>
      <c r="T78" s="50">
        <f>IF(ISNUMBER('נתונים והנחות'!$G$47),-'נתונים והנחות'!$G$47,0)</f>
        <v/>
      </c>
      <c r="U78" s="50">
        <f>IF(ISNUMBER('נתונים והנחות'!$G$47),-'נתונים והנחות'!$G$47,0)</f>
        <v/>
      </c>
      <c r="V78" s="50">
        <f>0</f>
        <v/>
      </c>
      <c r="W78" s="50">
        <f>0</f>
        <v/>
      </c>
      <c r="X78" s="50">
        <f>0</f>
        <v/>
      </c>
      <c r="Y78" s="50">
        <f>0</f>
        <v/>
      </c>
      <c r="Z78" s="50">
        <f>0</f>
        <v/>
      </c>
    </row>
    <row r="79">
      <c r="B79" s="6" t="inlineStr">
        <is>
          <t>OPEX אחר</t>
        </is>
      </c>
      <c r="C79" s="10" t="inlineStr">
        <is>
          <t>₪</t>
        </is>
      </c>
      <c r="D79" s="10" t="inlineStr">
        <is>
          <t>חישוב</t>
        </is>
      </c>
      <c r="F79" s="50" t="n">
        <v>0</v>
      </c>
      <c r="G79" s="50">
        <f>IF(ISNUMBER('נתונים והנחות'!$G$45),-'נתונים והנחות'!$G$45,0)</f>
        <v/>
      </c>
      <c r="H79" s="50">
        <f>IF(ISNUMBER('נתונים והנחות'!$G$45),-'נתונים והנחות'!$G$45,0)</f>
        <v/>
      </c>
      <c r="I79" s="50">
        <f>IF(ISNUMBER('נתונים והנחות'!$G$45),-'נתונים והנחות'!$G$45,0)</f>
        <v/>
      </c>
      <c r="J79" s="50">
        <f>IF(ISNUMBER('נתונים והנחות'!$G$45),-'נתונים והנחות'!$G$45,0)</f>
        <v/>
      </c>
      <c r="K79" s="50">
        <f>IF(ISNUMBER('נתונים והנחות'!$G$45),-'נתונים והנחות'!$G$45,0)</f>
        <v/>
      </c>
      <c r="L79" s="50">
        <f>IF(ISNUMBER('נתונים והנחות'!$G$45),-'נתונים והנחות'!$G$45,0)</f>
        <v/>
      </c>
      <c r="M79" s="50">
        <f>IF(ISNUMBER('נתונים והנחות'!$G$45),-'נתונים והנחות'!$G$45,0)</f>
        <v/>
      </c>
      <c r="N79" s="50">
        <f>IF(ISNUMBER('נתונים והנחות'!$G$45),-'נתונים והנחות'!$G$45,0)</f>
        <v/>
      </c>
      <c r="O79" s="50">
        <f>IF(ISNUMBER('נתונים והנחות'!$G$45),-'נתונים והנחות'!$G$45,0)</f>
        <v/>
      </c>
      <c r="P79" s="50">
        <f>IF(ISNUMBER('נתונים והנחות'!$G$45),-'נתונים והנחות'!$G$45,0)</f>
        <v/>
      </c>
      <c r="Q79" s="50">
        <f>IF(ISNUMBER('נתונים והנחות'!$G$45),-'נתונים והנחות'!$G$45,0)</f>
        <v/>
      </c>
      <c r="R79" s="50">
        <f>IF(ISNUMBER('נתונים והנחות'!$G$45),-'נתונים והנחות'!$G$45,0)</f>
        <v/>
      </c>
      <c r="S79" s="50">
        <f>IF(ISNUMBER('נתונים והנחות'!$G$45),-'נתונים והנחות'!$G$45,0)</f>
        <v/>
      </c>
      <c r="T79" s="50">
        <f>IF(ISNUMBER('נתונים והנחות'!$G$45),-'נתונים והנחות'!$G$45,0)</f>
        <v/>
      </c>
      <c r="U79" s="50">
        <f>IF(ISNUMBER('נתונים והנחות'!$G$45),-'נתונים והנחות'!$G$45,0)</f>
        <v/>
      </c>
      <c r="V79" s="50">
        <f>0</f>
        <v/>
      </c>
      <c r="W79" s="50">
        <f>0</f>
        <v/>
      </c>
      <c r="X79" s="50">
        <f>0</f>
        <v/>
      </c>
      <c r="Y79" s="50">
        <f>0</f>
        <v/>
      </c>
      <c r="Z79" s="50">
        <f>0</f>
        <v/>
      </c>
    </row>
    <row r="80">
      <c r="B80" s="6" t="inlineStr">
        <is>
          <t>תזרים נקי — A</t>
        </is>
      </c>
      <c r="C80" s="10" t="inlineStr">
        <is>
          <t>₪</t>
        </is>
      </c>
      <c r="D80" s="10" t="inlineStr">
        <is>
          <t>חישוב</t>
        </is>
      </c>
      <c r="F80" s="50">
        <f>F77</f>
        <v/>
      </c>
      <c r="G80" s="50">
        <f>G78+G79+G68</f>
        <v/>
      </c>
      <c r="H80" s="50">
        <f>H78+H79+H68</f>
        <v/>
      </c>
      <c r="I80" s="50">
        <f>I78+I79+I68</f>
        <v/>
      </c>
      <c r="J80" s="50">
        <f>J78+J79+J68</f>
        <v/>
      </c>
      <c r="K80" s="50">
        <f>K78+K79+K68</f>
        <v/>
      </c>
      <c r="L80" s="50">
        <f>L78+L79+L68</f>
        <v/>
      </c>
      <c r="M80" s="50">
        <f>M78+M79+M68</f>
        <v/>
      </c>
      <c r="N80" s="50">
        <f>N78+N79+N68</f>
        <v/>
      </c>
      <c r="O80" s="50">
        <f>O78+O79+O68</f>
        <v/>
      </c>
      <c r="P80" s="50">
        <f>P78+P79+P68</f>
        <v/>
      </c>
      <c r="Q80" s="50">
        <f>Q78+Q79+Q68</f>
        <v/>
      </c>
      <c r="R80" s="50">
        <f>R78+R79+R68</f>
        <v/>
      </c>
      <c r="S80" s="50">
        <f>S78+S79+S68</f>
        <v/>
      </c>
      <c r="T80" s="50">
        <f>T78+T79+T68</f>
        <v/>
      </c>
      <c r="U80" s="50">
        <f>U78+U79+U68</f>
        <v/>
      </c>
      <c r="V80" s="50">
        <f>V78+V79+V68</f>
        <v/>
      </c>
      <c r="W80" s="50">
        <f>W78+W79+W68</f>
        <v/>
      </c>
      <c r="X80" s="50">
        <f>X78+X79+X68</f>
        <v/>
      </c>
      <c r="Y80" s="50">
        <f>Y78+Y79+Y68</f>
        <v/>
      </c>
      <c r="Z80" s="50">
        <f>Z78+Z79+Z68</f>
        <v/>
      </c>
    </row>
    <row r="81">
      <c r="B81" s="6" t="inlineStr">
        <is>
          <t>תזרים מהוון — A</t>
        </is>
      </c>
      <c r="C81" s="10" t="inlineStr">
        <is>
          <t>₪</t>
        </is>
      </c>
      <c r="D81" s="10" t="inlineStr">
        <is>
          <t>חישוב</t>
        </is>
      </c>
      <c r="F81" s="50">
        <f>F80</f>
        <v/>
      </c>
      <c r="G81" s="50">
        <f>G80/(1+'נתונים והנחות'!$F$11)^1</f>
        <v/>
      </c>
      <c r="H81" s="50">
        <f>H80/(1+'נתונים והנחות'!$F$11)^2</f>
        <v/>
      </c>
      <c r="I81" s="50">
        <f>I80/(1+'נתונים והנחות'!$F$11)^3</f>
        <v/>
      </c>
      <c r="J81" s="50">
        <f>J80/(1+'נתונים והנחות'!$F$11)^4</f>
        <v/>
      </c>
      <c r="K81" s="50">
        <f>K80/(1+'נתונים והנחות'!$F$11)^5</f>
        <v/>
      </c>
      <c r="L81" s="50">
        <f>L80/(1+'נתונים והנחות'!$F$11)^6</f>
        <v/>
      </c>
      <c r="M81" s="50">
        <f>M80/(1+'נתונים והנחות'!$F$11)^7</f>
        <v/>
      </c>
      <c r="N81" s="50">
        <f>N80/(1+'נתונים והנחות'!$F$11)^8</f>
        <v/>
      </c>
      <c r="O81" s="50">
        <f>O80/(1+'נתונים והנחות'!$F$11)^9</f>
        <v/>
      </c>
      <c r="P81" s="50">
        <f>P80/(1+'נתונים והנחות'!$F$11)^10</f>
        <v/>
      </c>
      <c r="Q81" s="50">
        <f>Q80/(1+'נתונים והנחות'!$F$11)^11</f>
        <v/>
      </c>
      <c r="R81" s="50">
        <f>R80/(1+'נתונים והנחות'!$F$11)^12</f>
        <v/>
      </c>
      <c r="S81" s="50">
        <f>S80/(1+'נתונים והנחות'!$F$11)^13</f>
        <v/>
      </c>
      <c r="T81" s="50">
        <f>T80/(1+'נתונים והנחות'!$F$11)^14</f>
        <v/>
      </c>
      <c r="U81" s="50">
        <f>U80/(1+'נתונים והנחות'!$F$11)^15</f>
        <v/>
      </c>
      <c r="V81" s="50">
        <f>V80/(1+'נתונים והנחות'!$F$11)^16</f>
        <v/>
      </c>
      <c r="W81" s="50">
        <f>W80/(1+'נתונים והנחות'!$F$11)^17</f>
        <v/>
      </c>
      <c r="X81" s="50">
        <f>X80/(1+'נתונים והנחות'!$F$11)^18</f>
        <v/>
      </c>
      <c r="Y81" s="50">
        <f>Y80/(1+'נתונים והנחות'!$F$11)^19</f>
        <v/>
      </c>
      <c r="Z81" s="50">
        <f>Z80/(1+'נתונים והנחות'!$F$11)^20</f>
        <v/>
      </c>
    </row>
    <row r="83">
      <c r="B83" s="54" t="inlineStr">
        <is>
          <t>תרחיש B — רכישת משאבות חום — 70 kW | פחת סטנדרטי (ללא תמריץ)</t>
        </is>
      </c>
    </row>
    <row r="84">
      <c r="B84" s="7" t="inlineStr">
        <is>
          <t>השקעה ראשונית</t>
        </is>
      </c>
      <c r="C84" s="10" t="inlineStr">
        <is>
          <t>₪</t>
        </is>
      </c>
      <c r="D84" s="10" t="inlineStr">
        <is>
          <t>חישוב</t>
        </is>
      </c>
      <c r="F84" s="51">
        <f>IF(ISNUMBER('נתונים והנחות'!$G$40),-'נתונים והנחות'!$G$40,"PENDING")</f>
        <v/>
      </c>
    </row>
    <row r="85">
      <c r="B85" s="7" t="inlineStr">
        <is>
          <t>OPEX אנרגיה (עם שחיקה)</t>
        </is>
      </c>
      <c r="C85" s="10" t="inlineStr">
        <is>
          <t>₪</t>
        </is>
      </c>
      <c r="D85" s="10" t="inlineStr">
        <is>
          <t>חישוב</t>
        </is>
      </c>
      <c r="F85" s="51" t="n">
        <v>0</v>
      </c>
      <c r="G85" s="51">
        <f>IF(ISNUMBER('נתונים והנחות'!$G$48),-'נתונים והנחות'!$G$48*(1-0.005)^0,0)</f>
        <v/>
      </c>
      <c r="H85" s="51">
        <f>IF(ISNUMBER('נתונים והנחות'!$G$48),-'נתונים והנחות'!$G$48*(1-0.005)^1,0)</f>
        <v/>
      </c>
      <c r="I85" s="51">
        <f>IF(ISNUMBER('נתונים והנחות'!$G$48),-'נתונים והנחות'!$G$48*(1-0.005)^2,0)</f>
        <v/>
      </c>
      <c r="J85" s="51">
        <f>IF(ISNUMBER('נתונים והנחות'!$G$48),-'נתונים והנחות'!$G$48*(1-0.005)^3,0)</f>
        <v/>
      </c>
      <c r="K85" s="51">
        <f>IF(ISNUMBER('נתונים והנחות'!$G$48),-'נתונים והנחות'!$G$48*(1-0.005)^4,0)</f>
        <v/>
      </c>
      <c r="L85" s="51">
        <f>IF(ISNUMBER('נתונים והנחות'!$G$48),-'נתונים והנחות'!$G$48*(1-0.005)^5,0)</f>
        <v/>
      </c>
      <c r="M85" s="51">
        <f>IF(ISNUMBER('נתונים והנחות'!$G$48),-'נתונים והנחות'!$G$48*(1-0.005)^6,0)</f>
        <v/>
      </c>
      <c r="N85" s="51">
        <f>IF(ISNUMBER('נתונים והנחות'!$G$48),-'נתונים והנחות'!$G$48*(1-0.005)^7,0)</f>
        <v/>
      </c>
      <c r="O85" s="51">
        <f>IF(ISNUMBER('נתונים והנחות'!$G$48),-'נתונים והנחות'!$G$48*(1-0.005)^8,0)</f>
        <v/>
      </c>
      <c r="P85" s="51">
        <f>IF(ISNUMBER('נתונים והנחות'!$G$48),-'נתונים והנחות'!$G$48*(1-0.005)^9,0)</f>
        <v/>
      </c>
      <c r="Q85" s="51">
        <f>0</f>
        <v/>
      </c>
      <c r="R85" s="51">
        <f>0</f>
        <v/>
      </c>
      <c r="S85" s="51">
        <f>0</f>
        <v/>
      </c>
      <c r="T85" s="51">
        <f>0</f>
        <v/>
      </c>
      <c r="U85" s="51">
        <f>0</f>
        <v/>
      </c>
      <c r="V85" s="51">
        <f>0</f>
        <v/>
      </c>
      <c r="W85" s="51">
        <f>0</f>
        <v/>
      </c>
      <c r="X85" s="51">
        <f>0</f>
        <v/>
      </c>
      <c r="Y85" s="51">
        <f>0</f>
        <v/>
      </c>
      <c r="Z85" s="51">
        <f>0</f>
        <v/>
      </c>
    </row>
    <row r="86">
      <c r="B86" s="7" t="inlineStr">
        <is>
          <t>OPEX אחר</t>
        </is>
      </c>
      <c r="C86" s="10" t="inlineStr">
        <is>
          <t>₪</t>
        </is>
      </c>
      <c r="D86" s="10" t="inlineStr">
        <is>
          <t>חישוב</t>
        </is>
      </c>
      <c r="F86" s="51" t="n">
        <v>0</v>
      </c>
      <c r="G86" s="51">
        <f>IF(ISNUMBER('נתונים והנחות'!$G$46),-'נתונים והנחות'!$G$46,0)</f>
        <v/>
      </c>
      <c r="H86" s="51">
        <f>IF(ISNUMBER('נתונים והנחות'!$G$46),-'נתונים והנחות'!$G$46,0)</f>
        <v/>
      </c>
      <c r="I86" s="51">
        <f>IF(ISNUMBER('נתונים והנחות'!$G$46),-'נתונים והנחות'!$G$46,0)</f>
        <v/>
      </c>
      <c r="J86" s="51">
        <f>IF(ISNUMBER('נתונים והנחות'!$G$46),-'נתונים והנחות'!$G$46,0)</f>
        <v/>
      </c>
      <c r="K86" s="51">
        <f>IF(ISNUMBER('נתונים והנחות'!$G$46),-'נתונים והנחות'!$G$46,0)</f>
        <v/>
      </c>
      <c r="L86" s="51">
        <f>IF(ISNUMBER('נתונים והנחות'!$G$46),-'נתונים והנחות'!$G$46,0)</f>
        <v/>
      </c>
      <c r="M86" s="51">
        <f>IF(ISNUMBER('נתונים והנחות'!$G$46),-'נתונים והנחות'!$G$46,0)</f>
        <v/>
      </c>
      <c r="N86" s="51">
        <f>IF(ISNUMBER('נתונים והנחות'!$G$46),-'נתונים והנחות'!$G$46,0)</f>
        <v/>
      </c>
      <c r="O86" s="51">
        <f>IF(ISNUMBER('נתונים והנחות'!$G$46),-'נתונים והנחות'!$G$46,0)</f>
        <v/>
      </c>
      <c r="P86" s="51">
        <f>IF(ISNUMBER('נתונים והנחות'!$G$46),-'נתונים והנחות'!$G$46,0)</f>
        <v/>
      </c>
      <c r="Q86" s="51">
        <f>0</f>
        <v/>
      </c>
      <c r="R86" s="51">
        <f>0</f>
        <v/>
      </c>
      <c r="S86" s="51">
        <f>0</f>
        <v/>
      </c>
      <c r="T86" s="51">
        <f>0</f>
        <v/>
      </c>
      <c r="U86" s="51">
        <f>0</f>
        <v/>
      </c>
      <c r="V86" s="51">
        <f>0</f>
        <v/>
      </c>
      <c r="W86" s="51">
        <f>0</f>
        <v/>
      </c>
      <c r="X86" s="51">
        <f>0</f>
        <v/>
      </c>
      <c r="Y86" s="51">
        <f>0</f>
        <v/>
      </c>
      <c r="Z86" s="51">
        <f>0</f>
        <v/>
      </c>
    </row>
    <row r="87">
      <c r="B87" s="7" t="inlineStr">
        <is>
          <t>תזרים נקי — B</t>
        </is>
      </c>
      <c r="C87" s="10" t="inlineStr">
        <is>
          <t>₪</t>
        </is>
      </c>
      <c r="D87" s="10" t="inlineStr">
        <is>
          <t>חישוב</t>
        </is>
      </c>
      <c r="F87" s="51">
        <f>F84</f>
        <v/>
      </c>
      <c r="G87" s="51">
        <f>G85+G86+G70</f>
        <v/>
      </c>
      <c r="H87" s="51">
        <f>H85+H86+H70</f>
        <v/>
      </c>
      <c r="I87" s="51">
        <f>I85+I86+I70</f>
        <v/>
      </c>
      <c r="J87" s="51">
        <f>J85+J86+J70</f>
        <v/>
      </c>
      <c r="K87" s="51">
        <f>K85+K86+K70</f>
        <v/>
      </c>
      <c r="L87" s="51">
        <f>L85+L86+L70</f>
        <v/>
      </c>
      <c r="M87" s="51">
        <f>M85+M86+M70</f>
        <v/>
      </c>
      <c r="N87" s="51">
        <f>N85+N86+N70</f>
        <v/>
      </c>
      <c r="O87" s="51">
        <f>O85+O86+O70</f>
        <v/>
      </c>
      <c r="P87" s="51">
        <f>P85+P86+P70</f>
        <v/>
      </c>
      <c r="Q87" s="51">
        <f>Q85+Q86+Q70</f>
        <v/>
      </c>
      <c r="R87" s="51">
        <f>R85+R86+R70</f>
        <v/>
      </c>
      <c r="S87" s="51">
        <f>S85+S86+S70</f>
        <v/>
      </c>
      <c r="T87" s="51">
        <f>T85+T86+T70</f>
        <v/>
      </c>
      <c r="U87" s="51">
        <f>U85+U86+U70</f>
        <v/>
      </c>
      <c r="V87" s="51">
        <f>V85+V86+V70</f>
        <v/>
      </c>
      <c r="W87" s="51">
        <f>W85+W86+W70</f>
        <v/>
      </c>
      <c r="X87" s="51">
        <f>X85+X86+X70</f>
        <v/>
      </c>
      <c r="Y87" s="51">
        <f>Y85+Y86+Y70</f>
        <v/>
      </c>
      <c r="Z87" s="51">
        <f>Z85+Z86+Z70</f>
        <v/>
      </c>
    </row>
    <row r="88">
      <c r="B88" s="7" t="inlineStr">
        <is>
          <t>תזרים מהוון — B</t>
        </is>
      </c>
      <c r="C88" s="10" t="inlineStr">
        <is>
          <t>₪</t>
        </is>
      </c>
      <c r="D88" s="10" t="inlineStr">
        <is>
          <t>חישוב</t>
        </is>
      </c>
      <c r="F88" s="51">
        <f>F87</f>
        <v/>
      </c>
      <c r="G88" s="51">
        <f>G87/(1+'נתונים והנחות'!$F$11)^1</f>
        <v/>
      </c>
      <c r="H88" s="51">
        <f>H87/(1+'נתונים והנחות'!$F$11)^2</f>
        <v/>
      </c>
      <c r="I88" s="51">
        <f>I87/(1+'נתונים והנחות'!$F$11)^3</f>
        <v/>
      </c>
      <c r="J88" s="51">
        <f>J87/(1+'נתונים והנחות'!$F$11)^4</f>
        <v/>
      </c>
      <c r="K88" s="51">
        <f>K87/(1+'נתונים והנחות'!$F$11)^5</f>
        <v/>
      </c>
      <c r="L88" s="51">
        <f>L87/(1+'נתונים והנחות'!$F$11)^6</f>
        <v/>
      </c>
      <c r="M88" s="51">
        <f>M87/(1+'נתונים והנחות'!$F$11)^7</f>
        <v/>
      </c>
      <c r="N88" s="51">
        <f>N87/(1+'נתונים והנחות'!$F$11)^8</f>
        <v/>
      </c>
      <c r="O88" s="51">
        <f>O87/(1+'נתונים והנחות'!$F$11)^9</f>
        <v/>
      </c>
      <c r="P88" s="51">
        <f>P87/(1+'נתונים והנחות'!$F$11)^10</f>
        <v/>
      </c>
      <c r="Q88" s="51">
        <f>Q87/(1+'נתונים והנחות'!$F$11)^11</f>
        <v/>
      </c>
      <c r="R88" s="51">
        <f>R87/(1+'נתונים והנחות'!$F$11)^12</f>
        <v/>
      </c>
      <c r="S88" s="51">
        <f>S87/(1+'נתונים והנחות'!$F$11)^13</f>
        <v/>
      </c>
      <c r="T88" s="51">
        <f>T87/(1+'נתונים והנחות'!$F$11)^14</f>
        <v/>
      </c>
      <c r="U88" s="51">
        <f>U87/(1+'נתונים והנחות'!$F$11)^15</f>
        <v/>
      </c>
      <c r="V88" s="51">
        <f>V87/(1+'נתונים והנחות'!$F$11)^16</f>
        <v/>
      </c>
      <c r="W88" s="51">
        <f>W87/(1+'נתונים והנחות'!$F$11)^17</f>
        <v/>
      </c>
      <c r="X88" s="51">
        <f>X87/(1+'נתונים והנחות'!$F$11)^18</f>
        <v/>
      </c>
      <c r="Y88" s="51">
        <f>Y87/(1+'נתונים והנחות'!$F$11)^19</f>
        <v/>
      </c>
      <c r="Z88" s="51">
        <f>Z87/(1+'נתונים והנחות'!$F$11)^20</f>
        <v/>
      </c>
    </row>
    <row r="90">
      <c r="B90" s="55" t="inlineStr">
        <is>
          <t>תרחיש C — רכישת משאבות חום — 70 kW | פחת מואץ (עם תמריץ)</t>
        </is>
      </c>
    </row>
    <row r="91">
      <c r="B91" s="48" t="inlineStr">
        <is>
          <t>* OPEX זהה ל-B — ההבדל הוא מגן המס המואץ בלבד</t>
        </is>
      </c>
    </row>
    <row r="92">
      <c r="B92" s="8" t="inlineStr">
        <is>
          <t>תזרים נקי — C</t>
        </is>
      </c>
      <c r="C92" s="10" t="inlineStr">
        <is>
          <t>₪</t>
        </is>
      </c>
      <c r="D92" s="10" t="inlineStr">
        <is>
          <t>חישוב</t>
        </is>
      </c>
      <c r="F92" s="52">
        <f>F84</f>
        <v/>
      </c>
      <c r="G92" s="52">
        <f>G85+G86+G72</f>
        <v/>
      </c>
      <c r="H92" s="52">
        <f>H85+H86+H72</f>
        <v/>
      </c>
      <c r="I92" s="52">
        <f>I85+I86+I72</f>
        <v/>
      </c>
      <c r="J92" s="52">
        <f>J85+J86+J72</f>
        <v/>
      </c>
      <c r="K92" s="52">
        <f>K85+K86+K72</f>
        <v/>
      </c>
      <c r="L92" s="52">
        <f>L85+L86+L72</f>
        <v/>
      </c>
      <c r="M92" s="52">
        <f>M85+M86+M72</f>
        <v/>
      </c>
      <c r="N92" s="52">
        <f>N85+N86+N72</f>
        <v/>
      </c>
      <c r="O92" s="52">
        <f>O85+O86+O72</f>
        <v/>
      </c>
      <c r="P92" s="52">
        <f>P85+P86+P72</f>
        <v/>
      </c>
      <c r="Q92" s="52">
        <f>Q85+Q86+Q72</f>
        <v/>
      </c>
      <c r="R92" s="52">
        <f>R85+R86+R72</f>
        <v/>
      </c>
      <c r="S92" s="52">
        <f>S85+S86+S72</f>
        <v/>
      </c>
      <c r="T92" s="52">
        <f>T85+T86+T72</f>
        <v/>
      </c>
      <c r="U92" s="52">
        <f>U85+U86+U72</f>
        <v/>
      </c>
      <c r="V92" s="52">
        <f>V85+V86+V72</f>
        <v/>
      </c>
      <c r="W92" s="52">
        <f>W85+W86+W72</f>
        <v/>
      </c>
      <c r="X92" s="52">
        <f>X85+X86+X72</f>
        <v/>
      </c>
      <c r="Y92" s="52">
        <f>Y85+Y86+Y72</f>
        <v/>
      </c>
      <c r="Z92" s="52">
        <f>Z85+Z86+Z72</f>
        <v/>
      </c>
    </row>
    <row r="93">
      <c r="B93" s="8" t="inlineStr">
        <is>
          <t>תזרים מהוון — C</t>
        </is>
      </c>
      <c r="C93" s="10" t="inlineStr">
        <is>
          <t>₪</t>
        </is>
      </c>
      <c r="D93" s="10" t="inlineStr">
        <is>
          <t>חישוב</t>
        </is>
      </c>
      <c r="F93" s="52">
        <f>F92</f>
        <v/>
      </c>
      <c r="G93" s="52">
        <f>G92/(1+'נתונים והנחות'!$F$11)^1</f>
        <v/>
      </c>
      <c r="H93" s="52">
        <f>H92/(1+'נתונים והנחות'!$F$11)^2</f>
        <v/>
      </c>
      <c r="I93" s="52">
        <f>I92/(1+'נתונים והנחות'!$F$11)^3</f>
        <v/>
      </c>
      <c r="J93" s="52">
        <f>J92/(1+'נתונים והנחות'!$F$11)^4</f>
        <v/>
      </c>
      <c r="K93" s="52">
        <f>K92/(1+'נתונים והנחות'!$F$11)^5</f>
        <v/>
      </c>
      <c r="L93" s="52">
        <f>L92/(1+'נתונים והנחות'!$F$11)^6</f>
        <v/>
      </c>
      <c r="M93" s="52">
        <f>M92/(1+'נתונים והנחות'!$F$11)^7</f>
        <v/>
      </c>
      <c r="N93" s="52">
        <f>N92/(1+'נתונים והנחות'!$F$11)^8</f>
        <v/>
      </c>
      <c r="O93" s="52">
        <f>O92/(1+'נתונים והנחות'!$F$11)^9</f>
        <v/>
      </c>
      <c r="P93" s="52">
        <f>P92/(1+'נתונים והנחות'!$F$11)^10</f>
        <v/>
      </c>
      <c r="Q93" s="52">
        <f>Q92/(1+'נתונים והנחות'!$F$11)^11</f>
        <v/>
      </c>
      <c r="R93" s="52">
        <f>R92/(1+'נתונים והנחות'!$F$11)^12</f>
        <v/>
      </c>
      <c r="S93" s="52">
        <f>S92/(1+'נתונים והנחות'!$F$11)^13</f>
        <v/>
      </c>
      <c r="T93" s="52">
        <f>T92/(1+'נתונים והנחות'!$F$11)^14</f>
        <v/>
      </c>
      <c r="U93" s="52">
        <f>U92/(1+'נתונים והנחות'!$F$11)^15</f>
        <v/>
      </c>
      <c r="V93" s="52">
        <f>V92/(1+'נתונים והנחות'!$F$11)^16</f>
        <v/>
      </c>
      <c r="W93" s="52">
        <f>W92/(1+'נתונים והנחות'!$F$11)^17</f>
        <v/>
      </c>
      <c r="X93" s="52">
        <f>X92/(1+'נתונים והנחות'!$F$11)^18</f>
        <v/>
      </c>
      <c r="Y93" s="52">
        <f>Y92/(1+'נתונים והנחות'!$F$11)^19</f>
        <v/>
      </c>
      <c r="Z93" s="52">
        <f>Z92/(1+'נתונים והנחות'!$F$11)^20</f>
        <v/>
      </c>
    </row>
    <row r="95">
      <c r="B95" s="49" t="inlineStr">
        <is>
          <t>ד. תוצאות — NPV</t>
        </is>
      </c>
    </row>
    <row r="96">
      <c r="B96" s="56" t="inlineStr">
        <is>
          <t>NPV — תרחיש A (תנור מזוט/סולר — 70 kW)</t>
        </is>
      </c>
      <c r="C96" s="10" t="inlineStr">
        <is>
          <t>ש"ח</t>
        </is>
      </c>
      <c r="F96" s="50">
        <f>SUM(F81:Z81)</f>
        <v/>
      </c>
    </row>
    <row r="97">
      <c r="B97" s="57" t="inlineStr">
        <is>
          <t>NPV — תרחיש B (משאבות חום — 70 kW, ללא תמריץ)</t>
        </is>
      </c>
      <c r="C97" s="10" t="inlineStr">
        <is>
          <t>ש"ח</t>
        </is>
      </c>
      <c r="F97" s="51">
        <f>SUM(F88:Z88)</f>
        <v/>
      </c>
    </row>
    <row r="98">
      <c r="B98" s="58" t="inlineStr">
        <is>
          <t>NPV — תרחיש C (משאבות חום — 70 kW, עם תמריץ)</t>
        </is>
      </c>
      <c r="C98" s="10" t="inlineStr">
        <is>
          <t>ש"ח</t>
        </is>
      </c>
      <c r="F98" s="52">
        <f>SUM(F93:Z93)</f>
        <v/>
      </c>
    </row>
    <row r="100">
      <c r="B100" s="59" t="inlineStr">
        <is>
          <t>NPV מצטבר — הצדקת השדרוג (B−A)</t>
        </is>
      </c>
      <c r="C100" s="10" t="inlineStr">
        <is>
          <t>ש"ח</t>
        </is>
      </c>
      <c r="F100" s="60">
        <f>F97-F96</f>
        <v/>
      </c>
    </row>
    <row r="101">
      <c r="B101" s="61" t="inlineStr">
        <is>
          <t>ערך התמריץ — תועלת הפחת המואץ (C−B)</t>
        </is>
      </c>
      <c r="C101" s="10" t="inlineStr">
        <is>
          <t>ש"ח</t>
        </is>
      </c>
      <c r="F101" s="62">
        <f>F98-F97</f>
        <v/>
      </c>
    </row>
    <row r="105">
      <c r="B105" s="47" t="inlineStr">
        <is>
          <t>3.2א  צ'ילרים — 100 RT</t>
        </is>
      </c>
    </row>
    <row r="106">
      <c r="B106" s="48" t="inlineStr">
        <is>
          <t>* מול מערכת קירור קונבנציונלית — 100 RT | נתונים: גיליון 'נתונים והנחות' סעיף 4</t>
        </is>
      </c>
    </row>
    <row r="107">
      <c r="B107" s="49" t="inlineStr">
        <is>
          <t>ב. לוחות פחת (ציוד בסיסי vs. יעיל)</t>
        </is>
      </c>
    </row>
    <row r="108">
      <c r="B108" s="23" t="inlineStr">
        <is>
          <t>פרמטר</t>
        </is>
      </c>
      <c r="C108" s="23" t="inlineStr">
        <is>
          <t>יחידות</t>
        </is>
      </c>
      <c r="D108" s="23" t="inlineStr">
        <is>
          <t>מקור</t>
        </is>
      </c>
      <c r="E108" s="23" t="inlineStr">
        <is>
          <t>הערות</t>
        </is>
      </c>
      <c r="F108" s="23" t="inlineStr">
        <is>
          <t>שנה 0 (השקעה)</t>
        </is>
      </c>
      <c r="G108" s="23" t="inlineStr">
        <is>
          <t>שנה 1</t>
        </is>
      </c>
      <c r="H108" s="23" t="inlineStr">
        <is>
          <t>שנה 2</t>
        </is>
      </c>
      <c r="I108" s="23" t="inlineStr">
        <is>
          <t>שנה 3</t>
        </is>
      </c>
      <c r="J108" s="23" t="inlineStr">
        <is>
          <t>שנה 4</t>
        </is>
      </c>
      <c r="K108" s="23" t="inlineStr">
        <is>
          <t>שנה 5</t>
        </is>
      </c>
      <c r="L108" s="23" t="inlineStr">
        <is>
          <t>שנה 6</t>
        </is>
      </c>
      <c r="M108" s="23" t="inlineStr">
        <is>
          <t>שנה 7</t>
        </is>
      </c>
      <c r="N108" s="23" t="inlineStr">
        <is>
          <t>שנה 8</t>
        </is>
      </c>
      <c r="O108" s="23" t="inlineStr">
        <is>
          <t>שנה 9</t>
        </is>
      </c>
      <c r="P108" s="23" t="inlineStr">
        <is>
          <t>שנה 10</t>
        </is>
      </c>
      <c r="Q108" s="23" t="inlineStr">
        <is>
          <t>שנה 11</t>
        </is>
      </c>
      <c r="R108" s="23" t="inlineStr">
        <is>
          <t>שנה 12</t>
        </is>
      </c>
      <c r="S108" s="23" t="inlineStr">
        <is>
          <t>שנה 13</t>
        </is>
      </c>
      <c r="T108" s="23" t="inlineStr">
        <is>
          <t>שנה 14</t>
        </is>
      </c>
      <c r="U108" s="23" t="inlineStr">
        <is>
          <t>שנה 15</t>
        </is>
      </c>
      <c r="V108" s="23" t="inlineStr">
        <is>
          <t>שנה 16</t>
        </is>
      </c>
      <c r="W108" s="23" t="inlineStr">
        <is>
          <t>שנה 17</t>
        </is>
      </c>
      <c r="X108" s="23" t="inlineStr">
        <is>
          <t>שנה 18</t>
        </is>
      </c>
      <c r="Y108" s="23" t="inlineStr">
        <is>
          <t>שנה 19</t>
        </is>
      </c>
      <c r="Z108" s="23" t="inlineStr">
        <is>
          <t>שנה 20</t>
        </is>
      </c>
    </row>
    <row r="109">
      <c r="B109" s="6" t="inlineStr">
        <is>
          <t>פחת סטנדרטי — מערכת קירור קונבנציונלית — 100 RT</t>
        </is>
      </c>
      <c r="C109" s="10" t="inlineStr">
        <is>
          <t>₪</t>
        </is>
      </c>
      <c r="D109" s="10" t="inlineStr">
        <is>
          <t>חישוב</t>
        </is>
      </c>
      <c r="F109" s="50" t="n">
        <v>0</v>
      </c>
      <c r="G109" s="50">
        <f>IF(ISNUMBER('נתונים והנחות'!$H$39),'נתונים והנחות'!$H$39*0.1,0)</f>
        <v/>
      </c>
      <c r="H109" s="50">
        <f>IF(ISNUMBER('נתונים והנחות'!$H$39),'נתונים והנחות'!$H$39*0.1,0)</f>
        <v/>
      </c>
      <c r="I109" s="50">
        <f>IF(ISNUMBER('נתונים והנחות'!$H$39),'נתונים והנחות'!$H$39*0.1,0)</f>
        <v/>
      </c>
      <c r="J109" s="50">
        <f>IF(ISNUMBER('נתונים והנחות'!$H$39),'נתונים והנחות'!$H$39*0.1,0)</f>
        <v/>
      </c>
      <c r="K109" s="50">
        <f>IF(ISNUMBER('נתונים והנחות'!$H$39),'נתונים והנחות'!$H$39*0.1,0)</f>
        <v/>
      </c>
      <c r="L109" s="50">
        <f>IF(ISNUMBER('נתונים והנחות'!$H$39),'נתונים והנחות'!$H$39*0.1,0)</f>
        <v/>
      </c>
      <c r="M109" s="50">
        <f>IF(ISNUMBER('נתונים והנחות'!$H$39),'נתונים והנחות'!$H$39*0.1,0)</f>
        <v/>
      </c>
      <c r="N109" s="50">
        <f>IF(ISNUMBER('נתונים והנחות'!$H$39),'נתונים והנחות'!$H$39*0.1,0)</f>
        <v/>
      </c>
      <c r="O109" s="50">
        <f>IF(ISNUMBER('נתונים והנחות'!$H$39),'נתונים והנחות'!$H$39*0.1,0)</f>
        <v/>
      </c>
      <c r="P109" s="50">
        <f>IF(ISNUMBER('נתונים והנחות'!$H$39),'נתונים והנחות'!$H$39*0.1,0)</f>
        <v/>
      </c>
      <c r="Q109" s="50">
        <f>0</f>
        <v/>
      </c>
      <c r="R109" s="50">
        <f>0</f>
        <v/>
      </c>
      <c r="S109" s="50">
        <f>0</f>
        <v/>
      </c>
      <c r="T109" s="50">
        <f>0</f>
        <v/>
      </c>
      <c r="U109" s="50">
        <f>0</f>
        <v/>
      </c>
      <c r="V109" s="50">
        <f>0</f>
        <v/>
      </c>
      <c r="W109" s="50">
        <f>0</f>
        <v/>
      </c>
      <c r="X109" s="50">
        <f>0</f>
        <v/>
      </c>
      <c r="Y109" s="50">
        <f>0</f>
        <v/>
      </c>
      <c r="Z109" s="50">
        <f>0</f>
        <v/>
      </c>
    </row>
    <row r="110">
      <c r="B110" s="6" t="inlineStr">
        <is>
          <t>מגן מס — מערכת קירור קונבנציונלית — 100 RT</t>
        </is>
      </c>
      <c r="C110" s="10" t="inlineStr">
        <is>
          <t>₪</t>
        </is>
      </c>
      <c r="D110" s="10" t="inlineStr">
        <is>
          <t>חישוב</t>
        </is>
      </c>
      <c r="F110" s="50" t="n">
        <v>0</v>
      </c>
      <c r="G110" s="50">
        <f>G109*'נתונים והנחות'!$F$10</f>
        <v/>
      </c>
      <c r="H110" s="50">
        <f>H109*'נתונים והנחות'!$F$10</f>
        <v/>
      </c>
      <c r="I110" s="50">
        <f>I109*'נתונים והנחות'!$F$10</f>
        <v/>
      </c>
      <c r="J110" s="50">
        <f>J109*'נתונים והנחות'!$F$10</f>
        <v/>
      </c>
      <c r="K110" s="50">
        <f>K109*'נתונים והנחות'!$F$10</f>
        <v/>
      </c>
      <c r="L110" s="50">
        <f>L109*'נתונים והנחות'!$F$10</f>
        <v/>
      </c>
      <c r="M110" s="50">
        <f>M109*'נתונים והנחות'!$F$10</f>
        <v/>
      </c>
      <c r="N110" s="50">
        <f>N109*'נתונים והנחות'!$F$10</f>
        <v/>
      </c>
      <c r="O110" s="50">
        <f>O109*'נתונים והנחות'!$F$10</f>
        <v/>
      </c>
      <c r="P110" s="50">
        <f>P109*'נתונים והנחות'!$F$10</f>
        <v/>
      </c>
      <c r="Q110" s="50">
        <f>Q109*'נתונים והנחות'!$F$10</f>
        <v/>
      </c>
      <c r="R110" s="50">
        <f>R109*'נתונים והנחות'!$F$10</f>
        <v/>
      </c>
      <c r="S110" s="50">
        <f>S109*'נתונים והנחות'!$F$10</f>
        <v/>
      </c>
      <c r="T110" s="50">
        <f>T109*'נתונים והנחות'!$F$10</f>
        <v/>
      </c>
      <c r="U110" s="50">
        <f>U109*'נתונים והנחות'!$F$10</f>
        <v/>
      </c>
      <c r="V110" s="50">
        <f>V109*'נתונים והנחות'!$F$10</f>
        <v/>
      </c>
      <c r="W110" s="50">
        <f>W109*'נתונים והנחות'!$F$10</f>
        <v/>
      </c>
      <c r="X110" s="50">
        <f>X109*'נתונים והנחות'!$F$10</f>
        <v/>
      </c>
      <c r="Y110" s="50">
        <f>Y109*'נתונים והנחות'!$F$10</f>
        <v/>
      </c>
      <c r="Z110" s="50">
        <f>Z109*'נתונים והנחות'!$F$10</f>
        <v/>
      </c>
    </row>
    <row r="111">
      <c r="B111" s="7" t="inlineStr">
        <is>
          <t>פחת סטנדרטי — צ'ילרים — 100 RT</t>
        </is>
      </c>
      <c r="C111" s="10" t="inlineStr">
        <is>
          <t>₪</t>
        </is>
      </c>
      <c r="D111" s="10" t="inlineStr">
        <is>
          <t>חישוב</t>
        </is>
      </c>
      <c r="F111" s="51" t="n">
        <v>0</v>
      </c>
      <c r="G111" s="51">
        <f>IF(ISNUMBER('נתונים והנחות'!$H$40),'נתונים והנחות'!$H$40*0.1,0)</f>
        <v/>
      </c>
      <c r="H111" s="51">
        <f>IF(ISNUMBER('נתונים והנחות'!$H$40),'נתונים והנחות'!$H$40*0.1,0)</f>
        <v/>
      </c>
      <c r="I111" s="51">
        <f>IF(ISNUMBER('נתונים והנחות'!$H$40),'נתונים והנחות'!$H$40*0.1,0)</f>
        <v/>
      </c>
      <c r="J111" s="51">
        <f>IF(ISNUMBER('נתונים והנחות'!$H$40),'נתונים והנחות'!$H$40*0.1,0)</f>
        <v/>
      </c>
      <c r="K111" s="51">
        <f>IF(ISNUMBER('נתונים והנחות'!$H$40),'נתונים והנחות'!$H$40*0.1,0)</f>
        <v/>
      </c>
      <c r="L111" s="51">
        <f>IF(ISNUMBER('נתונים והנחות'!$H$40),'נתונים והנחות'!$H$40*0.1,0)</f>
        <v/>
      </c>
      <c r="M111" s="51">
        <f>IF(ISNUMBER('נתונים והנחות'!$H$40),'נתונים והנחות'!$H$40*0.1,0)</f>
        <v/>
      </c>
      <c r="N111" s="51">
        <f>IF(ISNUMBER('נתונים והנחות'!$H$40),'נתונים והנחות'!$H$40*0.1,0)</f>
        <v/>
      </c>
      <c r="O111" s="51">
        <f>IF(ISNUMBER('נתונים והנחות'!$H$40),'נתונים והנחות'!$H$40*0.1,0)</f>
        <v/>
      </c>
      <c r="P111" s="51">
        <f>IF(ISNUMBER('נתונים והנחות'!$H$40),'נתונים והנחות'!$H$40*0.1,0)</f>
        <v/>
      </c>
      <c r="Q111" s="51">
        <f>0</f>
        <v/>
      </c>
      <c r="R111" s="51">
        <f>0</f>
        <v/>
      </c>
      <c r="S111" s="51">
        <f>0</f>
        <v/>
      </c>
      <c r="T111" s="51">
        <f>0</f>
        <v/>
      </c>
      <c r="U111" s="51">
        <f>0</f>
        <v/>
      </c>
      <c r="V111" s="51">
        <f>0</f>
        <v/>
      </c>
      <c r="W111" s="51">
        <f>0</f>
        <v/>
      </c>
      <c r="X111" s="51">
        <f>0</f>
        <v/>
      </c>
      <c r="Y111" s="51">
        <f>0</f>
        <v/>
      </c>
      <c r="Z111" s="51">
        <f>0</f>
        <v/>
      </c>
    </row>
    <row r="112">
      <c r="B112" s="7" t="inlineStr">
        <is>
          <t>מגן מס סטנדרטי — צ'ילרים — 100 RT</t>
        </is>
      </c>
      <c r="C112" s="10" t="inlineStr">
        <is>
          <t>₪</t>
        </is>
      </c>
      <c r="D112" s="10" t="inlineStr">
        <is>
          <t>חישוב</t>
        </is>
      </c>
      <c r="F112" s="51" t="n">
        <v>0</v>
      </c>
      <c r="G112" s="51">
        <f>G111*'נתונים והנחות'!$F$10</f>
        <v/>
      </c>
      <c r="H112" s="51">
        <f>H111*'נתונים והנחות'!$F$10</f>
        <v/>
      </c>
      <c r="I112" s="51">
        <f>I111*'נתונים והנחות'!$F$10</f>
        <v/>
      </c>
      <c r="J112" s="51">
        <f>J111*'נתונים והנחות'!$F$10</f>
        <v/>
      </c>
      <c r="K112" s="51">
        <f>K111*'נתונים והנחות'!$F$10</f>
        <v/>
      </c>
      <c r="L112" s="51">
        <f>L111*'נתונים והנחות'!$F$10</f>
        <v/>
      </c>
      <c r="M112" s="51">
        <f>M111*'נתונים והנחות'!$F$10</f>
        <v/>
      </c>
      <c r="N112" s="51">
        <f>N111*'נתונים והנחות'!$F$10</f>
        <v/>
      </c>
      <c r="O112" s="51">
        <f>O111*'נתונים והנחות'!$F$10</f>
        <v/>
      </c>
      <c r="P112" s="51">
        <f>P111*'נתונים והנחות'!$F$10</f>
        <v/>
      </c>
      <c r="Q112" s="51">
        <f>Q111*'נתונים והנחות'!$F$10</f>
        <v/>
      </c>
      <c r="R112" s="51">
        <f>R111*'נתונים והנחות'!$F$10</f>
        <v/>
      </c>
      <c r="S112" s="51">
        <f>S111*'נתונים והנחות'!$F$10</f>
        <v/>
      </c>
      <c r="T112" s="51">
        <f>T111*'נתונים והנחות'!$F$10</f>
        <v/>
      </c>
      <c r="U112" s="51">
        <f>U111*'נתונים והנחות'!$F$10</f>
        <v/>
      </c>
      <c r="V112" s="51">
        <f>V111*'נתונים והנחות'!$F$10</f>
        <v/>
      </c>
      <c r="W112" s="51">
        <f>W111*'נתונים והנחות'!$F$10</f>
        <v/>
      </c>
      <c r="X112" s="51">
        <f>X111*'נתונים והנחות'!$F$10</f>
        <v/>
      </c>
      <c r="Y112" s="51">
        <f>Y111*'נתונים והנחות'!$F$10</f>
        <v/>
      </c>
      <c r="Z112" s="51">
        <f>Z111*'נתונים והנחות'!$F$10</f>
        <v/>
      </c>
    </row>
    <row r="113">
      <c r="B113" s="8" t="inlineStr">
        <is>
          <t>פחת מואץ — צ'ילרים — 100 RT</t>
        </is>
      </c>
      <c r="C113" s="10" t="inlineStr">
        <is>
          <t>₪</t>
        </is>
      </c>
      <c r="D113" s="10" t="inlineStr">
        <is>
          <t>חישוב</t>
        </is>
      </c>
      <c r="F113" s="52" t="n">
        <v>0</v>
      </c>
      <c r="G113" s="52">
        <f>IF(ISNUMBER('נתונים והנחות'!$H$40),IF(1&lt;=ROUND(1/(0.1*'נתונים והנחות'!$F$20),0),'נתונים והנחות'!$H$40*0.1*'נתונים והנחות'!$F$20,0),0)</f>
        <v/>
      </c>
      <c r="H113" s="52">
        <f>IF(ISNUMBER('נתונים והנחות'!$H$40),IF(2&lt;=ROUND(1/(0.1*'נתונים והנחות'!$F$20),0),'נתונים והנחות'!$H$40*0.1*'נתונים והנחות'!$F$20,0),0)</f>
        <v/>
      </c>
      <c r="I113" s="52">
        <f>IF(ISNUMBER('נתונים והנחות'!$H$40),IF(3&lt;=ROUND(1/(0.1*'נתונים והנחות'!$F$20),0),'נתונים והנחות'!$H$40*0.1*'נתונים והנחות'!$F$20,0),0)</f>
        <v/>
      </c>
      <c r="J113" s="52">
        <f>IF(ISNUMBER('נתונים והנחות'!$H$40),IF(4&lt;=ROUND(1/(0.1*'נתונים והנחות'!$F$20),0),'נתונים והנחות'!$H$40*0.1*'נתונים והנחות'!$F$20,0),0)</f>
        <v/>
      </c>
      <c r="K113" s="52">
        <f>IF(ISNUMBER('נתונים והנחות'!$H$40),IF(5&lt;=ROUND(1/(0.1*'נתונים והנחות'!$F$20),0),'נתונים והנחות'!$H$40*0.1*'נתונים והנחות'!$F$20,0),0)</f>
        <v/>
      </c>
      <c r="L113" s="52">
        <f>IF(ISNUMBER('נתונים והנחות'!$H$40),IF(6&lt;=ROUND(1/(0.1*'נתונים והנחות'!$F$20),0),'נתונים והנחות'!$H$40*0.1*'נתונים והנחות'!$F$20,0),0)</f>
        <v/>
      </c>
      <c r="M113" s="52">
        <f>IF(ISNUMBER('נתונים והנחות'!$H$40),IF(7&lt;=ROUND(1/(0.1*'נתונים והנחות'!$F$20),0),'נתונים והנחות'!$H$40*0.1*'נתונים והנחות'!$F$20,0),0)</f>
        <v/>
      </c>
      <c r="N113" s="52">
        <f>IF(ISNUMBER('נתונים והנחות'!$H$40),IF(8&lt;=ROUND(1/(0.1*'נתונים והנחות'!$F$20),0),'נתונים והנחות'!$H$40*0.1*'נתונים והנחות'!$F$20,0),0)</f>
        <v/>
      </c>
      <c r="O113" s="52">
        <f>IF(ISNUMBER('נתונים והנחות'!$H$40),IF(9&lt;=ROUND(1/(0.1*'נתונים והנחות'!$F$20),0),'נתונים והנחות'!$H$40*0.1*'נתונים והנחות'!$F$20,0),0)</f>
        <v/>
      </c>
      <c r="P113" s="52">
        <f>IF(ISNUMBER('נתונים והנחות'!$H$40),IF(10&lt;=ROUND(1/(0.1*'נתונים והנחות'!$F$20),0),'נתונים והנחות'!$H$40*0.1*'נתונים והנחות'!$F$20,0),0)</f>
        <v/>
      </c>
      <c r="Q113" s="52">
        <f>IF(ISNUMBER('נתונים והנחות'!$H$40),IF(11&lt;=ROUND(1/(0.1*'נתונים והנחות'!$F$20),0),'נתונים והנחות'!$H$40*0.1*'נתונים והנחות'!$F$20,0),0)</f>
        <v/>
      </c>
      <c r="R113" s="52">
        <f>IF(ISNUMBER('נתונים והנחות'!$H$40),IF(12&lt;=ROUND(1/(0.1*'נתונים והנחות'!$F$20),0),'נתונים והנחות'!$H$40*0.1*'נתונים והנחות'!$F$20,0),0)</f>
        <v/>
      </c>
      <c r="S113" s="52">
        <f>IF(ISNUMBER('נתונים והנחות'!$H$40),IF(13&lt;=ROUND(1/(0.1*'נתונים והנחות'!$F$20),0),'נתונים והנחות'!$H$40*0.1*'נתונים והנחות'!$F$20,0),0)</f>
        <v/>
      </c>
      <c r="T113" s="52">
        <f>IF(ISNUMBER('נתונים והנחות'!$H$40),IF(14&lt;=ROUND(1/(0.1*'נתונים והנחות'!$F$20),0),'נתונים והנחות'!$H$40*0.1*'נתונים והנחות'!$F$20,0),0)</f>
        <v/>
      </c>
      <c r="U113" s="52">
        <f>IF(ISNUMBER('נתונים והנחות'!$H$40),IF(15&lt;=ROUND(1/(0.1*'נתונים והנחות'!$F$20),0),'נתונים והנחות'!$H$40*0.1*'נתונים והנחות'!$F$20,0),0)</f>
        <v/>
      </c>
      <c r="V113" s="52">
        <f>IF(ISNUMBER('נתונים והנחות'!$H$40),IF(16&lt;=ROUND(1/(0.1*'נתונים והנחות'!$F$20),0),'נתונים והנחות'!$H$40*0.1*'נתונים והנחות'!$F$20,0),0)</f>
        <v/>
      </c>
      <c r="W113" s="52">
        <f>IF(ISNUMBER('נתונים והנחות'!$H$40),IF(17&lt;=ROUND(1/(0.1*'נתונים והנחות'!$F$20),0),'נתונים והנחות'!$H$40*0.1*'נתונים והנחות'!$F$20,0),0)</f>
        <v/>
      </c>
      <c r="X113" s="52">
        <f>IF(ISNUMBER('נתונים והנחות'!$H$40),IF(18&lt;=ROUND(1/(0.1*'נתונים והנחות'!$F$20),0),'נתונים והנחות'!$H$40*0.1*'נתונים והנחות'!$F$20,0),0)</f>
        <v/>
      </c>
      <c r="Y113" s="52">
        <f>IF(ISNUMBER('נתונים והנחות'!$H$40),IF(19&lt;=ROUND(1/(0.1*'נתונים והנחות'!$F$20),0),'נתונים והנחות'!$H$40*0.1*'נתונים והנחות'!$F$20,0),0)</f>
        <v/>
      </c>
      <c r="Z113" s="52">
        <f>IF(ISNUMBER('נתונים והנחות'!$H$40),IF(20&lt;=ROUND(1/(0.1*'נתונים והנחות'!$F$20),0),'נתונים והנחות'!$H$40*0.1*'נתונים והנחות'!$F$20,0),0)</f>
        <v/>
      </c>
    </row>
    <row r="114">
      <c r="B114" s="8" t="inlineStr">
        <is>
          <t>מגן מס מואץ — צ'ילרים — 100 RT</t>
        </is>
      </c>
      <c r="C114" s="10" t="inlineStr">
        <is>
          <t>₪</t>
        </is>
      </c>
      <c r="D114" s="10" t="inlineStr">
        <is>
          <t>חישוב</t>
        </is>
      </c>
      <c r="F114" s="52" t="n">
        <v>0</v>
      </c>
      <c r="G114" s="52">
        <f>G113*'נתונים והנחות'!$F$10</f>
        <v/>
      </c>
      <c r="H114" s="52">
        <f>H113*'נתונים והנחות'!$F$10</f>
        <v/>
      </c>
      <c r="I114" s="52">
        <f>I113*'נתונים והנחות'!$F$10</f>
        <v/>
      </c>
      <c r="J114" s="52">
        <f>J113*'נתונים והנחות'!$F$10</f>
        <v/>
      </c>
      <c r="K114" s="52">
        <f>K113*'נתונים והנחות'!$F$10</f>
        <v/>
      </c>
      <c r="L114" s="52">
        <f>L113*'נתונים והנחות'!$F$10</f>
        <v/>
      </c>
      <c r="M114" s="52">
        <f>M113*'נתונים והנחות'!$F$10</f>
        <v/>
      </c>
      <c r="N114" s="52">
        <f>N113*'נתונים והנחות'!$F$10</f>
        <v/>
      </c>
      <c r="O114" s="52">
        <f>O113*'נתונים והנחות'!$F$10</f>
        <v/>
      </c>
      <c r="P114" s="52">
        <f>P113*'נתונים והנחות'!$F$10</f>
        <v/>
      </c>
      <c r="Q114" s="52">
        <f>Q113*'נתונים והנחות'!$F$10</f>
        <v/>
      </c>
      <c r="R114" s="52">
        <f>R113*'נתונים והנחות'!$F$10</f>
        <v/>
      </c>
      <c r="S114" s="52">
        <f>S113*'נתונים והנחות'!$F$10</f>
        <v/>
      </c>
      <c r="T114" s="52">
        <f>T113*'נתונים והנחות'!$F$10</f>
        <v/>
      </c>
      <c r="U114" s="52">
        <f>U113*'נתונים והנחות'!$F$10</f>
        <v/>
      </c>
      <c r="V114" s="52">
        <f>V113*'נתונים והנחות'!$F$10</f>
        <v/>
      </c>
      <c r="W114" s="52">
        <f>W113*'נתונים והנחות'!$F$10</f>
        <v/>
      </c>
      <c r="X114" s="52">
        <f>X113*'נתונים והנחות'!$F$10</f>
        <v/>
      </c>
      <c r="Y114" s="52">
        <f>Y113*'נתונים והנחות'!$F$10</f>
        <v/>
      </c>
      <c r="Z114" s="52">
        <f>Z113*'נתונים והנחות'!$F$10</f>
        <v/>
      </c>
    </row>
    <row r="116">
      <c r="B116" s="49" t="inlineStr">
        <is>
          <t>ג. ניתוח תזרים מזומנים — שלושה תרחישים</t>
        </is>
      </c>
    </row>
    <row r="117">
      <c r="B117" s="23" t="inlineStr">
        <is>
          <t>פרמטר</t>
        </is>
      </c>
      <c r="C117" s="23" t="inlineStr">
        <is>
          <t>יחידות</t>
        </is>
      </c>
      <c r="D117" s="23" t="inlineStr">
        <is>
          <t>מקור</t>
        </is>
      </c>
      <c r="E117" s="23" t="inlineStr">
        <is>
          <t>הערות</t>
        </is>
      </c>
      <c r="F117" s="23" t="inlineStr">
        <is>
          <t>שנה 0 (השקעה)</t>
        </is>
      </c>
      <c r="G117" s="23" t="inlineStr">
        <is>
          <t>שנה 1</t>
        </is>
      </c>
      <c r="H117" s="23" t="inlineStr">
        <is>
          <t>שנה 2</t>
        </is>
      </c>
      <c r="I117" s="23" t="inlineStr">
        <is>
          <t>שנה 3</t>
        </is>
      </c>
      <c r="J117" s="23" t="inlineStr">
        <is>
          <t>שנה 4</t>
        </is>
      </c>
      <c r="K117" s="23" t="inlineStr">
        <is>
          <t>שנה 5</t>
        </is>
      </c>
      <c r="L117" s="23" t="inlineStr">
        <is>
          <t>שנה 6</t>
        </is>
      </c>
      <c r="M117" s="23" t="inlineStr">
        <is>
          <t>שנה 7</t>
        </is>
      </c>
      <c r="N117" s="23" t="inlineStr">
        <is>
          <t>שנה 8</t>
        </is>
      </c>
      <c r="O117" s="23" t="inlineStr">
        <is>
          <t>שנה 9</t>
        </is>
      </c>
      <c r="P117" s="23" t="inlineStr">
        <is>
          <t>שנה 10</t>
        </is>
      </c>
      <c r="Q117" s="23" t="inlineStr">
        <is>
          <t>שנה 11</t>
        </is>
      </c>
      <c r="R117" s="23" t="inlineStr">
        <is>
          <t>שנה 12</t>
        </is>
      </c>
      <c r="S117" s="23" t="inlineStr">
        <is>
          <t>שנה 13</t>
        </is>
      </c>
      <c r="T117" s="23" t="inlineStr">
        <is>
          <t>שנה 14</t>
        </is>
      </c>
      <c r="U117" s="23" t="inlineStr">
        <is>
          <t>שנה 15</t>
        </is>
      </c>
      <c r="V117" s="23" t="inlineStr">
        <is>
          <t>שנה 16</t>
        </is>
      </c>
      <c r="W117" s="23" t="inlineStr">
        <is>
          <t>שנה 17</t>
        </is>
      </c>
      <c r="X117" s="23" t="inlineStr">
        <is>
          <t>שנה 18</t>
        </is>
      </c>
      <c r="Y117" s="23" t="inlineStr">
        <is>
          <t>שנה 19</t>
        </is>
      </c>
      <c r="Z117" s="23" t="inlineStr">
        <is>
          <t>שנה 20</t>
        </is>
      </c>
    </row>
    <row r="118">
      <c r="B118" s="53" t="inlineStr">
        <is>
          <t>תרחיש A — רכישת מערכת קירור קונבנציונלית — 100 RT (ציוד קיים)</t>
        </is>
      </c>
    </row>
    <row r="119">
      <c r="B119" s="6" t="inlineStr">
        <is>
          <t>השקעה ראשונית</t>
        </is>
      </c>
      <c r="C119" s="10" t="inlineStr">
        <is>
          <t>₪</t>
        </is>
      </c>
      <c r="D119" s="10" t="inlineStr">
        <is>
          <t>חישוב</t>
        </is>
      </c>
      <c r="F119" s="50">
        <f>IF(ISNUMBER('נתונים והנחות'!$H$39),-'נתונים והנחות'!$H$39,"PENDING")</f>
        <v/>
      </c>
    </row>
    <row r="120">
      <c r="B120" s="6" t="inlineStr">
        <is>
          <t>OPEX אנרגיה/דלק</t>
        </is>
      </c>
      <c r="C120" s="10" t="inlineStr">
        <is>
          <t>₪</t>
        </is>
      </c>
      <c r="D120" s="10" t="inlineStr">
        <is>
          <t>חישוב</t>
        </is>
      </c>
      <c r="F120" s="50" t="n">
        <v>0</v>
      </c>
      <c r="G120" s="50">
        <f>IF(ISNUMBER('נתונים והנחות'!$H$47),-'נתונים והנחות'!$H$47,0)</f>
        <v/>
      </c>
      <c r="H120" s="50">
        <f>IF(ISNUMBER('נתונים והנחות'!$H$47),-'נתונים והנחות'!$H$47,0)</f>
        <v/>
      </c>
      <c r="I120" s="50">
        <f>IF(ISNUMBER('נתונים והנחות'!$H$47),-'נתונים והנחות'!$H$47,0)</f>
        <v/>
      </c>
      <c r="J120" s="50">
        <f>IF(ISNUMBER('נתונים והנחות'!$H$47),-'נתונים והנחות'!$H$47,0)</f>
        <v/>
      </c>
      <c r="K120" s="50">
        <f>IF(ISNUMBER('נתונים והנחות'!$H$47),-'נתונים והנחות'!$H$47,0)</f>
        <v/>
      </c>
      <c r="L120" s="50">
        <f>IF(ISNUMBER('נתונים והנחות'!$H$47),-'נתונים והנחות'!$H$47,0)</f>
        <v/>
      </c>
      <c r="M120" s="50">
        <f>IF(ISNUMBER('נתונים והנחות'!$H$47),-'נתונים והנחות'!$H$47,0)</f>
        <v/>
      </c>
      <c r="N120" s="50">
        <f>IF(ISNUMBER('נתונים והנחות'!$H$47),-'נתונים והנחות'!$H$47,0)</f>
        <v/>
      </c>
      <c r="O120" s="50">
        <f>IF(ISNUMBER('נתונים והנחות'!$H$47),-'נתונים והנחות'!$H$47,0)</f>
        <v/>
      </c>
      <c r="P120" s="50">
        <f>IF(ISNUMBER('נתונים והנחות'!$H$47),-'נתונים והנחות'!$H$47,0)</f>
        <v/>
      </c>
      <c r="Q120" s="50">
        <f>IF(ISNUMBER('נתונים והנחות'!$H$47),-'נתונים והנחות'!$H$47,0)</f>
        <v/>
      </c>
      <c r="R120" s="50">
        <f>IF(ISNUMBER('נתונים והנחות'!$H$47),-'נתונים והנחות'!$H$47,0)</f>
        <v/>
      </c>
      <c r="S120" s="50">
        <f>IF(ISNUMBER('נתונים והנחות'!$H$47),-'נתונים והנחות'!$H$47,0)</f>
        <v/>
      </c>
      <c r="T120" s="50">
        <f>IF(ISNUMBER('נתונים והנחות'!$H$47),-'נתונים והנחות'!$H$47,0)</f>
        <v/>
      </c>
      <c r="U120" s="50">
        <f>IF(ISNUMBER('נתונים והנחות'!$H$47),-'נתונים והנחות'!$H$47,0)</f>
        <v/>
      </c>
      <c r="V120" s="50">
        <f>0</f>
        <v/>
      </c>
      <c r="W120" s="50">
        <f>0</f>
        <v/>
      </c>
      <c r="X120" s="50">
        <f>0</f>
        <v/>
      </c>
      <c r="Y120" s="50">
        <f>0</f>
        <v/>
      </c>
      <c r="Z120" s="50">
        <f>0</f>
        <v/>
      </c>
    </row>
    <row r="121">
      <c r="B121" s="6" t="inlineStr">
        <is>
          <t>OPEX אחר</t>
        </is>
      </c>
      <c r="C121" s="10" t="inlineStr">
        <is>
          <t>₪</t>
        </is>
      </c>
      <c r="D121" s="10" t="inlineStr">
        <is>
          <t>חישוב</t>
        </is>
      </c>
      <c r="F121" s="50" t="n">
        <v>0</v>
      </c>
      <c r="G121" s="50">
        <f>IF(ISNUMBER('נתונים והנחות'!$H$45),-'נתונים והנחות'!$H$45,0)</f>
        <v/>
      </c>
      <c r="H121" s="50">
        <f>IF(ISNUMBER('נתונים והנחות'!$H$45),-'נתונים והנחות'!$H$45,0)</f>
        <v/>
      </c>
      <c r="I121" s="50">
        <f>IF(ISNUMBER('נתונים והנחות'!$H$45),-'נתונים והנחות'!$H$45,0)</f>
        <v/>
      </c>
      <c r="J121" s="50">
        <f>IF(ISNUMBER('נתונים והנחות'!$H$45),-'נתונים והנחות'!$H$45,0)</f>
        <v/>
      </c>
      <c r="K121" s="50">
        <f>IF(ISNUMBER('נתונים והנחות'!$H$45),-'נתונים והנחות'!$H$45,0)</f>
        <v/>
      </c>
      <c r="L121" s="50">
        <f>IF(ISNUMBER('נתונים והנחות'!$H$45),-'נתונים והנחות'!$H$45,0)</f>
        <v/>
      </c>
      <c r="M121" s="50">
        <f>IF(ISNUMBER('נתונים והנחות'!$H$45),-'נתונים והנחות'!$H$45,0)</f>
        <v/>
      </c>
      <c r="N121" s="50">
        <f>IF(ISNUMBER('נתונים והנחות'!$H$45),-'נתונים והנחות'!$H$45,0)</f>
        <v/>
      </c>
      <c r="O121" s="50">
        <f>IF(ISNUMBER('נתונים והנחות'!$H$45),-'נתונים והנחות'!$H$45,0)</f>
        <v/>
      </c>
      <c r="P121" s="50">
        <f>IF(ISNUMBER('נתונים והנחות'!$H$45),-'נתונים והנחות'!$H$45,0)</f>
        <v/>
      </c>
      <c r="Q121" s="50">
        <f>IF(ISNUMBER('נתונים והנחות'!$H$45),-'נתונים והנחות'!$H$45,0)</f>
        <v/>
      </c>
      <c r="R121" s="50">
        <f>IF(ISNUMBER('נתונים והנחות'!$H$45),-'נתונים והנחות'!$H$45,0)</f>
        <v/>
      </c>
      <c r="S121" s="50">
        <f>IF(ISNUMBER('נתונים והנחות'!$H$45),-'נתונים והנחות'!$H$45,0)</f>
        <v/>
      </c>
      <c r="T121" s="50">
        <f>IF(ISNUMBER('נתונים והנחות'!$H$45),-'נתונים והנחות'!$H$45,0)</f>
        <v/>
      </c>
      <c r="U121" s="50">
        <f>IF(ISNUMBER('נתונים והנחות'!$H$45),-'נתונים והנחות'!$H$45,0)</f>
        <v/>
      </c>
      <c r="V121" s="50">
        <f>0</f>
        <v/>
      </c>
      <c r="W121" s="50">
        <f>0</f>
        <v/>
      </c>
      <c r="X121" s="50">
        <f>0</f>
        <v/>
      </c>
      <c r="Y121" s="50">
        <f>0</f>
        <v/>
      </c>
      <c r="Z121" s="50">
        <f>0</f>
        <v/>
      </c>
    </row>
    <row r="122">
      <c r="B122" s="6" t="inlineStr">
        <is>
          <t>תזרים נקי — A</t>
        </is>
      </c>
      <c r="C122" s="10" t="inlineStr">
        <is>
          <t>₪</t>
        </is>
      </c>
      <c r="D122" s="10" t="inlineStr">
        <is>
          <t>חישוב</t>
        </is>
      </c>
      <c r="F122" s="50">
        <f>F119</f>
        <v/>
      </c>
      <c r="G122" s="50">
        <f>G120+G121+G110</f>
        <v/>
      </c>
      <c r="H122" s="50">
        <f>H120+H121+H110</f>
        <v/>
      </c>
      <c r="I122" s="50">
        <f>I120+I121+I110</f>
        <v/>
      </c>
      <c r="J122" s="50">
        <f>J120+J121+J110</f>
        <v/>
      </c>
      <c r="K122" s="50">
        <f>K120+K121+K110</f>
        <v/>
      </c>
      <c r="L122" s="50">
        <f>L120+L121+L110</f>
        <v/>
      </c>
      <c r="M122" s="50">
        <f>M120+M121+M110</f>
        <v/>
      </c>
      <c r="N122" s="50">
        <f>N120+N121+N110</f>
        <v/>
      </c>
      <c r="O122" s="50">
        <f>O120+O121+O110</f>
        <v/>
      </c>
      <c r="P122" s="50">
        <f>P120+P121+P110</f>
        <v/>
      </c>
      <c r="Q122" s="50">
        <f>Q120+Q121+Q110</f>
        <v/>
      </c>
      <c r="R122" s="50">
        <f>R120+R121+R110</f>
        <v/>
      </c>
      <c r="S122" s="50">
        <f>S120+S121+S110</f>
        <v/>
      </c>
      <c r="T122" s="50">
        <f>T120+T121+T110</f>
        <v/>
      </c>
      <c r="U122" s="50">
        <f>U120+U121+U110</f>
        <v/>
      </c>
      <c r="V122" s="50">
        <f>V120+V121+V110</f>
        <v/>
      </c>
      <c r="W122" s="50">
        <f>W120+W121+W110</f>
        <v/>
      </c>
      <c r="X122" s="50">
        <f>X120+X121+X110</f>
        <v/>
      </c>
      <c r="Y122" s="50">
        <f>Y120+Y121+Y110</f>
        <v/>
      </c>
      <c r="Z122" s="50">
        <f>Z120+Z121+Z110</f>
        <v/>
      </c>
    </row>
    <row r="123">
      <c r="B123" s="6" t="inlineStr">
        <is>
          <t>תזרים מהוון — A</t>
        </is>
      </c>
      <c r="C123" s="10" t="inlineStr">
        <is>
          <t>₪</t>
        </is>
      </c>
      <c r="D123" s="10" t="inlineStr">
        <is>
          <t>חישוב</t>
        </is>
      </c>
      <c r="F123" s="50">
        <f>F122</f>
        <v/>
      </c>
      <c r="G123" s="50">
        <f>G122/(1+'נתונים והנחות'!$F$11)^1</f>
        <v/>
      </c>
      <c r="H123" s="50">
        <f>H122/(1+'נתונים והנחות'!$F$11)^2</f>
        <v/>
      </c>
      <c r="I123" s="50">
        <f>I122/(1+'נתונים והנחות'!$F$11)^3</f>
        <v/>
      </c>
      <c r="J123" s="50">
        <f>J122/(1+'נתונים והנחות'!$F$11)^4</f>
        <v/>
      </c>
      <c r="K123" s="50">
        <f>K122/(1+'נתונים והנחות'!$F$11)^5</f>
        <v/>
      </c>
      <c r="L123" s="50">
        <f>L122/(1+'נתונים והנחות'!$F$11)^6</f>
        <v/>
      </c>
      <c r="M123" s="50">
        <f>M122/(1+'נתונים והנחות'!$F$11)^7</f>
        <v/>
      </c>
      <c r="N123" s="50">
        <f>N122/(1+'נתונים והנחות'!$F$11)^8</f>
        <v/>
      </c>
      <c r="O123" s="50">
        <f>O122/(1+'נתונים והנחות'!$F$11)^9</f>
        <v/>
      </c>
      <c r="P123" s="50">
        <f>P122/(1+'נתונים והנחות'!$F$11)^10</f>
        <v/>
      </c>
      <c r="Q123" s="50">
        <f>Q122/(1+'נתונים והנחות'!$F$11)^11</f>
        <v/>
      </c>
      <c r="R123" s="50">
        <f>R122/(1+'נתונים והנחות'!$F$11)^12</f>
        <v/>
      </c>
      <c r="S123" s="50">
        <f>S122/(1+'נתונים והנחות'!$F$11)^13</f>
        <v/>
      </c>
      <c r="T123" s="50">
        <f>T122/(1+'נתונים והנחות'!$F$11)^14</f>
        <v/>
      </c>
      <c r="U123" s="50">
        <f>U122/(1+'נתונים והנחות'!$F$11)^15</f>
        <v/>
      </c>
      <c r="V123" s="50">
        <f>V122/(1+'נתונים והנחות'!$F$11)^16</f>
        <v/>
      </c>
      <c r="W123" s="50">
        <f>W122/(1+'נתונים והנחות'!$F$11)^17</f>
        <v/>
      </c>
      <c r="X123" s="50">
        <f>X122/(1+'נתונים והנחות'!$F$11)^18</f>
        <v/>
      </c>
      <c r="Y123" s="50">
        <f>Y122/(1+'נתונים והנחות'!$F$11)^19</f>
        <v/>
      </c>
      <c r="Z123" s="50">
        <f>Z122/(1+'נתונים והנחות'!$F$11)^20</f>
        <v/>
      </c>
    </row>
    <row r="125">
      <c r="B125" s="54" t="inlineStr">
        <is>
          <t>תרחיש B — רכישת צ'ילרים — 100 RT | פחת סטנדרטי (ללא תמריץ)</t>
        </is>
      </c>
    </row>
    <row r="126">
      <c r="B126" s="7" t="inlineStr">
        <is>
          <t>השקעה ראשונית</t>
        </is>
      </c>
      <c r="C126" s="10" t="inlineStr">
        <is>
          <t>₪</t>
        </is>
      </c>
      <c r="D126" s="10" t="inlineStr">
        <is>
          <t>חישוב</t>
        </is>
      </c>
      <c r="F126" s="51">
        <f>IF(ISNUMBER('נתונים והנחות'!$H$40),-'נתונים והנחות'!$H$40,"PENDING")</f>
        <v/>
      </c>
    </row>
    <row r="127">
      <c r="B127" s="7" t="inlineStr">
        <is>
          <t>OPEX אנרגיה (עם שחיקה)</t>
        </is>
      </c>
      <c r="C127" s="10" t="inlineStr">
        <is>
          <t>₪</t>
        </is>
      </c>
      <c r="D127" s="10" t="inlineStr">
        <is>
          <t>חישוב</t>
        </is>
      </c>
      <c r="F127" s="51" t="n">
        <v>0</v>
      </c>
      <c r="G127" s="51">
        <f>IF(ISNUMBER('נתונים והנחות'!$H$48),-'נתונים והנחות'!$H$48*(1-0.005)^0,0)</f>
        <v/>
      </c>
      <c r="H127" s="51">
        <f>IF(ISNUMBER('נתונים והנחות'!$H$48),-'נתונים והנחות'!$H$48*(1-0.005)^1,0)</f>
        <v/>
      </c>
      <c r="I127" s="51">
        <f>IF(ISNUMBER('נתונים והנחות'!$H$48),-'נתונים והנחות'!$H$48*(1-0.005)^2,0)</f>
        <v/>
      </c>
      <c r="J127" s="51">
        <f>IF(ISNUMBER('נתונים והנחות'!$H$48),-'נתונים והנחות'!$H$48*(1-0.005)^3,0)</f>
        <v/>
      </c>
      <c r="K127" s="51">
        <f>IF(ISNUMBER('נתונים והנחות'!$H$48),-'נתונים והנחות'!$H$48*(1-0.005)^4,0)</f>
        <v/>
      </c>
      <c r="L127" s="51">
        <f>IF(ISNUMBER('נתונים והנחות'!$H$48),-'נתונים והנחות'!$H$48*(1-0.005)^5,0)</f>
        <v/>
      </c>
      <c r="M127" s="51">
        <f>IF(ISNUMBER('נתונים והנחות'!$H$48),-'נתונים והנחות'!$H$48*(1-0.005)^6,0)</f>
        <v/>
      </c>
      <c r="N127" s="51">
        <f>IF(ISNUMBER('נתונים והנחות'!$H$48),-'נתונים והנחות'!$H$48*(1-0.005)^7,0)</f>
        <v/>
      </c>
      <c r="O127" s="51">
        <f>IF(ISNUMBER('נתונים והנחות'!$H$48),-'נתונים והנחות'!$H$48*(1-0.005)^8,0)</f>
        <v/>
      </c>
      <c r="P127" s="51">
        <f>IF(ISNUMBER('נתונים והנחות'!$H$48),-'נתונים והנחות'!$H$48*(1-0.005)^9,0)</f>
        <v/>
      </c>
      <c r="Q127" s="51">
        <f>IF(ISNUMBER('נתונים והנחות'!$H$48),-'נתונים והנחות'!$H$48*(1-0.005)^10,0)</f>
        <v/>
      </c>
      <c r="R127" s="51">
        <f>IF(ISNUMBER('נתונים והנחות'!$H$48),-'נתונים והנחות'!$H$48*(1-0.005)^11,0)</f>
        <v/>
      </c>
      <c r="S127" s="51">
        <f>IF(ISNUMBER('נתונים והנחות'!$H$48),-'נתונים והנחות'!$H$48*(1-0.005)^12,0)</f>
        <v/>
      </c>
      <c r="T127" s="51">
        <f>IF(ISNUMBER('נתונים והנחות'!$H$48),-'נתונים והנחות'!$H$48*(1-0.005)^13,0)</f>
        <v/>
      </c>
      <c r="U127" s="51">
        <f>IF(ISNUMBER('נתונים והנחות'!$H$48),-'נתונים והנחות'!$H$48*(1-0.005)^14,0)</f>
        <v/>
      </c>
      <c r="V127" s="51">
        <f>IF(ISNUMBER('נתונים והנחות'!$H$48),-'נתונים והנחות'!$H$48*(1-0.005)^15,0)</f>
        <v/>
      </c>
      <c r="W127" s="51">
        <f>IF(ISNUMBER('נתונים והנחות'!$H$48),-'נתונים והנחות'!$H$48*(1-0.005)^16,0)</f>
        <v/>
      </c>
      <c r="X127" s="51">
        <f>0</f>
        <v/>
      </c>
      <c r="Y127" s="51">
        <f>0</f>
        <v/>
      </c>
      <c r="Z127" s="51">
        <f>0</f>
        <v/>
      </c>
    </row>
    <row r="128">
      <c r="B128" s="7" t="inlineStr">
        <is>
          <t>OPEX אחר</t>
        </is>
      </c>
      <c r="C128" s="10" t="inlineStr">
        <is>
          <t>₪</t>
        </is>
      </c>
      <c r="D128" s="10" t="inlineStr">
        <is>
          <t>חישוב</t>
        </is>
      </c>
      <c r="F128" s="51" t="n">
        <v>0</v>
      </c>
      <c r="G128" s="51">
        <f>IF(ISNUMBER('נתונים והנחות'!$H$46),-'נתונים והנחות'!$H$46,0)</f>
        <v/>
      </c>
      <c r="H128" s="51">
        <f>IF(ISNUMBER('נתונים והנחות'!$H$46),-'נתונים והנחות'!$H$46,0)</f>
        <v/>
      </c>
      <c r="I128" s="51">
        <f>IF(ISNUMBER('נתונים והנחות'!$H$46),-'נתונים והנחות'!$H$46,0)</f>
        <v/>
      </c>
      <c r="J128" s="51">
        <f>IF(ISNUMBER('נתונים והנחות'!$H$46),-'נתונים והנחות'!$H$46,0)</f>
        <v/>
      </c>
      <c r="K128" s="51">
        <f>IF(ISNUMBER('נתונים והנחות'!$H$46),-'נתונים והנחות'!$H$46,0)</f>
        <v/>
      </c>
      <c r="L128" s="51">
        <f>IF(ISNUMBER('נתונים והנחות'!$H$46),-'נתונים והנחות'!$H$46,0)</f>
        <v/>
      </c>
      <c r="M128" s="51">
        <f>IF(ISNUMBER('נתונים והנחות'!$H$46),-'נתונים והנחות'!$H$46,0)</f>
        <v/>
      </c>
      <c r="N128" s="51">
        <f>IF(ISNUMBER('נתונים והנחות'!$H$46),-'נתונים והנחות'!$H$46,0)</f>
        <v/>
      </c>
      <c r="O128" s="51">
        <f>IF(ISNUMBER('נתונים והנחות'!$H$46),-'נתונים והנחות'!$H$46,0)</f>
        <v/>
      </c>
      <c r="P128" s="51">
        <f>IF(ISNUMBER('נתונים והנחות'!$H$46),-'נתונים והנחות'!$H$46,0)</f>
        <v/>
      </c>
      <c r="Q128" s="51">
        <f>IF(ISNUMBER('נתונים והנחות'!$H$46),-'נתונים והנחות'!$H$46,0)</f>
        <v/>
      </c>
      <c r="R128" s="51">
        <f>IF(ISNUMBER('נתונים והנחות'!$H$46),-'נתונים והנחות'!$H$46,0)</f>
        <v/>
      </c>
      <c r="S128" s="51">
        <f>IF(ISNUMBER('נתונים והנחות'!$H$46),-'נתונים והנחות'!$H$46,0)</f>
        <v/>
      </c>
      <c r="T128" s="51">
        <f>IF(ISNUMBER('נתונים והנחות'!$H$46),-'נתונים והנחות'!$H$46,0)</f>
        <v/>
      </c>
      <c r="U128" s="51">
        <f>IF(ISNUMBER('נתונים והנחות'!$H$46),-'נתונים והנחות'!$H$46,0)</f>
        <v/>
      </c>
      <c r="V128" s="51">
        <f>IF(ISNUMBER('נתונים והנחות'!$H$46),-'נתונים והנחות'!$H$46,0)</f>
        <v/>
      </c>
      <c r="W128" s="51">
        <f>IF(ISNUMBER('נתונים והנחות'!$H$46),-'נתונים והנחות'!$H$46,0)</f>
        <v/>
      </c>
      <c r="X128" s="51">
        <f>0</f>
        <v/>
      </c>
      <c r="Y128" s="51">
        <f>0</f>
        <v/>
      </c>
      <c r="Z128" s="51">
        <f>0</f>
        <v/>
      </c>
    </row>
    <row r="129">
      <c r="B129" s="7" t="inlineStr">
        <is>
          <t>תזרים נקי — B</t>
        </is>
      </c>
      <c r="C129" s="10" t="inlineStr">
        <is>
          <t>₪</t>
        </is>
      </c>
      <c r="D129" s="10" t="inlineStr">
        <is>
          <t>חישוב</t>
        </is>
      </c>
      <c r="F129" s="51">
        <f>F126</f>
        <v/>
      </c>
      <c r="G129" s="51">
        <f>G127+G128+G112</f>
        <v/>
      </c>
      <c r="H129" s="51">
        <f>H127+H128+H112</f>
        <v/>
      </c>
      <c r="I129" s="51">
        <f>I127+I128+I112</f>
        <v/>
      </c>
      <c r="J129" s="51">
        <f>J127+J128+J112</f>
        <v/>
      </c>
      <c r="K129" s="51">
        <f>K127+K128+K112</f>
        <v/>
      </c>
      <c r="L129" s="51">
        <f>L127+L128+L112</f>
        <v/>
      </c>
      <c r="M129" s="51">
        <f>M127+M128+M112</f>
        <v/>
      </c>
      <c r="N129" s="51">
        <f>N127+N128+N112</f>
        <v/>
      </c>
      <c r="O129" s="51">
        <f>O127+O128+O112</f>
        <v/>
      </c>
      <c r="P129" s="51">
        <f>P127+P128+P112</f>
        <v/>
      </c>
      <c r="Q129" s="51">
        <f>Q127+Q128+Q112</f>
        <v/>
      </c>
      <c r="R129" s="51">
        <f>R127+R128+R112</f>
        <v/>
      </c>
      <c r="S129" s="51">
        <f>S127+S128+S112</f>
        <v/>
      </c>
      <c r="T129" s="51">
        <f>T127+T128+T112</f>
        <v/>
      </c>
      <c r="U129" s="51">
        <f>U127+U128+U112</f>
        <v/>
      </c>
      <c r="V129" s="51">
        <f>V127+V128+V112</f>
        <v/>
      </c>
      <c r="W129" s="51">
        <f>W127+W128+W112</f>
        <v/>
      </c>
      <c r="X129" s="51">
        <f>X127+X128+X112</f>
        <v/>
      </c>
      <c r="Y129" s="51">
        <f>Y127+Y128+Y112</f>
        <v/>
      </c>
      <c r="Z129" s="51">
        <f>Z127+Z128+Z112</f>
        <v/>
      </c>
    </row>
    <row r="130">
      <c r="B130" s="7" t="inlineStr">
        <is>
          <t>תזרים מהוון — B</t>
        </is>
      </c>
      <c r="C130" s="10" t="inlineStr">
        <is>
          <t>₪</t>
        </is>
      </c>
      <c r="D130" s="10" t="inlineStr">
        <is>
          <t>חישוב</t>
        </is>
      </c>
      <c r="F130" s="51">
        <f>F129</f>
        <v/>
      </c>
      <c r="G130" s="51">
        <f>G129/(1+'נתונים והנחות'!$F$11)^1</f>
        <v/>
      </c>
      <c r="H130" s="51">
        <f>H129/(1+'נתונים והנחות'!$F$11)^2</f>
        <v/>
      </c>
      <c r="I130" s="51">
        <f>I129/(1+'נתונים והנחות'!$F$11)^3</f>
        <v/>
      </c>
      <c r="J130" s="51">
        <f>J129/(1+'נתונים והנחות'!$F$11)^4</f>
        <v/>
      </c>
      <c r="K130" s="51">
        <f>K129/(1+'נתונים והנחות'!$F$11)^5</f>
        <v/>
      </c>
      <c r="L130" s="51">
        <f>L129/(1+'נתונים והנחות'!$F$11)^6</f>
        <v/>
      </c>
      <c r="M130" s="51">
        <f>M129/(1+'נתונים והנחות'!$F$11)^7</f>
        <v/>
      </c>
      <c r="N130" s="51">
        <f>N129/(1+'נתונים והנחות'!$F$11)^8</f>
        <v/>
      </c>
      <c r="O130" s="51">
        <f>O129/(1+'נתונים והנחות'!$F$11)^9</f>
        <v/>
      </c>
      <c r="P130" s="51">
        <f>P129/(1+'נתונים והנחות'!$F$11)^10</f>
        <v/>
      </c>
      <c r="Q130" s="51">
        <f>Q129/(1+'נתונים והנחות'!$F$11)^11</f>
        <v/>
      </c>
      <c r="R130" s="51">
        <f>R129/(1+'נתונים והנחות'!$F$11)^12</f>
        <v/>
      </c>
      <c r="S130" s="51">
        <f>S129/(1+'נתונים והנחות'!$F$11)^13</f>
        <v/>
      </c>
      <c r="T130" s="51">
        <f>T129/(1+'נתונים והנחות'!$F$11)^14</f>
        <v/>
      </c>
      <c r="U130" s="51">
        <f>U129/(1+'נתונים והנחות'!$F$11)^15</f>
        <v/>
      </c>
      <c r="V130" s="51">
        <f>V129/(1+'נתונים והנחות'!$F$11)^16</f>
        <v/>
      </c>
      <c r="W130" s="51">
        <f>W129/(1+'נתונים והנחות'!$F$11)^17</f>
        <v/>
      </c>
      <c r="X130" s="51">
        <f>X129/(1+'נתונים והנחות'!$F$11)^18</f>
        <v/>
      </c>
      <c r="Y130" s="51">
        <f>Y129/(1+'נתונים והנחות'!$F$11)^19</f>
        <v/>
      </c>
      <c r="Z130" s="51">
        <f>Z129/(1+'נתונים והנחות'!$F$11)^20</f>
        <v/>
      </c>
    </row>
    <row r="132">
      <c r="B132" s="55" t="inlineStr">
        <is>
          <t>תרחיש C — רכישת צ'ילרים — 100 RT | פחת מואץ (עם תמריץ)</t>
        </is>
      </c>
    </row>
    <row r="133">
      <c r="B133" s="48" t="inlineStr">
        <is>
          <t>* OPEX זהה ל-B — ההבדל הוא מגן המס המואץ בלבד</t>
        </is>
      </c>
    </row>
    <row r="134">
      <c r="B134" s="8" t="inlineStr">
        <is>
          <t>תזרים נקי — C</t>
        </is>
      </c>
      <c r="C134" s="10" t="inlineStr">
        <is>
          <t>₪</t>
        </is>
      </c>
      <c r="D134" s="10" t="inlineStr">
        <is>
          <t>חישוב</t>
        </is>
      </c>
      <c r="F134" s="52">
        <f>F126</f>
        <v/>
      </c>
      <c r="G134" s="52">
        <f>G127+G128+G114</f>
        <v/>
      </c>
      <c r="H134" s="52">
        <f>H127+H128+H114</f>
        <v/>
      </c>
      <c r="I134" s="52">
        <f>I127+I128+I114</f>
        <v/>
      </c>
      <c r="J134" s="52">
        <f>J127+J128+J114</f>
        <v/>
      </c>
      <c r="K134" s="52">
        <f>K127+K128+K114</f>
        <v/>
      </c>
      <c r="L134" s="52">
        <f>L127+L128+L114</f>
        <v/>
      </c>
      <c r="M134" s="52">
        <f>M127+M128+M114</f>
        <v/>
      </c>
      <c r="N134" s="52">
        <f>N127+N128+N114</f>
        <v/>
      </c>
      <c r="O134" s="52">
        <f>O127+O128+O114</f>
        <v/>
      </c>
      <c r="P134" s="52">
        <f>P127+P128+P114</f>
        <v/>
      </c>
      <c r="Q134" s="52">
        <f>Q127+Q128+Q114</f>
        <v/>
      </c>
      <c r="R134" s="52">
        <f>R127+R128+R114</f>
        <v/>
      </c>
      <c r="S134" s="52">
        <f>S127+S128+S114</f>
        <v/>
      </c>
      <c r="T134" s="52">
        <f>T127+T128+T114</f>
        <v/>
      </c>
      <c r="U134" s="52">
        <f>U127+U128+U114</f>
        <v/>
      </c>
      <c r="V134" s="52">
        <f>V127+V128+V114</f>
        <v/>
      </c>
      <c r="W134" s="52">
        <f>W127+W128+W114</f>
        <v/>
      </c>
      <c r="X134" s="52">
        <f>X127+X128+X114</f>
        <v/>
      </c>
      <c r="Y134" s="52">
        <f>Y127+Y128+Y114</f>
        <v/>
      </c>
      <c r="Z134" s="52">
        <f>Z127+Z128+Z114</f>
        <v/>
      </c>
    </row>
    <row r="135">
      <c r="B135" s="8" t="inlineStr">
        <is>
          <t>תזרים מהוון — C</t>
        </is>
      </c>
      <c r="C135" s="10" t="inlineStr">
        <is>
          <t>₪</t>
        </is>
      </c>
      <c r="D135" s="10" t="inlineStr">
        <is>
          <t>חישוב</t>
        </is>
      </c>
      <c r="F135" s="52">
        <f>F134</f>
        <v/>
      </c>
      <c r="G135" s="52">
        <f>G134/(1+'נתונים והנחות'!$F$11)^1</f>
        <v/>
      </c>
      <c r="H135" s="52">
        <f>H134/(1+'נתונים והנחות'!$F$11)^2</f>
        <v/>
      </c>
      <c r="I135" s="52">
        <f>I134/(1+'נתונים והנחות'!$F$11)^3</f>
        <v/>
      </c>
      <c r="J135" s="52">
        <f>J134/(1+'נתונים והנחות'!$F$11)^4</f>
        <v/>
      </c>
      <c r="K135" s="52">
        <f>K134/(1+'נתונים והנחות'!$F$11)^5</f>
        <v/>
      </c>
      <c r="L135" s="52">
        <f>L134/(1+'נתונים והנחות'!$F$11)^6</f>
        <v/>
      </c>
      <c r="M135" s="52">
        <f>M134/(1+'נתונים והנחות'!$F$11)^7</f>
        <v/>
      </c>
      <c r="N135" s="52">
        <f>N134/(1+'נתונים והנחות'!$F$11)^8</f>
        <v/>
      </c>
      <c r="O135" s="52">
        <f>O134/(1+'נתונים והנחות'!$F$11)^9</f>
        <v/>
      </c>
      <c r="P135" s="52">
        <f>P134/(1+'נתונים והנחות'!$F$11)^10</f>
        <v/>
      </c>
      <c r="Q135" s="52">
        <f>Q134/(1+'נתונים והנחות'!$F$11)^11</f>
        <v/>
      </c>
      <c r="R135" s="52">
        <f>R134/(1+'נתונים והנחות'!$F$11)^12</f>
        <v/>
      </c>
      <c r="S135" s="52">
        <f>S134/(1+'נתונים והנחות'!$F$11)^13</f>
        <v/>
      </c>
      <c r="T135" s="52">
        <f>T134/(1+'נתונים והנחות'!$F$11)^14</f>
        <v/>
      </c>
      <c r="U135" s="52">
        <f>U134/(1+'נתונים והנחות'!$F$11)^15</f>
        <v/>
      </c>
      <c r="V135" s="52">
        <f>V134/(1+'נתונים והנחות'!$F$11)^16</f>
        <v/>
      </c>
      <c r="W135" s="52">
        <f>W134/(1+'נתונים והנחות'!$F$11)^17</f>
        <v/>
      </c>
      <c r="X135" s="52">
        <f>X134/(1+'נתונים והנחות'!$F$11)^18</f>
        <v/>
      </c>
      <c r="Y135" s="52">
        <f>Y134/(1+'נתונים והנחות'!$F$11)^19</f>
        <v/>
      </c>
      <c r="Z135" s="52">
        <f>Z134/(1+'נתונים והנחות'!$F$11)^20</f>
        <v/>
      </c>
    </row>
    <row r="137">
      <c r="B137" s="49" t="inlineStr">
        <is>
          <t>ד. תוצאות — NPV</t>
        </is>
      </c>
    </row>
    <row r="138">
      <c r="B138" s="56" t="inlineStr">
        <is>
          <t>NPV — תרחיש A (מערכת קירור קונבנציונלית — 100 RT)</t>
        </is>
      </c>
      <c r="C138" s="10" t="inlineStr">
        <is>
          <t>ש"ח</t>
        </is>
      </c>
      <c r="F138" s="50">
        <f>SUM(F123:Z123)</f>
        <v/>
      </c>
    </row>
    <row r="139">
      <c r="B139" s="57" t="inlineStr">
        <is>
          <t>NPV — תרחיש B (צ'ילרים — 100 RT, ללא תמריץ)</t>
        </is>
      </c>
      <c r="C139" s="10" t="inlineStr">
        <is>
          <t>ש"ח</t>
        </is>
      </c>
      <c r="F139" s="51">
        <f>SUM(F130:Z130)</f>
        <v/>
      </c>
    </row>
    <row r="140">
      <c r="B140" s="58" t="inlineStr">
        <is>
          <t>NPV — תרחיש C (צ'ילרים — 100 RT, עם תמריץ)</t>
        </is>
      </c>
      <c r="C140" s="10" t="inlineStr">
        <is>
          <t>ש"ח</t>
        </is>
      </c>
      <c r="F140" s="52">
        <f>SUM(F135:Z135)</f>
        <v/>
      </c>
    </row>
    <row r="142">
      <c r="B142" s="59" t="inlineStr">
        <is>
          <t>NPV מצטבר — הצדקת השדרוג (B−A)</t>
        </is>
      </c>
      <c r="C142" s="10" t="inlineStr">
        <is>
          <t>ש"ח</t>
        </is>
      </c>
      <c r="F142" s="60">
        <f>F139-F138</f>
        <v/>
      </c>
    </row>
    <row r="143">
      <c r="B143" s="61" t="inlineStr">
        <is>
          <t>ערך התמריץ — תועלת הפחת המואץ (C−B)</t>
        </is>
      </c>
      <c r="C143" s="10" t="inlineStr">
        <is>
          <t>ש"ח</t>
        </is>
      </c>
      <c r="F143" s="62">
        <f>F140-F139</f>
        <v/>
      </c>
    </row>
    <row r="147">
      <c r="B147" s="47" t="inlineStr">
        <is>
          <t>3.2ב  צ'ילרים — 500 RT</t>
        </is>
      </c>
    </row>
    <row r="148">
      <c r="B148" s="48" t="inlineStr">
        <is>
          <t>* מול מערכת קירור קונבנציונלית — 500 RT | נתונים: גיליון 'נתונים והנחות' סעיף 4</t>
        </is>
      </c>
    </row>
    <row r="149">
      <c r="B149" s="49" t="inlineStr">
        <is>
          <t>ב. לוחות פחת (ציוד בסיסי vs. יעיל)</t>
        </is>
      </c>
    </row>
    <row r="150">
      <c r="B150" s="23" t="inlineStr">
        <is>
          <t>פרמטר</t>
        </is>
      </c>
      <c r="C150" s="23" t="inlineStr">
        <is>
          <t>יחידות</t>
        </is>
      </c>
      <c r="D150" s="23" t="inlineStr">
        <is>
          <t>מקור</t>
        </is>
      </c>
      <c r="E150" s="23" t="inlineStr">
        <is>
          <t>הערות</t>
        </is>
      </c>
      <c r="F150" s="23" t="inlineStr">
        <is>
          <t>שנה 0 (השקעה)</t>
        </is>
      </c>
      <c r="G150" s="23" t="inlineStr">
        <is>
          <t>שנה 1</t>
        </is>
      </c>
      <c r="H150" s="23" t="inlineStr">
        <is>
          <t>שנה 2</t>
        </is>
      </c>
      <c r="I150" s="23" t="inlineStr">
        <is>
          <t>שנה 3</t>
        </is>
      </c>
      <c r="J150" s="23" t="inlineStr">
        <is>
          <t>שנה 4</t>
        </is>
      </c>
      <c r="K150" s="23" t="inlineStr">
        <is>
          <t>שנה 5</t>
        </is>
      </c>
      <c r="L150" s="23" t="inlineStr">
        <is>
          <t>שנה 6</t>
        </is>
      </c>
      <c r="M150" s="23" t="inlineStr">
        <is>
          <t>שנה 7</t>
        </is>
      </c>
      <c r="N150" s="23" t="inlineStr">
        <is>
          <t>שנה 8</t>
        </is>
      </c>
      <c r="O150" s="23" t="inlineStr">
        <is>
          <t>שנה 9</t>
        </is>
      </c>
      <c r="P150" s="23" t="inlineStr">
        <is>
          <t>שנה 10</t>
        </is>
      </c>
      <c r="Q150" s="23" t="inlineStr">
        <is>
          <t>שנה 11</t>
        </is>
      </c>
      <c r="R150" s="23" t="inlineStr">
        <is>
          <t>שנה 12</t>
        </is>
      </c>
      <c r="S150" s="23" t="inlineStr">
        <is>
          <t>שנה 13</t>
        </is>
      </c>
      <c r="T150" s="23" t="inlineStr">
        <is>
          <t>שנה 14</t>
        </is>
      </c>
      <c r="U150" s="23" t="inlineStr">
        <is>
          <t>שנה 15</t>
        </is>
      </c>
      <c r="V150" s="23" t="inlineStr">
        <is>
          <t>שנה 16</t>
        </is>
      </c>
      <c r="W150" s="23" t="inlineStr">
        <is>
          <t>שנה 17</t>
        </is>
      </c>
      <c r="X150" s="23" t="inlineStr">
        <is>
          <t>שנה 18</t>
        </is>
      </c>
      <c r="Y150" s="23" t="inlineStr">
        <is>
          <t>שנה 19</t>
        </is>
      </c>
      <c r="Z150" s="23" t="inlineStr">
        <is>
          <t>שנה 20</t>
        </is>
      </c>
    </row>
    <row r="151">
      <c r="B151" s="6" t="inlineStr">
        <is>
          <t>פחת סטנדרטי — מערכת קירור קונבנציונלית — 500 RT</t>
        </is>
      </c>
      <c r="C151" s="10" t="inlineStr">
        <is>
          <t>₪</t>
        </is>
      </c>
      <c r="D151" s="10" t="inlineStr">
        <is>
          <t>חישוב</t>
        </is>
      </c>
      <c r="F151" s="50" t="n">
        <v>0</v>
      </c>
      <c r="G151" s="50">
        <f>IF(ISNUMBER('נתונים והנחות'!$I$39),'נתונים והנחות'!$I$39*0.1,0)</f>
        <v/>
      </c>
      <c r="H151" s="50">
        <f>IF(ISNUMBER('נתונים והנחות'!$I$39),'נתונים והנחות'!$I$39*0.1,0)</f>
        <v/>
      </c>
      <c r="I151" s="50">
        <f>IF(ISNUMBER('נתונים והנחות'!$I$39),'נתונים והנחות'!$I$39*0.1,0)</f>
        <v/>
      </c>
      <c r="J151" s="50">
        <f>IF(ISNUMBER('נתונים והנחות'!$I$39),'נתונים והנחות'!$I$39*0.1,0)</f>
        <v/>
      </c>
      <c r="K151" s="50">
        <f>IF(ISNUMBER('נתונים והנחות'!$I$39),'נתונים והנחות'!$I$39*0.1,0)</f>
        <v/>
      </c>
      <c r="L151" s="50">
        <f>IF(ISNUMBER('נתונים והנחות'!$I$39),'נתונים והנחות'!$I$39*0.1,0)</f>
        <v/>
      </c>
      <c r="M151" s="50">
        <f>IF(ISNUMBER('נתונים והנחות'!$I$39),'נתונים והנחות'!$I$39*0.1,0)</f>
        <v/>
      </c>
      <c r="N151" s="50">
        <f>IF(ISNUMBER('נתונים והנחות'!$I$39),'נתונים והנחות'!$I$39*0.1,0)</f>
        <v/>
      </c>
      <c r="O151" s="50">
        <f>IF(ISNUMBER('נתונים והנחות'!$I$39),'נתונים והנחות'!$I$39*0.1,0)</f>
        <v/>
      </c>
      <c r="P151" s="50">
        <f>IF(ISNUMBER('נתונים והנחות'!$I$39),'נתונים והנחות'!$I$39*0.1,0)</f>
        <v/>
      </c>
      <c r="Q151" s="50">
        <f>0</f>
        <v/>
      </c>
      <c r="R151" s="50">
        <f>0</f>
        <v/>
      </c>
      <c r="S151" s="50">
        <f>0</f>
        <v/>
      </c>
      <c r="T151" s="50">
        <f>0</f>
        <v/>
      </c>
      <c r="U151" s="50">
        <f>0</f>
        <v/>
      </c>
      <c r="V151" s="50">
        <f>0</f>
        <v/>
      </c>
      <c r="W151" s="50">
        <f>0</f>
        <v/>
      </c>
      <c r="X151" s="50">
        <f>0</f>
        <v/>
      </c>
      <c r="Y151" s="50">
        <f>0</f>
        <v/>
      </c>
      <c r="Z151" s="50">
        <f>0</f>
        <v/>
      </c>
    </row>
    <row r="152">
      <c r="B152" s="6" t="inlineStr">
        <is>
          <t>מגן מס — מערכת קירור קונבנציונלית — 500 RT</t>
        </is>
      </c>
      <c r="C152" s="10" t="inlineStr">
        <is>
          <t>₪</t>
        </is>
      </c>
      <c r="D152" s="10" t="inlineStr">
        <is>
          <t>חישוב</t>
        </is>
      </c>
      <c r="F152" s="50" t="n">
        <v>0</v>
      </c>
      <c r="G152" s="50">
        <f>G151*'נתונים והנחות'!$F$10</f>
        <v/>
      </c>
      <c r="H152" s="50">
        <f>H151*'נתונים והנחות'!$F$10</f>
        <v/>
      </c>
      <c r="I152" s="50">
        <f>I151*'נתונים והנחות'!$F$10</f>
        <v/>
      </c>
      <c r="J152" s="50">
        <f>J151*'נתונים והנחות'!$F$10</f>
        <v/>
      </c>
      <c r="K152" s="50">
        <f>K151*'נתונים והנחות'!$F$10</f>
        <v/>
      </c>
      <c r="L152" s="50">
        <f>L151*'נתונים והנחות'!$F$10</f>
        <v/>
      </c>
      <c r="M152" s="50">
        <f>M151*'נתונים והנחות'!$F$10</f>
        <v/>
      </c>
      <c r="N152" s="50">
        <f>N151*'נתונים והנחות'!$F$10</f>
        <v/>
      </c>
      <c r="O152" s="50">
        <f>O151*'נתונים והנחות'!$F$10</f>
        <v/>
      </c>
      <c r="P152" s="50">
        <f>P151*'נתונים והנחות'!$F$10</f>
        <v/>
      </c>
      <c r="Q152" s="50">
        <f>Q151*'נתונים והנחות'!$F$10</f>
        <v/>
      </c>
      <c r="R152" s="50">
        <f>R151*'נתונים והנחות'!$F$10</f>
        <v/>
      </c>
      <c r="S152" s="50">
        <f>S151*'נתונים והנחות'!$F$10</f>
        <v/>
      </c>
      <c r="T152" s="50">
        <f>T151*'נתונים והנחות'!$F$10</f>
        <v/>
      </c>
      <c r="U152" s="50">
        <f>U151*'נתונים והנחות'!$F$10</f>
        <v/>
      </c>
      <c r="V152" s="50">
        <f>V151*'נתונים והנחות'!$F$10</f>
        <v/>
      </c>
      <c r="W152" s="50">
        <f>W151*'נתונים והנחות'!$F$10</f>
        <v/>
      </c>
      <c r="X152" s="50">
        <f>X151*'נתונים והנחות'!$F$10</f>
        <v/>
      </c>
      <c r="Y152" s="50">
        <f>Y151*'נתונים והנחות'!$F$10</f>
        <v/>
      </c>
      <c r="Z152" s="50">
        <f>Z151*'נתונים והנחות'!$F$10</f>
        <v/>
      </c>
    </row>
    <row r="153">
      <c r="B153" s="7" t="inlineStr">
        <is>
          <t>פחת סטנדרטי — צ'ילרים — 500 RT</t>
        </is>
      </c>
      <c r="C153" s="10" t="inlineStr">
        <is>
          <t>₪</t>
        </is>
      </c>
      <c r="D153" s="10" t="inlineStr">
        <is>
          <t>חישוב</t>
        </is>
      </c>
      <c r="F153" s="51" t="n">
        <v>0</v>
      </c>
      <c r="G153" s="51">
        <f>IF(ISNUMBER('נתונים והנחות'!$I$40),'נתונים והנחות'!$I$40*0.1,0)</f>
        <v/>
      </c>
      <c r="H153" s="51">
        <f>IF(ISNUMBER('נתונים והנחות'!$I$40),'נתונים והנחות'!$I$40*0.1,0)</f>
        <v/>
      </c>
      <c r="I153" s="51">
        <f>IF(ISNUMBER('נתונים והנחות'!$I$40),'נתונים והנחות'!$I$40*0.1,0)</f>
        <v/>
      </c>
      <c r="J153" s="51">
        <f>IF(ISNUMBER('נתונים והנחות'!$I$40),'נתונים והנחות'!$I$40*0.1,0)</f>
        <v/>
      </c>
      <c r="K153" s="51">
        <f>IF(ISNUMBER('נתונים והנחות'!$I$40),'נתונים והנחות'!$I$40*0.1,0)</f>
        <v/>
      </c>
      <c r="L153" s="51">
        <f>IF(ISNUMBER('נתונים והנחות'!$I$40),'נתונים והנחות'!$I$40*0.1,0)</f>
        <v/>
      </c>
      <c r="M153" s="51">
        <f>IF(ISNUMBER('נתונים והנחות'!$I$40),'נתונים והנחות'!$I$40*0.1,0)</f>
        <v/>
      </c>
      <c r="N153" s="51">
        <f>IF(ISNUMBER('נתונים והנחות'!$I$40),'נתונים והנחות'!$I$40*0.1,0)</f>
        <v/>
      </c>
      <c r="O153" s="51">
        <f>IF(ISNUMBER('נתונים והנחות'!$I$40),'נתונים והנחות'!$I$40*0.1,0)</f>
        <v/>
      </c>
      <c r="P153" s="51">
        <f>IF(ISNUMBER('נתונים והנחות'!$I$40),'נתונים והנחות'!$I$40*0.1,0)</f>
        <v/>
      </c>
      <c r="Q153" s="51">
        <f>0</f>
        <v/>
      </c>
      <c r="R153" s="51">
        <f>0</f>
        <v/>
      </c>
      <c r="S153" s="51">
        <f>0</f>
        <v/>
      </c>
      <c r="T153" s="51">
        <f>0</f>
        <v/>
      </c>
      <c r="U153" s="51">
        <f>0</f>
        <v/>
      </c>
      <c r="V153" s="51">
        <f>0</f>
        <v/>
      </c>
      <c r="W153" s="51">
        <f>0</f>
        <v/>
      </c>
      <c r="X153" s="51">
        <f>0</f>
        <v/>
      </c>
      <c r="Y153" s="51">
        <f>0</f>
        <v/>
      </c>
      <c r="Z153" s="51">
        <f>0</f>
        <v/>
      </c>
    </row>
    <row r="154">
      <c r="B154" s="7" t="inlineStr">
        <is>
          <t>מגן מס סטנדרטי — צ'ילרים — 500 RT</t>
        </is>
      </c>
      <c r="C154" s="10" t="inlineStr">
        <is>
          <t>₪</t>
        </is>
      </c>
      <c r="D154" s="10" t="inlineStr">
        <is>
          <t>חישוב</t>
        </is>
      </c>
      <c r="F154" s="51" t="n">
        <v>0</v>
      </c>
      <c r="G154" s="51">
        <f>G153*'נתונים והנחות'!$F$10</f>
        <v/>
      </c>
      <c r="H154" s="51">
        <f>H153*'נתונים והנחות'!$F$10</f>
        <v/>
      </c>
      <c r="I154" s="51">
        <f>I153*'נתונים והנחות'!$F$10</f>
        <v/>
      </c>
      <c r="J154" s="51">
        <f>J153*'נתונים והנחות'!$F$10</f>
        <v/>
      </c>
      <c r="K154" s="51">
        <f>K153*'נתונים והנחות'!$F$10</f>
        <v/>
      </c>
      <c r="L154" s="51">
        <f>L153*'נתונים והנחות'!$F$10</f>
        <v/>
      </c>
      <c r="M154" s="51">
        <f>M153*'נתונים והנחות'!$F$10</f>
        <v/>
      </c>
      <c r="N154" s="51">
        <f>N153*'נתונים והנחות'!$F$10</f>
        <v/>
      </c>
      <c r="O154" s="51">
        <f>O153*'נתונים והנחות'!$F$10</f>
        <v/>
      </c>
      <c r="P154" s="51">
        <f>P153*'נתונים והנחות'!$F$10</f>
        <v/>
      </c>
      <c r="Q154" s="51">
        <f>Q153*'נתונים והנחות'!$F$10</f>
        <v/>
      </c>
      <c r="R154" s="51">
        <f>R153*'נתונים והנחות'!$F$10</f>
        <v/>
      </c>
      <c r="S154" s="51">
        <f>S153*'נתונים והנחות'!$F$10</f>
        <v/>
      </c>
      <c r="T154" s="51">
        <f>T153*'נתונים והנחות'!$F$10</f>
        <v/>
      </c>
      <c r="U154" s="51">
        <f>U153*'נתונים והנחות'!$F$10</f>
        <v/>
      </c>
      <c r="V154" s="51">
        <f>V153*'נתונים והנחות'!$F$10</f>
        <v/>
      </c>
      <c r="W154" s="51">
        <f>W153*'נתונים והנחות'!$F$10</f>
        <v/>
      </c>
      <c r="X154" s="51">
        <f>X153*'נתונים והנחות'!$F$10</f>
        <v/>
      </c>
      <c r="Y154" s="51">
        <f>Y153*'נתונים והנחות'!$F$10</f>
        <v/>
      </c>
      <c r="Z154" s="51">
        <f>Z153*'נתונים והנחות'!$F$10</f>
        <v/>
      </c>
    </row>
    <row r="155">
      <c r="B155" s="8" t="inlineStr">
        <is>
          <t>פחת מואץ — צ'ילרים — 500 RT</t>
        </is>
      </c>
      <c r="C155" s="10" t="inlineStr">
        <is>
          <t>₪</t>
        </is>
      </c>
      <c r="D155" s="10" t="inlineStr">
        <is>
          <t>חישוב</t>
        </is>
      </c>
      <c r="F155" s="52" t="n">
        <v>0</v>
      </c>
      <c r="G155" s="52">
        <f>IF(ISNUMBER('נתונים והנחות'!$I$40),IF(1&lt;=ROUND(1/(0.1*'נתונים והנחות'!$F$20),0),'נתונים והנחות'!$I$40*0.1*'נתונים והנחות'!$F$20,0),0)</f>
        <v/>
      </c>
      <c r="H155" s="52">
        <f>IF(ISNUMBER('נתונים והנחות'!$I$40),IF(2&lt;=ROUND(1/(0.1*'נתונים והנחות'!$F$20),0),'נתונים והנחות'!$I$40*0.1*'נתונים והנחות'!$F$20,0),0)</f>
        <v/>
      </c>
      <c r="I155" s="52">
        <f>IF(ISNUMBER('נתונים והנחות'!$I$40),IF(3&lt;=ROUND(1/(0.1*'נתונים והנחות'!$F$20),0),'נתונים והנחות'!$I$40*0.1*'נתונים והנחות'!$F$20,0),0)</f>
        <v/>
      </c>
      <c r="J155" s="52">
        <f>IF(ISNUMBER('נתונים והנחות'!$I$40),IF(4&lt;=ROUND(1/(0.1*'נתונים והנחות'!$F$20),0),'נתונים והנחות'!$I$40*0.1*'נתונים והנחות'!$F$20,0),0)</f>
        <v/>
      </c>
      <c r="K155" s="52">
        <f>IF(ISNUMBER('נתונים והנחות'!$I$40),IF(5&lt;=ROUND(1/(0.1*'נתונים והנחות'!$F$20),0),'נתונים והנחות'!$I$40*0.1*'נתונים והנחות'!$F$20,0),0)</f>
        <v/>
      </c>
      <c r="L155" s="52">
        <f>IF(ISNUMBER('נתונים והנחות'!$I$40),IF(6&lt;=ROUND(1/(0.1*'נתונים והנחות'!$F$20),0),'נתונים והנחות'!$I$40*0.1*'נתונים והנחות'!$F$20,0),0)</f>
        <v/>
      </c>
      <c r="M155" s="52">
        <f>IF(ISNUMBER('נתונים והנחות'!$I$40),IF(7&lt;=ROUND(1/(0.1*'נתונים והנחות'!$F$20),0),'נתונים והנחות'!$I$40*0.1*'נתונים והנחות'!$F$20,0),0)</f>
        <v/>
      </c>
      <c r="N155" s="52">
        <f>IF(ISNUMBER('נתונים והנחות'!$I$40),IF(8&lt;=ROUND(1/(0.1*'נתונים והנחות'!$F$20),0),'נתונים והנחות'!$I$40*0.1*'נתונים והנחות'!$F$20,0),0)</f>
        <v/>
      </c>
      <c r="O155" s="52">
        <f>IF(ISNUMBER('נתונים והנחות'!$I$40),IF(9&lt;=ROUND(1/(0.1*'נתונים והנחות'!$F$20),0),'נתונים והנחות'!$I$40*0.1*'נתונים והנחות'!$F$20,0),0)</f>
        <v/>
      </c>
      <c r="P155" s="52">
        <f>IF(ISNUMBER('נתונים והנחות'!$I$40),IF(10&lt;=ROUND(1/(0.1*'נתונים והנחות'!$F$20),0),'נתונים והנחות'!$I$40*0.1*'נתונים והנחות'!$F$20,0),0)</f>
        <v/>
      </c>
      <c r="Q155" s="52">
        <f>IF(ISNUMBER('נתונים והנחות'!$I$40),IF(11&lt;=ROUND(1/(0.1*'נתונים והנחות'!$F$20),0),'נתונים והנחות'!$I$40*0.1*'נתונים והנחות'!$F$20,0),0)</f>
        <v/>
      </c>
      <c r="R155" s="52">
        <f>IF(ISNUMBER('נתונים והנחות'!$I$40),IF(12&lt;=ROUND(1/(0.1*'נתונים והנחות'!$F$20),0),'נתונים והנחות'!$I$40*0.1*'נתונים והנחות'!$F$20,0),0)</f>
        <v/>
      </c>
      <c r="S155" s="52">
        <f>IF(ISNUMBER('נתונים והנחות'!$I$40),IF(13&lt;=ROUND(1/(0.1*'נתונים והנחות'!$F$20),0),'נתונים והנחות'!$I$40*0.1*'נתונים והנחות'!$F$20,0),0)</f>
        <v/>
      </c>
      <c r="T155" s="52">
        <f>IF(ISNUMBER('נתונים והנחות'!$I$40),IF(14&lt;=ROUND(1/(0.1*'נתונים והנחות'!$F$20),0),'נתונים והנחות'!$I$40*0.1*'נתונים והנחות'!$F$20,0),0)</f>
        <v/>
      </c>
      <c r="U155" s="52">
        <f>IF(ISNUMBER('נתונים והנחות'!$I$40),IF(15&lt;=ROUND(1/(0.1*'נתונים והנחות'!$F$20),0),'נתונים והנחות'!$I$40*0.1*'נתונים והנחות'!$F$20,0),0)</f>
        <v/>
      </c>
      <c r="V155" s="52">
        <f>IF(ISNUMBER('נתונים והנחות'!$I$40),IF(16&lt;=ROUND(1/(0.1*'נתונים והנחות'!$F$20),0),'נתונים והנחות'!$I$40*0.1*'נתונים והנחות'!$F$20,0),0)</f>
        <v/>
      </c>
      <c r="W155" s="52">
        <f>IF(ISNUMBER('נתונים והנחות'!$I$40),IF(17&lt;=ROUND(1/(0.1*'נתונים והנחות'!$F$20),0),'נתונים והנחות'!$I$40*0.1*'נתונים והנחות'!$F$20,0),0)</f>
        <v/>
      </c>
      <c r="X155" s="52">
        <f>IF(ISNUMBER('נתונים והנחות'!$I$40),IF(18&lt;=ROUND(1/(0.1*'נתונים והנחות'!$F$20),0),'נתונים והנחות'!$I$40*0.1*'נתונים והנחות'!$F$20,0),0)</f>
        <v/>
      </c>
      <c r="Y155" s="52">
        <f>IF(ISNUMBER('נתונים והנחות'!$I$40),IF(19&lt;=ROUND(1/(0.1*'נתונים והנחות'!$F$20),0),'נתונים והנחות'!$I$40*0.1*'נתונים והנחות'!$F$20,0),0)</f>
        <v/>
      </c>
      <c r="Z155" s="52">
        <f>IF(ISNUMBER('נתונים והנחות'!$I$40),IF(20&lt;=ROUND(1/(0.1*'נתונים והנחות'!$F$20),0),'נתונים והנחות'!$I$40*0.1*'נתונים והנחות'!$F$20,0),0)</f>
        <v/>
      </c>
    </row>
    <row r="156">
      <c r="B156" s="8" t="inlineStr">
        <is>
          <t>מגן מס מואץ — צ'ילרים — 500 RT</t>
        </is>
      </c>
      <c r="C156" s="10" t="inlineStr">
        <is>
          <t>₪</t>
        </is>
      </c>
      <c r="D156" s="10" t="inlineStr">
        <is>
          <t>חישוב</t>
        </is>
      </c>
      <c r="F156" s="52" t="n">
        <v>0</v>
      </c>
      <c r="G156" s="52">
        <f>G155*'נתונים והנחות'!$F$10</f>
        <v/>
      </c>
      <c r="H156" s="52">
        <f>H155*'נתונים והנחות'!$F$10</f>
        <v/>
      </c>
      <c r="I156" s="52">
        <f>I155*'נתונים והנחות'!$F$10</f>
        <v/>
      </c>
      <c r="J156" s="52">
        <f>J155*'נתונים והנחות'!$F$10</f>
        <v/>
      </c>
      <c r="K156" s="52">
        <f>K155*'נתונים והנחות'!$F$10</f>
        <v/>
      </c>
      <c r="L156" s="52">
        <f>L155*'נתונים והנחות'!$F$10</f>
        <v/>
      </c>
      <c r="M156" s="52">
        <f>M155*'נתונים והנחות'!$F$10</f>
        <v/>
      </c>
      <c r="N156" s="52">
        <f>N155*'נתונים והנחות'!$F$10</f>
        <v/>
      </c>
      <c r="O156" s="52">
        <f>O155*'נתונים והנחות'!$F$10</f>
        <v/>
      </c>
      <c r="P156" s="52">
        <f>P155*'נתונים והנחות'!$F$10</f>
        <v/>
      </c>
      <c r="Q156" s="52">
        <f>Q155*'נתונים והנחות'!$F$10</f>
        <v/>
      </c>
      <c r="R156" s="52">
        <f>R155*'נתונים והנחות'!$F$10</f>
        <v/>
      </c>
      <c r="S156" s="52">
        <f>S155*'נתונים והנחות'!$F$10</f>
        <v/>
      </c>
      <c r="T156" s="52">
        <f>T155*'נתונים והנחות'!$F$10</f>
        <v/>
      </c>
      <c r="U156" s="52">
        <f>U155*'נתונים והנחות'!$F$10</f>
        <v/>
      </c>
      <c r="V156" s="52">
        <f>V155*'נתונים והנחות'!$F$10</f>
        <v/>
      </c>
      <c r="W156" s="52">
        <f>W155*'נתונים והנחות'!$F$10</f>
        <v/>
      </c>
      <c r="X156" s="52">
        <f>X155*'נתונים והנחות'!$F$10</f>
        <v/>
      </c>
      <c r="Y156" s="52">
        <f>Y155*'נתונים והנחות'!$F$10</f>
        <v/>
      </c>
      <c r="Z156" s="52">
        <f>Z155*'נתונים והנחות'!$F$10</f>
        <v/>
      </c>
    </row>
    <row r="158">
      <c r="B158" s="49" t="inlineStr">
        <is>
          <t>ג. ניתוח תזרים מזומנים — שלושה תרחישים</t>
        </is>
      </c>
    </row>
    <row r="159">
      <c r="B159" s="23" t="inlineStr">
        <is>
          <t>פרמטר</t>
        </is>
      </c>
      <c r="C159" s="23" t="inlineStr">
        <is>
          <t>יחידות</t>
        </is>
      </c>
      <c r="D159" s="23" t="inlineStr">
        <is>
          <t>מקור</t>
        </is>
      </c>
      <c r="E159" s="23" t="inlineStr">
        <is>
          <t>הערות</t>
        </is>
      </c>
      <c r="F159" s="23" t="inlineStr">
        <is>
          <t>שנה 0 (השקעה)</t>
        </is>
      </c>
      <c r="G159" s="23" t="inlineStr">
        <is>
          <t>שנה 1</t>
        </is>
      </c>
      <c r="H159" s="23" t="inlineStr">
        <is>
          <t>שנה 2</t>
        </is>
      </c>
      <c r="I159" s="23" t="inlineStr">
        <is>
          <t>שנה 3</t>
        </is>
      </c>
      <c r="J159" s="23" t="inlineStr">
        <is>
          <t>שנה 4</t>
        </is>
      </c>
      <c r="K159" s="23" t="inlineStr">
        <is>
          <t>שנה 5</t>
        </is>
      </c>
      <c r="L159" s="23" t="inlineStr">
        <is>
          <t>שנה 6</t>
        </is>
      </c>
      <c r="M159" s="23" t="inlineStr">
        <is>
          <t>שנה 7</t>
        </is>
      </c>
      <c r="N159" s="23" t="inlineStr">
        <is>
          <t>שנה 8</t>
        </is>
      </c>
      <c r="O159" s="23" t="inlineStr">
        <is>
          <t>שנה 9</t>
        </is>
      </c>
      <c r="P159" s="23" t="inlineStr">
        <is>
          <t>שנה 10</t>
        </is>
      </c>
      <c r="Q159" s="23" t="inlineStr">
        <is>
          <t>שנה 11</t>
        </is>
      </c>
      <c r="R159" s="23" t="inlineStr">
        <is>
          <t>שנה 12</t>
        </is>
      </c>
      <c r="S159" s="23" t="inlineStr">
        <is>
          <t>שנה 13</t>
        </is>
      </c>
      <c r="T159" s="23" t="inlineStr">
        <is>
          <t>שנה 14</t>
        </is>
      </c>
      <c r="U159" s="23" t="inlineStr">
        <is>
          <t>שנה 15</t>
        </is>
      </c>
      <c r="V159" s="23" t="inlineStr">
        <is>
          <t>שנה 16</t>
        </is>
      </c>
      <c r="W159" s="23" t="inlineStr">
        <is>
          <t>שנה 17</t>
        </is>
      </c>
      <c r="X159" s="23" t="inlineStr">
        <is>
          <t>שנה 18</t>
        </is>
      </c>
      <c r="Y159" s="23" t="inlineStr">
        <is>
          <t>שנה 19</t>
        </is>
      </c>
      <c r="Z159" s="23" t="inlineStr">
        <is>
          <t>שנה 20</t>
        </is>
      </c>
    </row>
    <row r="160">
      <c r="B160" s="53" t="inlineStr">
        <is>
          <t>תרחיש A — רכישת מערכת קירור קונבנציונלית — 500 RT (ציוד קיים)</t>
        </is>
      </c>
    </row>
    <row r="161">
      <c r="B161" s="6" t="inlineStr">
        <is>
          <t>השקעה ראשונית</t>
        </is>
      </c>
      <c r="C161" s="10" t="inlineStr">
        <is>
          <t>₪</t>
        </is>
      </c>
      <c r="D161" s="10" t="inlineStr">
        <is>
          <t>חישוב</t>
        </is>
      </c>
      <c r="F161" s="50">
        <f>IF(ISNUMBER('נתונים והנחות'!$I$39),-'נתונים והנחות'!$I$39,"PENDING")</f>
        <v/>
      </c>
    </row>
    <row r="162">
      <c r="B162" s="6" t="inlineStr">
        <is>
          <t>OPEX אנרגיה/דלק</t>
        </is>
      </c>
      <c r="C162" s="10" t="inlineStr">
        <is>
          <t>₪</t>
        </is>
      </c>
      <c r="D162" s="10" t="inlineStr">
        <is>
          <t>חישוב</t>
        </is>
      </c>
      <c r="F162" s="50" t="n">
        <v>0</v>
      </c>
      <c r="G162" s="50">
        <f>IF(ISNUMBER('נתונים והנחות'!$I$47),-'נתונים והנחות'!$I$47,0)</f>
        <v/>
      </c>
      <c r="H162" s="50">
        <f>IF(ISNUMBER('נתונים והנחות'!$I$47),-'נתונים והנחות'!$I$47,0)</f>
        <v/>
      </c>
      <c r="I162" s="50">
        <f>IF(ISNUMBER('נתונים והנחות'!$I$47),-'נתונים והנחות'!$I$47,0)</f>
        <v/>
      </c>
      <c r="J162" s="50">
        <f>IF(ISNUMBER('נתונים והנחות'!$I$47),-'נתונים והנחות'!$I$47,0)</f>
        <v/>
      </c>
      <c r="K162" s="50">
        <f>IF(ISNUMBER('נתונים והנחות'!$I$47),-'נתונים והנחות'!$I$47,0)</f>
        <v/>
      </c>
      <c r="L162" s="50">
        <f>IF(ISNUMBER('נתונים והנחות'!$I$47),-'נתונים והנחות'!$I$47,0)</f>
        <v/>
      </c>
      <c r="M162" s="50">
        <f>IF(ISNUMBER('נתונים והנחות'!$I$47),-'נתונים והנחות'!$I$47,0)</f>
        <v/>
      </c>
      <c r="N162" s="50">
        <f>IF(ISNUMBER('נתונים והנחות'!$I$47),-'נתונים והנחות'!$I$47,0)</f>
        <v/>
      </c>
      <c r="O162" s="50">
        <f>IF(ISNUMBER('נתונים והנחות'!$I$47),-'נתונים והנחות'!$I$47,0)</f>
        <v/>
      </c>
      <c r="P162" s="50">
        <f>IF(ISNUMBER('נתונים והנחות'!$I$47),-'נתונים והנחות'!$I$47,0)</f>
        <v/>
      </c>
      <c r="Q162" s="50">
        <f>IF(ISNUMBER('נתונים והנחות'!$I$47),-'נתונים והנחות'!$I$47,0)</f>
        <v/>
      </c>
      <c r="R162" s="50">
        <f>IF(ISNUMBER('נתונים והנחות'!$I$47),-'נתונים והנחות'!$I$47,0)</f>
        <v/>
      </c>
      <c r="S162" s="50">
        <f>IF(ISNUMBER('נתונים והנחות'!$I$47),-'נתונים והנחות'!$I$47,0)</f>
        <v/>
      </c>
      <c r="T162" s="50">
        <f>IF(ISNUMBER('נתונים והנחות'!$I$47),-'נתונים והנחות'!$I$47,0)</f>
        <v/>
      </c>
      <c r="U162" s="50">
        <f>IF(ISNUMBER('נתונים והנחות'!$I$47),-'נתונים והנחות'!$I$47,0)</f>
        <v/>
      </c>
      <c r="V162" s="50">
        <f>0</f>
        <v/>
      </c>
      <c r="W162" s="50">
        <f>0</f>
        <v/>
      </c>
      <c r="X162" s="50">
        <f>0</f>
        <v/>
      </c>
      <c r="Y162" s="50">
        <f>0</f>
        <v/>
      </c>
      <c r="Z162" s="50">
        <f>0</f>
        <v/>
      </c>
    </row>
    <row r="163">
      <c r="B163" s="6" t="inlineStr">
        <is>
          <t>OPEX אחר</t>
        </is>
      </c>
      <c r="C163" s="10" t="inlineStr">
        <is>
          <t>₪</t>
        </is>
      </c>
      <c r="D163" s="10" t="inlineStr">
        <is>
          <t>חישוב</t>
        </is>
      </c>
      <c r="F163" s="50" t="n">
        <v>0</v>
      </c>
      <c r="G163" s="50">
        <f>IF(ISNUMBER('נתונים והנחות'!$I$45),-'נתונים והנחות'!$I$45,0)</f>
        <v/>
      </c>
      <c r="H163" s="50">
        <f>IF(ISNUMBER('נתונים והנחות'!$I$45),-'נתונים והנחות'!$I$45,0)</f>
        <v/>
      </c>
      <c r="I163" s="50">
        <f>IF(ISNUMBER('נתונים והנחות'!$I$45),-'נתונים והנחות'!$I$45,0)</f>
        <v/>
      </c>
      <c r="J163" s="50">
        <f>IF(ISNUMBER('נתונים והנחות'!$I$45),-'נתונים והנחות'!$I$45,0)</f>
        <v/>
      </c>
      <c r="K163" s="50">
        <f>IF(ISNUMBER('נתונים והנחות'!$I$45),-'נתונים והנחות'!$I$45,0)</f>
        <v/>
      </c>
      <c r="L163" s="50">
        <f>IF(ISNUMBER('נתונים והנחות'!$I$45),-'נתונים והנחות'!$I$45,0)</f>
        <v/>
      </c>
      <c r="M163" s="50">
        <f>IF(ISNUMBER('נתונים והנחות'!$I$45),-'נתונים והנחות'!$I$45,0)</f>
        <v/>
      </c>
      <c r="N163" s="50">
        <f>IF(ISNUMBER('נתונים והנחות'!$I$45),-'נתונים והנחות'!$I$45,0)</f>
        <v/>
      </c>
      <c r="O163" s="50">
        <f>IF(ISNUMBER('נתונים והנחות'!$I$45),-'נתונים והנחות'!$I$45,0)</f>
        <v/>
      </c>
      <c r="P163" s="50">
        <f>IF(ISNUMBER('נתונים והנחות'!$I$45),-'נתונים והנחות'!$I$45,0)</f>
        <v/>
      </c>
      <c r="Q163" s="50">
        <f>IF(ISNUMBER('נתונים והנחות'!$I$45),-'נתונים והנחות'!$I$45,0)</f>
        <v/>
      </c>
      <c r="R163" s="50">
        <f>IF(ISNUMBER('נתונים והנחות'!$I$45),-'נתונים והנחות'!$I$45,0)</f>
        <v/>
      </c>
      <c r="S163" s="50">
        <f>IF(ISNUMBER('נתונים והנחות'!$I$45),-'נתונים והנחות'!$I$45,0)</f>
        <v/>
      </c>
      <c r="T163" s="50">
        <f>IF(ISNUMBER('נתונים והנחות'!$I$45),-'נתונים והנחות'!$I$45,0)</f>
        <v/>
      </c>
      <c r="U163" s="50">
        <f>IF(ISNUMBER('נתונים והנחות'!$I$45),-'נתונים והנחות'!$I$45,0)</f>
        <v/>
      </c>
      <c r="V163" s="50">
        <f>0</f>
        <v/>
      </c>
      <c r="W163" s="50">
        <f>0</f>
        <v/>
      </c>
      <c r="X163" s="50">
        <f>0</f>
        <v/>
      </c>
      <c r="Y163" s="50">
        <f>0</f>
        <v/>
      </c>
      <c r="Z163" s="50">
        <f>0</f>
        <v/>
      </c>
    </row>
    <row r="164">
      <c r="B164" s="6" t="inlineStr">
        <is>
          <t>תזרים נקי — A</t>
        </is>
      </c>
      <c r="C164" s="10" t="inlineStr">
        <is>
          <t>₪</t>
        </is>
      </c>
      <c r="D164" s="10" t="inlineStr">
        <is>
          <t>חישוב</t>
        </is>
      </c>
      <c r="F164" s="50">
        <f>F161</f>
        <v/>
      </c>
      <c r="G164" s="50">
        <f>G162+G163+G152</f>
        <v/>
      </c>
      <c r="H164" s="50">
        <f>H162+H163+H152</f>
        <v/>
      </c>
      <c r="I164" s="50">
        <f>I162+I163+I152</f>
        <v/>
      </c>
      <c r="J164" s="50">
        <f>J162+J163+J152</f>
        <v/>
      </c>
      <c r="K164" s="50">
        <f>K162+K163+K152</f>
        <v/>
      </c>
      <c r="L164" s="50">
        <f>L162+L163+L152</f>
        <v/>
      </c>
      <c r="M164" s="50">
        <f>M162+M163+M152</f>
        <v/>
      </c>
      <c r="N164" s="50">
        <f>N162+N163+N152</f>
        <v/>
      </c>
      <c r="O164" s="50">
        <f>O162+O163+O152</f>
        <v/>
      </c>
      <c r="P164" s="50">
        <f>P162+P163+P152</f>
        <v/>
      </c>
      <c r="Q164" s="50">
        <f>Q162+Q163+Q152</f>
        <v/>
      </c>
      <c r="R164" s="50">
        <f>R162+R163+R152</f>
        <v/>
      </c>
      <c r="S164" s="50">
        <f>S162+S163+S152</f>
        <v/>
      </c>
      <c r="T164" s="50">
        <f>T162+T163+T152</f>
        <v/>
      </c>
      <c r="U164" s="50">
        <f>U162+U163+U152</f>
        <v/>
      </c>
      <c r="V164" s="50">
        <f>V162+V163+V152</f>
        <v/>
      </c>
      <c r="W164" s="50">
        <f>W162+W163+W152</f>
        <v/>
      </c>
      <c r="X164" s="50">
        <f>X162+X163+X152</f>
        <v/>
      </c>
      <c r="Y164" s="50">
        <f>Y162+Y163+Y152</f>
        <v/>
      </c>
      <c r="Z164" s="50">
        <f>Z162+Z163+Z152</f>
        <v/>
      </c>
    </row>
    <row r="165">
      <c r="B165" s="6" t="inlineStr">
        <is>
          <t>תזרים מהוון — A</t>
        </is>
      </c>
      <c r="C165" s="10" t="inlineStr">
        <is>
          <t>₪</t>
        </is>
      </c>
      <c r="D165" s="10" t="inlineStr">
        <is>
          <t>חישוב</t>
        </is>
      </c>
      <c r="F165" s="50">
        <f>F164</f>
        <v/>
      </c>
      <c r="G165" s="50">
        <f>G164/(1+'נתונים והנחות'!$F$11)^1</f>
        <v/>
      </c>
      <c r="H165" s="50">
        <f>H164/(1+'נתונים והנחות'!$F$11)^2</f>
        <v/>
      </c>
      <c r="I165" s="50">
        <f>I164/(1+'נתונים והנחות'!$F$11)^3</f>
        <v/>
      </c>
      <c r="J165" s="50">
        <f>J164/(1+'נתונים והנחות'!$F$11)^4</f>
        <v/>
      </c>
      <c r="K165" s="50">
        <f>K164/(1+'נתונים והנחות'!$F$11)^5</f>
        <v/>
      </c>
      <c r="L165" s="50">
        <f>L164/(1+'נתונים והנחות'!$F$11)^6</f>
        <v/>
      </c>
      <c r="M165" s="50">
        <f>M164/(1+'נתונים והנחות'!$F$11)^7</f>
        <v/>
      </c>
      <c r="N165" s="50">
        <f>N164/(1+'נתונים והנחות'!$F$11)^8</f>
        <v/>
      </c>
      <c r="O165" s="50">
        <f>O164/(1+'נתונים והנחות'!$F$11)^9</f>
        <v/>
      </c>
      <c r="P165" s="50">
        <f>P164/(1+'נתונים והנחות'!$F$11)^10</f>
        <v/>
      </c>
      <c r="Q165" s="50">
        <f>Q164/(1+'נתונים והנחות'!$F$11)^11</f>
        <v/>
      </c>
      <c r="R165" s="50">
        <f>R164/(1+'נתונים והנחות'!$F$11)^12</f>
        <v/>
      </c>
      <c r="S165" s="50">
        <f>S164/(1+'נתונים והנחות'!$F$11)^13</f>
        <v/>
      </c>
      <c r="T165" s="50">
        <f>T164/(1+'נתונים והנחות'!$F$11)^14</f>
        <v/>
      </c>
      <c r="U165" s="50">
        <f>U164/(1+'נתונים והנחות'!$F$11)^15</f>
        <v/>
      </c>
      <c r="V165" s="50">
        <f>V164/(1+'נתונים והנחות'!$F$11)^16</f>
        <v/>
      </c>
      <c r="W165" s="50">
        <f>W164/(1+'נתונים והנחות'!$F$11)^17</f>
        <v/>
      </c>
      <c r="X165" s="50">
        <f>X164/(1+'נתונים והנחות'!$F$11)^18</f>
        <v/>
      </c>
      <c r="Y165" s="50">
        <f>Y164/(1+'נתונים והנחות'!$F$11)^19</f>
        <v/>
      </c>
      <c r="Z165" s="50">
        <f>Z164/(1+'נתונים והנחות'!$F$11)^20</f>
        <v/>
      </c>
    </row>
    <row r="167">
      <c r="B167" s="54" t="inlineStr">
        <is>
          <t>תרחיש B — רכישת צ'ילרים — 500 RT | פחת סטנדרטי (ללא תמריץ)</t>
        </is>
      </c>
    </row>
    <row r="168">
      <c r="B168" s="7" t="inlineStr">
        <is>
          <t>השקעה ראשונית</t>
        </is>
      </c>
      <c r="C168" s="10" t="inlineStr">
        <is>
          <t>₪</t>
        </is>
      </c>
      <c r="D168" s="10" t="inlineStr">
        <is>
          <t>חישוב</t>
        </is>
      </c>
      <c r="F168" s="51">
        <f>IF(ISNUMBER('נתונים והנחות'!$I$40),-'נתונים והנחות'!$I$40,"PENDING")</f>
        <v/>
      </c>
    </row>
    <row r="169">
      <c r="B169" s="7" t="inlineStr">
        <is>
          <t>OPEX אנרגיה (עם שחיקה)</t>
        </is>
      </c>
      <c r="C169" s="10" t="inlineStr">
        <is>
          <t>₪</t>
        </is>
      </c>
      <c r="D169" s="10" t="inlineStr">
        <is>
          <t>חישוב</t>
        </is>
      </c>
      <c r="F169" s="51" t="n">
        <v>0</v>
      </c>
      <c r="G169" s="51">
        <f>IF(ISNUMBER('נתונים והנחות'!$I$48),-'נתונים והנחות'!$I$48*(1-0.005)^0,0)</f>
        <v/>
      </c>
      <c r="H169" s="51">
        <f>IF(ISNUMBER('נתונים והנחות'!$I$48),-'נתונים והנחות'!$I$48*(1-0.005)^1,0)</f>
        <v/>
      </c>
      <c r="I169" s="51">
        <f>IF(ISNUMBER('נתונים והנחות'!$I$48),-'נתונים והנחות'!$I$48*(1-0.005)^2,0)</f>
        <v/>
      </c>
      <c r="J169" s="51">
        <f>IF(ISNUMBER('נתונים והנחות'!$I$48),-'נתונים והנחות'!$I$48*(1-0.005)^3,0)</f>
        <v/>
      </c>
      <c r="K169" s="51">
        <f>IF(ISNUMBER('נתונים והנחות'!$I$48),-'נתונים והנחות'!$I$48*(1-0.005)^4,0)</f>
        <v/>
      </c>
      <c r="L169" s="51">
        <f>IF(ISNUMBER('נתונים והנחות'!$I$48),-'נתונים והנחות'!$I$48*(1-0.005)^5,0)</f>
        <v/>
      </c>
      <c r="M169" s="51">
        <f>IF(ISNUMBER('נתונים והנחות'!$I$48),-'נתונים והנחות'!$I$48*(1-0.005)^6,0)</f>
        <v/>
      </c>
      <c r="N169" s="51">
        <f>IF(ISNUMBER('נתונים והנחות'!$I$48),-'נתונים והנחות'!$I$48*(1-0.005)^7,0)</f>
        <v/>
      </c>
      <c r="O169" s="51">
        <f>IF(ISNUMBER('נתונים והנחות'!$I$48),-'נתונים והנחות'!$I$48*(1-0.005)^8,0)</f>
        <v/>
      </c>
      <c r="P169" s="51">
        <f>IF(ISNUMBER('נתונים והנחות'!$I$48),-'נתונים והנחות'!$I$48*(1-0.005)^9,0)</f>
        <v/>
      </c>
      <c r="Q169" s="51">
        <f>IF(ISNUMBER('נתונים והנחות'!$I$48),-'נתונים והנחות'!$I$48*(1-0.005)^10,0)</f>
        <v/>
      </c>
      <c r="R169" s="51">
        <f>IF(ISNUMBER('נתונים והנחות'!$I$48),-'נתונים והנחות'!$I$48*(1-0.005)^11,0)</f>
        <v/>
      </c>
      <c r="S169" s="51">
        <f>IF(ISNUMBER('נתונים והנחות'!$I$48),-'נתונים והנחות'!$I$48*(1-0.005)^12,0)</f>
        <v/>
      </c>
      <c r="T169" s="51">
        <f>IF(ISNUMBER('נתונים והנחות'!$I$48),-'נתונים והנחות'!$I$48*(1-0.005)^13,0)</f>
        <v/>
      </c>
      <c r="U169" s="51">
        <f>IF(ISNUMBER('נתונים והנחות'!$I$48),-'נתונים והנחות'!$I$48*(1-0.005)^14,0)</f>
        <v/>
      </c>
      <c r="V169" s="51">
        <f>IF(ISNUMBER('נתונים והנחות'!$I$48),-'נתונים והנחות'!$I$48*(1-0.005)^15,0)</f>
        <v/>
      </c>
      <c r="W169" s="51">
        <f>IF(ISNUMBER('נתונים והנחות'!$I$48),-'נתונים והנחות'!$I$48*(1-0.005)^16,0)</f>
        <v/>
      </c>
      <c r="X169" s="51">
        <f>0</f>
        <v/>
      </c>
      <c r="Y169" s="51">
        <f>0</f>
        <v/>
      </c>
      <c r="Z169" s="51">
        <f>0</f>
        <v/>
      </c>
    </row>
    <row r="170">
      <c r="B170" s="7" t="inlineStr">
        <is>
          <t>OPEX אחר</t>
        </is>
      </c>
      <c r="C170" s="10" t="inlineStr">
        <is>
          <t>₪</t>
        </is>
      </c>
      <c r="D170" s="10" t="inlineStr">
        <is>
          <t>חישוב</t>
        </is>
      </c>
      <c r="F170" s="51" t="n">
        <v>0</v>
      </c>
      <c r="G170" s="51">
        <f>IF(ISNUMBER('נתונים והנחות'!$I$46),-'נתונים והנחות'!$I$46,0)</f>
        <v/>
      </c>
      <c r="H170" s="51">
        <f>IF(ISNUMBER('נתונים והנחות'!$I$46),-'נתונים והנחות'!$I$46,0)</f>
        <v/>
      </c>
      <c r="I170" s="51">
        <f>IF(ISNUMBER('נתונים והנחות'!$I$46),-'נתונים והנחות'!$I$46,0)</f>
        <v/>
      </c>
      <c r="J170" s="51">
        <f>IF(ISNUMBER('נתונים והנחות'!$I$46),-'נתונים והנחות'!$I$46,0)</f>
        <v/>
      </c>
      <c r="K170" s="51">
        <f>IF(ISNUMBER('נתונים והנחות'!$I$46),-'נתונים והנחות'!$I$46,0)</f>
        <v/>
      </c>
      <c r="L170" s="51">
        <f>IF(ISNUMBER('נתונים והנחות'!$I$46),-'נתונים והנחות'!$I$46,0)</f>
        <v/>
      </c>
      <c r="M170" s="51">
        <f>IF(ISNUMBER('נתונים והנחות'!$I$46),-'נתונים והנחות'!$I$46,0)</f>
        <v/>
      </c>
      <c r="N170" s="51">
        <f>IF(ISNUMBER('נתונים והנחות'!$I$46),-'נתונים והנחות'!$I$46,0)</f>
        <v/>
      </c>
      <c r="O170" s="51">
        <f>IF(ISNUMBER('נתונים והנחות'!$I$46),-'נתונים והנחות'!$I$46,0)</f>
        <v/>
      </c>
      <c r="P170" s="51">
        <f>IF(ISNUMBER('נתונים והנחות'!$I$46),-'נתונים והנחות'!$I$46,0)</f>
        <v/>
      </c>
      <c r="Q170" s="51">
        <f>IF(ISNUMBER('נתונים והנחות'!$I$46),-'נתונים והנחות'!$I$46,0)</f>
        <v/>
      </c>
      <c r="R170" s="51">
        <f>IF(ISNUMBER('נתונים והנחות'!$I$46),-'נתונים והנחות'!$I$46,0)</f>
        <v/>
      </c>
      <c r="S170" s="51">
        <f>IF(ISNUMBER('נתונים והנחות'!$I$46),-'נתונים והנחות'!$I$46,0)</f>
        <v/>
      </c>
      <c r="T170" s="51">
        <f>IF(ISNUMBER('נתונים והנחות'!$I$46),-'נתונים והנחות'!$I$46,0)</f>
        <v/>
      </c>
      <c r="U170" s="51">
        <f>IF(ISNUMBER('נתונים והנחות'!$I$46),-'נתונים והנחות'!$I$46,0)</f>
        <v/>
      </c>
      <c r="V170" s="51">
        <f>IF(ISNUMBER('נתונים והנחות'!$I$46),-'נתונים והנחות'!$I$46,0)</f>
        <v/>
      </c>
      <c r="W170" s="51">
        <f>IF(ISNUMBER('נתונים והנחות'!$I$46),-'נתונים והנחות'!$I$46,0)</f>
        <v/>
      </c>
      <c r="X170" s="51">
        <f>0</f>
        <v/>
      </c>
      <c r="Y170" s="51">
        <f>0</f>
        <v/>
      </c>
      <c r="Z170" s="51">
        <f>0</f>
        <v/>
      </c>
    </row>
    <row r="171">
      <c r="B171" s="7" t="inlineStr">
        <is>
          <t>תזרים נקי — B</t>
        </is>
      </c>
      <c r="C171" s="10" t="inlineStr">
        <is>
          <t>₪</t>
        </is>
      </c>
      <c r="D171" s="10" t="inlineStr">
        <is>
          <t>חישוב</t>
        </is>
      </c>
      <c r="F171" s="51">
        <f>F168</f>
        <v/>
      </c>
      <c r="G171" s="51">
        <f>G169+G170+G154</f>
        <v/>
      </c>
      <c r="H171" s="51">
        <f>H169+H170+H154</f>
        <v/>
      </c>
      <c r="I171" s="51">
        <f>I169+I170+I154</f>
        <v/>
      </c>
      <c r="J171" s="51">
        <f>J169+J170+J154</f>
        <v/>
      </c>
      <c r="K171" s="51">
        <f>K169+K170+K154</f>
        <v/>
      </c>
      <c r="L171" s="51">
        <f>L169+L170+L154</f>
        <v/>
      </c>
      <c r="M171" s="51">
        <f>M169+M170+M154</f>
        <v/>
      </c>
      <c r="N171" s="51">
        <f>N169+N170+N154</f>
        <v/>
      </c>
      <c r="O171" s="51">
        <f>O169+O170+O154</f>
        <v/>
      </c>
      <c r="P171" s="51">
        <f>P169+P170+P154</f>
        <v/>
      </c>
      <c r="Q171" s="51">
        <f>Q169+Q170+Q154</f>
        <v/>
      </c>
      <c r="R171" s="51">
        <f>R169+R170+R154</f>
        <v/>
      </c>
      <c r="S171" s="51">
        <f>S169+S170+S154</f>
        <v/>
      </c>
      <c r="T171" s="51">
        <f>T169+T170+T154</f>
        <v/>
      </c>
      <c r="U171" s="51">
        <f>U169+U170+U154</f>
        <v/>
      </c>
      <c r="V171" s="51">
        <f>V169+V170+V154</f>
        <v/>
      </c>
      <c r="W171" s="51">
        <f>W169+W170+W154</f>
        <v/>
      </c>
      <c r="X171" s="51">
        <f>X169+X170+X154</f>
        <v/>
      </c>
      <c r="Y171" s="51">
        <f>Y169+Y170+Y154</f>
        <v/>
      </c>
      <c r="Z171" s="51">
        <f>Z169+Z170+Z154</f>
        <v/>
      </c>
    </row>
    <row r="172">
      <c r="B172" s="7" t="inlineStr">
        <is>
          <t>תזרים מהוון — B</t>
        </is>
      </c>
      <c r="C172" s="10" t="inlineStr">
        <is>
          <t>₪</t>
        </is>
      </c>
      <c r="D172" s="10" t="inlineStr">
        <is>
          <t>חישוב</t>
        </is>
      </c>
      <c r="F172" s="51">
        <f>F171</f>
        <v/>
      </c>
      <c r="G172" s="51">
        <f>G171/(1+'נתונים והנחות'!$F$11)^1</f>
        <v/>
      </c>
      <c r="H172" s="51">
        <f>H171/(1+'נתונים והנחות'!$F$11)^2</f>
        <v/>
      </c>
      <c r="I172" s="51">
        <f>I171/(1+'נתונים והנחות'!$F$11)^3</f>
        <v/>
      </c>
      <c r="J172" s="51">
        <f>J171/(1+'נתונים והנחות'!$F$11)^4</f>
        <v/>
      </c>
      <c r="K172" s="51">
        <f>K171/(1+'נתונים והנחות'!$F$11)^5</f>
        <v/>
      </c>
      <c r="L172" s="51">
        <f>L171/(1+'נתונים והנחות'!$F$11)^6</f>
        <v/>
      </c>
      <c r="M172" s="51">
        <f>M171/(1+'נתונים והנחות'!$F$11)^7</f>
        <v/>
      </c>
      <c r="N172" s="51">
        <f>N171/(1+'נתונים והנחות'!$F$11)^8</f>
        <v/>
      </c>
      <c r="O172" s="51">
        <f>O171/(1+'נתונים והנחות'!$F$11)^9</f>
        <v/>
      </c>
      <c r="P172" s="51">
        <f>P171/(1+'נתונים והנחות'!$F$11)^10</f>
        <v/>
      </c>
      <c r="Q172" s="51">
        <f>Q171/(1+'נתונים והנחות'!$F$11)^11</f>
        <v/>
      </c>
      <c r="R172" s="51">
        <f>R171/(1+'נתונים והנחות'!$F$11)^12</f>
        <v/>
      </c>
      <c r="S172" s="51">
        <f>S171/(1+'נתונים והנחות'!$F$11)^13</f>
        <v/>
      </c>
      <c r="T172" s="51">
        <f>T171/(1+'נתונים והנחות'!$F$11)^14</f>
        <v/>
      </c>
      <c r="U172" s="51">
        <f>U171/(1+'נתונים והנחות'!$F$11)^15</f>
        <v/>
      </c>
      <c r="V172" s="51">
        <f>V171/(1+'נתונים והנחות'!$F$11)^16</f>
        <v/>
      </c>
      <c r="W172" s="51">
        <f>W171/(1+'נתונים והנחות'!$F$11)^17</f>
        <v/>
      </c>
      <c r="X172" s="51">
        <f>X171/(1+'נתונים והנחות'!$F$11)^18</f>
        <v/>
      </c>
      <c r="Y172" s="51">
        <f>Y171/(1+'נתונים והנחות'!$F$11)^19</f>
        <v/>
      </c>
      <c r="Z172" s="51">
        <f>Z171/(1+'נתונים והנחות'!$F$11)^20</f>
        <v/>
      </c>
    </row>
    <row r="174">
      <c r="B174" s="55" t="inlineStr">
        <is>
          <t>תרחיש C — רכישת צ'ילרים — 500 RT | פחת מואץ (עם תמריץ)</t>
        </is>
      </c>
    </row>
    <row r="175">
      <c r="B175" s="48" t="inlineStr">
        <is>
          <t>* OPEX זהה ל-B — ההבדל הוא מגן המס המואץ בלבד</t>
        </is>
      </c>
    </row>
    <row r="176">
      <c r="B176" s="8" t="inlineStr">
        <is>
          <t>תזרים נקי — C</t>
        </is>
      </c>
      <c r="C176" s="10" t="inlineStr">
        <is>
          <t>₪</t>
        </is>
      </c>
      <c r="D176" s="10" t="inlineStr">
        <is>
          <t>חישוב</t>
        </is>
      </c>
      <c r="F176" s="52">
        <f>F168</f>
        <v/>
      </c>
      <c r="G176" s="52">
        <f>G169+G170+G156</f>
        <v/>
      </c>
      <c r="H176" s="52">
        <f>H169+H170+H156</f>
        <v/>
      </c>
      <c r="I176" s="52">
        <f>I169+I170+I156</f>
        <v/>
      </c>
      <c r="J176" s="52">
        <f>J169+J170+J156</f>
        <v/>
      </c>
      <c r="K176" s="52">
        <f>K169+K170+K156</f>
        <v/>
      </c>
      <c r="L176" s="52">
        <f>L169+L170+L156</f>
        <v/>
      </c>
      <c r="M176" s="52">
        <f>M169+M170+M156</f>
        <v/>
      </c>
      <c r="N176" s="52">
        <f>N169+N170+N156</f>
        <v/>
      </c>
      <c r="O176" s="52">
        <f>O169+O170+O156</f>
        <v/>
      </c>
      <c r="P176" s="52">
        <f>P169+P170+P156</f>
        <v/>
      </c>
      <c r="Q176" s="52">
        <f>Q169+Q170+Q156</f>
        <v/>
      </c>
      <c r="R176" s="52">
        <f>R169+R170+R156</f>
        <v/>
      </c>
      <c r="S176" s="52">
        <f>S169+S170+S156</f>
        <v/>
      </c>
      <c r="T176" s="52">
        <f>T169+T170+T156</f>
        <v/>
      </c>
      <c r="U176" s="52">
        <f>U169+U170+U156</f>
        <v/>
      </c>
      <c r="V176" s="52">
        <f>V169+V170+V156</f>
        <v/>
      </c>
      <c r="W176" s="52">
        <f>W169+W170+W156</f>
        <v/>
      </c>
      <c r="X176" s="52">
        <f>X169+X170+X156</f>
        <v/>
      </c>
      <c r="Y176" s="52">
        <f>Y169+Y170+Y156</f>
        <v/>
      </c>
      <c r="Z176" s="52">
        <f>Z169+Z170+Z156</f>
        <v/>
      </c>
    </row>
    <row r="177">
      <c r="B177" s="8" t="inlineStr">
        <is>
          <t>תזרים מהוון — C</t>
        </is>
      </c>
      <c r="C177" s="10" t="inlineStr">
        <is>
          <t>₪</t>
        </is>
      </c>
      <c r="D177" s="10" t="inlineStr">
        <is>
          <t>חישוב</t>
        </is>
      </c>
      <c r="F177" s="52">
        <f>F176</f>
        <v/>
      </c>
      <c r="G177" s="52">
        <f>G176/(1+'נתונים והנחות'!$F$11)^1</f>
        <v/>
      </c>
      <c r="H177" s="52">
        <f>H176/(1+'נתונים והנחות'!$F$11)^2</f>
        <v/>
      </c>
      <c r="I177" s="52">
        <f>I176/(1+'נתונים והנחות'!$F$11)^3</f>
        <v/>
      </c>
      <c r="J177" s="52">
        <f>J176/(1+'נתונים והנחות'!$F$11)^4</f>
        <v/>
      </c>
      <c r="K177" s="52">
        <f>K176/(1+'נתונים והנחות'!$F$11)^5</f>
        <v/>
      </c>
      <c r="L177" s="52">
        <f>L176/(1+'נתונים והנחות'!$F$11)^6</f>
        <v/>
      </c>
      <c r="M177" s="52">
        <f>M176/(1+'נתונים והנחות'!$F$11)^7</f>
        <v/>
      </c>
      <c r="N177" s="52">
        <f>N176/(1+'נתונים והנחות'!$F$11)^8</f>
        <v/>
      </c>
      <c r="O177" s="52">
        <f>O176/(1+'נתונים והנחות'!$F$11)^9</f>
        <v/>
      </c>
      <c r="P177" s="52">
        <f>P176/(1+'נתונים והנחות'!$F$11)^10</f>
        <v/>
      </c>
      <c r="Q177" s="52">
        <f>Q176/(1+'נתונים והנחות'!$F$11)^11</f>
        <v/>
      </c>
      <c r="R177" s="52">
        <f>R176/(1+'נתונים והנחות'!$F$11)^12</f>
        <v/>
      </c>
      <c r="S177" s="52">
        <f>S176/(1+'נתונים והנחות'!$F$11)^13</f>
        <v/>
      </c>
      <c r="T177" s="52">
        <f>T176/(1+'נתונים והנחות'!$F$11)^14</f>
        <v/>
      </c>
      <c r="U177" s="52">
        <f>U176/(1+'נתונים והנחות'!$F$11)^15</f>
        <v/>
      </c>
      <c r="V177" s="52">
        <f>V176/(1+'נתונים והנחות'!$F$11)^16</f>
        <v/>
      </c>
      <c r="W177" s="52">
        <f>W176/(1+'נתונים והנחות'!$F$11)^17</f>
        <v/>
      </c>
      <c r="X177" s="52">
        <f>X176/(1+'נתונים והנחות'!$F$11)^18</f>
        <v/>
      </c>
      <c r="Y177" s="52">
        <f>Y176/(1+'נתונים והנחות'!$F$11)^19</f>
        <v/>
      </c>
      <c r="Z177" s="52">
        <f>Z176/(1+'נתונים והנחות'!$F$11)^20</f>
        <v/>
      </c>
    </row>
    <row r="179">
      <c r="B179" s="49" t="inlineStr">
        <is>
          <t>ד. תוצאות — NPV</t>
        </is>
      </c>
    </row>
    <row r="180">
      <c r="B180" s="56" t="inlineStr">
        <is>
          <t>NPV — תרחיש A (מערכת קירור קונבנציונלית — 500 RT)</t>
        </is>
      </c>
      <c r="C180" s="10" t="inlineStr">
        <is>
          <t>ש"ח</t>
        </is>
      </c>
      <c r="F180" s="50">
        <f>SUM(F165:Z165)</f>
        <v/>
      </c>
    </row>
    <row r="181">
      <c r="B181" s="57" t="inlineStr">
        <is>
          <t>NPV — תרחיש B (צ'ילרים — 500 RT, ללא תמריץ)</t>
        </is>
      </c>
      <c r="C181" s="10" t="inlineStr">
        <is>
          <t>ש"ח</t>
        </is>
      </c>
      <c r="F181" s="51">
        <f>SUM(F172:Z172)</f>
        <v/>
      </c>
    </row>
    <row r="182">
      <c r="B182" s="58" t="inlineStr">
        <is>
          <t>NPV — תרחיש C (צ'ילרים — 500 RT, עם תמריץ)</t>
        </is>
      </c>
      <c r="C182" s="10" t="inlineStr">
        <is>
          <t>ש"ח</t>
        </is>
      </c>
      <c r="F182" s="52">
        <f>SUM(F177:Z177)</f>
        <v/>
      </c>
    </row>
    <row r="184">
      <c r="B184" s="59" t="inlineStr">
        <is>
          <t>NPV מצטבר — הצדקת השדרוג (B−A)</t>
        </is>
      </c>
      <c r="C184" s="10" t="inlineStr">
        <is>
          <t>ש"ח</t>
        </is>
      </c>
      <c r="F184" s="60">
        <f>F181-F180</f>
        <v/>
      </c>
    </row>
    <row r="185">
      <c r="B185" s="61" t="inlineStr">
        <is>
          <t>ערך התמריץ — תועלת הפחת המואץ (C−B)</t>
        </is>
      </c>
      <c r="C185" s="10" t="inlineStr">
        <is>
          <t>ש"ח</t>
        </is>
      </c>
      <c r="F185" s="62">
        <f>F182-F181</f>
        <v/>
      </c>
    </row>
    <row r="189">
      <c r="B189" s="47" t="inlineStr">
        <is>
          <t>3.3א  מדחסי VSD — 45 kW</t>
        </is>
      </c>
    </row>
    <row r="190">
      <c r="B190" s="48" t="inlineStr">
        <is>
          <t>* מול מדחס מהירות קבועה — 45 kW | נתונים: גיליון 'נתונים והנחות' סעיף 4</t>
        </is>
      </c>
    </row>
    <row r="191">
      <c r="B191" s="49" t="inlineStr">
        <is>
          <t>ב. לוחות פחת (ציוד בסיסי vs. יעיל)</t>
        </is>
      </c>
    </row>
    <row r="192">
      <c r="B192" s="23" t="inlineStr">
        <is>
          <t>פרמטר</t>
        </is>
      </c>
      <c r="C192" s="23" t="inlineStr">
        <is>
          <t>יחידות</t>
        </is>
      </c>
      <c r="D192" s="23" t="inlineStr">
        <is>
          <t>מקור</t>
        </is>
      </c>
      <c r="E192" s="23" t="inlineStr">
        <is>
          <t>הערות</t>
        </is>
      </c>
      <c r="F192" s="23" t="inlineStr">
        <is>
          <t>שנה 0 (השקעה)</t>
        </is>
      </c>
      <c r="G192" s="23" t="inlineStr">
        <is>
          <t>שנה 1</t>
        </is>
      </c>
      <c r="H192" s="23" t="inlineStr">
        <is>
          <t>שנה 2</t>
        </is>
      </c>
      <c r="I192" s="23" t="inlineStr">
        <is>
          <t>שנה 3</t>
        </is>
      </c>
      <c r="J192" s="23" t="inlineStr">
        <is>
          <t>שנה 4</t>
        </is>
      </c>
      <c r="K192" s="23" t="inlineStr">
        <is>
          <t>שנה 5</t>
        </is>
      </c>
      <c r="L192" s="23" t="inlineStr">
        <is>
          <t>שנה 6</t>
        </is>
      </c>
      <c r="M192" s="23" t="inlineStr">
        <is>
          <t>שנה 7</t>
        </is>
      </c>
      <c r="N192" s="23" t="inlineStr">
        <is>
          <t>שנה 8</t>
        </is>
      </c>
      <c r="O192" s="23" t="inlineStr">
        <is>
          <t>שנה 9</t>
        </is>
      </c>
      <c r="P192" s="23" t="inlineStr">
        <is>
          <t>שנה 10</t>
        </is>
      </c>
      <c r="Q192" s="23" t="inlineStr">
        <is>
          <t>שנה 11</t>
        </is>
      </c>
      <c r="R192" s="23" t="inlineStr">
        <is>
          <t>שנה 12</t>
        </is>
      </c>
      <c r="S192" s="23" t="inlineStr">
        <is>
          <t>שנה 13</t>
        </is>
      </c>
      <c r="T192" s="23" t="inlineStr">
        <is>
          <t>שנה 14</t>
        </is>
      </c>
      <c r="U192" s="23" t="inlineStr">
        <is>
          <t>שנה 15</t>
        </is>
      </c>
      <c r="V192" s="23" t="inlineStr">
        <is>
          <t>שנה 16</t>
        </is>
      </c>
      <c r="W192" s="23" t="inlineStr">
        <is>
          <t>שנה 17</t>
        </is>
      </c>
      <c r="X192" s="23" t="inlineStr">
        <is>
          <t>שנה 18</t>
        </is>
      </c>
      <c r="Y192" s="23" t="inlineStr">
        <is>
          <t>שנה 19</t>
        </is>
      </c>
      <c r="Z192" s="23" t="inlineStr">
        <is>
          <t>שנה 20</t>
        </is>
      </c>
    </row>
    <row r="193">
      <c r="B193" s="6" t="inlineStr">
        <is>
          <t>פחת סטנדרטי — מדחס מהירות קבועה — 45 kW</t>
        </is>
      </c>
      <c r="C193" s="10" t="inlineStr">
        <is>
          <t>₪</t>
        </is>
      </c>
      <c r="D193" s="10" t="inlineStr">
        <is>
          <t>חישוב</t>
        </is>
      </c>
      <c r="F193" s="50" t="n">
        <v>0</v>
      </c>
      <c r="G193" s="50">
        <f>IF(ISNUMBER('נתונים והנחות'!$J$39),'נתונים והנחות'!$J$39*0.1,0)</f>
        <v/>
      </c>
      <c r="H193" s="50">
        <f>IF(ISNUMBER('נתונים והנחות'!$J$39),'נתונים והנחות'!$J$39*0.1,0)</f>
        <v/>
      </c>
      <c r="I193" s="50">
        <f>IF(ISNUMBER('נתונים והנחות'!$J$39),'נתונים והנחות'!$J$39*0.1,0)</f>
        <v/>
      </c>
      <c r="J193" s="50">
        <f>IF(ISNUMBER('נתונים והנחות'!$J$39),'נתונים והנחות'!$J$39*0.1,0)</f>
        <v/>
      </c>
      <c r="K193" s="50">
        <f>IF(ISNUMBER('נתונים והנחות'!$J$39),'נתונים והנחות'!$J$39*0.1,0)</f>
        <v/>
      </c>
      <c r="L193" s="50">
        <f>IF(ISNUMBER('נתונים והנחות'!$J$39),'נתונים והנחות'!$J$39*0.1,0)</f>
        <v/>
      </c>
      <c r="M193" s="50">
        <f>IF(ISNUMBER('נתונים והנחות'!$J$39),'נתונים והנחות'!$J$39*0.1,0)</f>
        <v/>
      </c>
      <c r="N193" s="50">
        <f>IF(ISNUMBER('נתונים והנחות'!$J$39),'נתונים והנחות'!$J$39*0.1,0)</f>
        <v/>
      </c>
      <c r="O193" s="50">
        <f>IF(ISNUMBER('נתונים והנחות'!$J$39),'נתונים והנחות'!$J$39*0.1,0)</f>
        <v/>
      </c>
      <c r="P193" s="50">
        <f>IF(ISNUMBER('נתונים והנחות'!$J$39),'נתונים והנחות'!$J$39*0.1,0)</f>
        <v/>
      </c>
      <c r="Q193" s="50">
        <f>0</f>
        <v/>
      </c>
      <c r="R193" s="50">
        <f>0</f>
        <v/>
      </c>
      <c r="S193" s="50">
        <f>0</f>
        <v/>
      </c>
      <c r="T193" s="50">
        <f>0</f>
        <v/>
      </c>
      <c r="U193" s="50">
        <f>0</f>
        <v/>
      </c>
      <c r="V193" s="50">
        <f>0</f>
        <v/>
      </c>
      <c r="W193" s="50">
        <f>0</f>
        <v/>
      </c>
      <c r="X193" s="50">
        <f>0</f>
        <v/>
      </c>
      <c r="Y193" s="50">
        <f>0</f>
        <v/>
      </c>
      <c r="Z193" s="50">
        <f>0</f>
        <v/>
      </c>
    </row>
    <row r="194">
      <c r="B194" s="6" t="inlineStr">
        <is>
          <t>מגן מס — מדחס מהירות קבועה — 45 kW</t>
        </is>
      </c>
      <c r="C194" s="10" t="inlineStr">
        <is>
          <t>₪</t>
        </is>
      </c>
      <c r="D194" s="10" t="inlineStr">
        <is>
          <t>חישוב</t>
        </is>
      </c>
      <c r="F194" s="50" t="n">
        <v>0</v>
      </c>
      <c r="G194" s="50">
        <f>G193*'נתונים והנחות'!$F$10</f>
        <v/>
      </c>
      <c r="H194" s="50">
        <f>H193*'נתונים והנחות'!$F$10</f>
        <v/>
      </c>
      <c r="I194" s="50">
        <f>I193*'נתונים והנחות'!$F$10</f>
        <v/>
      </c>
      <c r="J194" s="50">
        <f>J193*'נתונים והנחות'!$F$10</f>
        <v/>
      </c>
      <c r="K194" s="50">
        <f>K193*'נתונים והנחות'!$F$10</f>
        <v/>
      </c>
      <c r="L194" s="50">
        <f>L193*'נתונים והנחות'!$F$10</f>
        <v/>
      </c>
      <c r="M194" s="50">
        <f>M193*'נתונים והנחות'!$F$10</f>
        <v/>
      </c>
      <c r="N194" s="50">
        <f>N193*'נתונים והנחות'!$F$10</f>
        <v/>
      </c>
      <c r="O194" s="50">
        <f>O193*'נתונים והנחות'!$F$10</f>
        <v/>
      </c>
      <c r="P194" s="50">
        <f>P193*'נתונים והנחות'!$F$10</f>
        <v/>
      </c>
      <c r="Q194" s="50">
        <f>Q193*'נתונים והנחות'!$F$10</f>
        <v/>
      </c>
      <c r="R194" s="50">
        <f>R193*'נתונים והנחות'!$F$10</f>
        <v/>
      </c>
      <c r="S194" s="50">
        <f>S193*'נתונים והנחות'!$F$10</f>
        <v/>
      </c>
      <c r="T194" s="50">
        <f>T193*'נתונים והנחות'!$F$10</f>
        <v/>
      </c>
      <c r="U194" s="50">
        <f>U193*'נתונים והנחות'!$F$10</f>
        <v/>
      </c>
      <c r="V194" s="50">
        <f>V193*'נתונים והנחות'!$F$10</f>
        <v/>
      </c>
      <c r="W194" s="50">
        <f>W193*'נתונים והנחות'!$F$10</f>
        <v/>
      </c>
      <c r="X194" s="50">
        <f>X193*'נתונים והנחות'!$F$10</f>
        <v/>
      </c>
      <c r="Y194" s="50">
        <f>Y193*'נתונים והנחות'!$F$10</f>
        <v/>
      </c>
      <c r="Z194" s="50">
        <f>Z193*'נתונים והנחות'!$F$10</f>
        <v/>
      </c>
    </row>
    <row r="195">
      <c r="B195" s="7" t="inlineStr">
        <is>
          <t>פחת סטנדרטי — מדחסי VSD — 45 kW</t>
        </is>
      </c>
      <c r="C195" s="10" t="inlineStr">
        <is>
          <t>₪</t>
        </is>
      </c>
      <c r="D195" s="10" t="inlineStr">
        <is>
          <t>חישוב</t>
        </is>
      </c>
      <c r="F195" s="51" t="n">
        <v>0</v>
      </c>
      <c r="G195" s="51">
        <f>IF(ISNUMBER('נתונים והנחות'!$J$40),'נתונים והנחות'!$J$40*0.1,0)</f>
        <v/>
      </c>
      <c r="H195" s="51">
        <f>IF(ISNUMBER('נתונים והנחות'!$J$40),'נתונים והנחות'!$J$40*0.1,0)</f>
        <v/>
      </c>
      <c r="I195" s="51">
        <f>IF(ISNUMBER('נתונים והנחות'!$J$40),'נתונים והנחות'!$J$40*0.1,0)</f>
        <v/>
      </c>
      <c r="J195" s="51">
        <f>IF(ISNUMBER('נתונים והנחות'!$J$40),'נתונים והנחות'!$J$40*0.1,0)</f>
        <v/>
      </c>
      <c r="K195" s="51">
        <f>IF(ISNUMBER('נתונים והנחות'!$J$40),'נתונים והנחות'!$J$40*0.1,0)</f>
        <v/>
      </c>
      <c r="L195" s="51">
        <f>IF(ISNUMBER('נתונים והנחות'!$J$40),'נתונים והנחות'!$J$40*0.1,0)</f>
        <v/>
      </c>
      <c r="M195" s="51">
        <f>IF(ISNUMBER('נתונים והנחות'!$J$40),'נתונים והנחות'!$J$40*0.1,0)</f>
        <v/>
      </c>
      <c r="N195" s="51">
        <f>IF(ISNUMBER('נתונים והנחות'!$J$40),'נתונים והנחות'!$J$40*0.1,0)</f>
        <v/>
      </c>
      <c r="O195" s="51">
        <f>IF(ISNUMBER('נתונים והנחות'!$J$40),'נתונים והנחות'!$J$40*0.1,0)</f>
        <v/>
      </c>
      <c r="P195" s="51">
        <f>IF(ISNUMBER('נתונים והנחות'!$J$40),'נתונים והנחות'!$J$40*0.1,0)</f>
        <v/>
      </c>
      <c r="Q195" s="51">
        <f>0</f>
        <v/>
      </c>
      <c r="R195" s="51">
        <f>0</f>
        <v/>
      </c>
      <c r="S195" s="51">
        <f>0</f>
        <v/>
      </c>
      <c r="T195" s="51">
        <f>0</f>
        <v/>
      </c>
      <c r="U195" s="51">
        <f>0</f>
        <v/>
      </c>
      <c r="V195" s="51">
        <f>0</f>
        <v/>
      </c>
      <c r="W195" s="51">
        <f>0</f>
        <v/>
      </c>
      <c r="X195" s="51">
        <f>0</f>
        <v/>
      </c>
      <c r="Y195" s="51">
        <f>0</f>
        <v/>
      </c>
      <c r="Z195" s="51">
        <f>0</f>
        <v/>
      </c>
    </row>
    <row r="196">
      <c r="B196" s="7" t="inlineStr">
        <is>
          <t>מגן מס סטנדרטי — מדחסי VSD — 45 kW</t>
        </is>
      </c>
      <c r="C196" s="10" t="inlineStr">
        <is>
          <t>₪</t>
        </is>
      </c>
      <c r="D196" s="10" t="inlineStr">
        <is>
          <t>חישוב</t>
        </is>
      </c>
      <c r="F196" s="51" t="n">
        <v>0</v>
      </c>
      <c r="G196" s="51">
        <f>G195*'נתונים והנחות'!$F$10</f>
        <v/>
      </c>
      <c r="H196" s="51">
        <f>H195*'נתונים והנחות'!$F$10</f>
        <v/>
      </c>
      <c r="I196" s="51">
        <f>I195*'נתונים והנחות'!$F$10</f>
        <v/>
      </c>
      <c r="J196" s="51">
        <f>J195*'נתונים והנחות'!$F$10</f>
        <v/>
      </c>
      <c r="K196" s="51">
        <f>K195*'נתונים והנחות'!$F$10</f>
        <v/>
      </c>
      <c r="L196" s="51">
        <f>L195*'נתונים והנחות'!$F$10</f>
        <v/>
      </c>
      <c r="M196" s="51">
        <f>M195*'נתונים והנחות'!$F$10</f>
        <v/>
      </c>
      <c r="N196" s="51">
        <f>N195*'נתונים והנחות'!$F$10</f>
        <v/>
      </c>
      <c r="O196" s="51">
        <f>O195*'נתונים והנחות'!$F$10</f>
        <v/>
      </c>
      <c r="P196" s="51">
        <f>P195*'נתונים והנחות'!$F$10</f>
        <v/>
      </c>
      <c r="Q196" s="51">
        <f>Q195*'נתונים והנחות'!$F$10</f>
        <v/>
      </c>
      <c r="R196" s="51">
        <f>R195*'נתונים והנחות'!$F$10</f>
        <v/>
      </c>
      <c r="S196" s="51">
        <f>S195*'נתונים והנחות'!$F$10</f>
        <v/>
      </c>
      <c r="T196" s="51">
        <f>T195*'נתונים והנחות'!$F$10</f>
        <v/>
      </c>
      <c r="U196" s="51">
        <f>U195*'נתונים והנחות'!$F$10</f>
        <v/>
      </c>
      <c r="V196" s="51">
        <f>V195*'נתונים והנחות'!$F$10</f>
        <v/>
      </c>
      <c r="W196" s="51">
        <f>W195*'נתונים והנחות'!$F$10</f>
        <v/>
      </c>
      <c r="X196" s="51">
        <f>X195*'נתונים והנחות'!$F$10</f>
        <v/>
      </c>
      <c r="Y196" s="51">
        <f>Y195*'נתונים והנחות'!$F$10</f>
        <v/>
      </c>
      <c r="Z196" s="51">
        <f>Z195*'נתונים והנחות'!$F$10</f>
        <v/>
      </c>
    </row>
    <row r="197">
      <c r="B197" s="8" t="inlineStr">
        <is>
          <t>פחת מואץ — מדחסי VSD — 45 kW</t>
        </is>
      </c>
      <c r="C197" s="10" t="inlineStr">
        <is>
          <t>₪</t>
        </is>
      </c>
      <c r="D197" s="10" t="inlineStr">
        <is>
          <t>חישוב</t>
        </is>
      </c>
      <c r="F197" s="52" t="n">
        <v>0</v>
      </c>
      <c r="G197" s="52">
        <f>IF(ISNUMBER('נתונים והנחות'!$J$40),IF(1&lt;=ROUND(1/(0.1*'נתונים והנחות'!$F$20),0),'נתונים והנחות'!$J$40*0.1*'נתונים והנחות'!$F$20,0),0)</f>
        <v/>
      </c>
      <c r="H197" s="52">
        <f>IF(ISNUMBER('נתונים והנחות'!$J$40),IF(2&lt;=ROUND(1/(0.1*'נתונים והנחות'!$F$20),0),'נתונים והנחות'!$J$40*0.1*'נתונים והנחות'!$F$20,0),0)</f>
        <v/>
      </c>
      <c r="I197" s="52">
        <f>IF(ISNUMBER('נתונים והנחות'!$J$40),IF(3&lt;=ROUND(1/(0.1*'נתונים והנחות'!$F$20),0),'נתונים והנחות'!$J$40*0.1*'נתונים והנחות'!$F$20,0),0)</f>
        <v/>
      </c>
      <c r="J197" s="52">
        <f>IF(ISNUMBER('נתונים והנחות'!$J$40),IF(4&lt;=ROUND(1/(0.1*'נתונים והנחות'!$F$20),0),'נתונים והנחות'!$J$40*0.1*'נתונים והנחות'!$F$20,0),0)</f>
        <v/>
      </c>
      <c r="K197" s="52">
        <f>IF(ISNUMBER('נתונים והנחות'!$J$40),IF(5&lt;=ROUND(1/(0.1*'נתונים והנחות'!$F$20),0),'נתונים והנחות'!$J$40*0.1*'נתונים והנחות'!$F$20,0),0)</f>
        <v/>
      </c>
      <c r="L197" s="52">
        <f>IF(ISNUMBER('נתונים והנחות'!$J$40),IF(6&lt;=ROUND(1/(0.1*'נתונים והנחות'!$F$20),0),'נתונים והנחות'!$J$40*0.1*'נתונים והנחות'!$F$20,0),0)</f>
        <v/>
      </c>
      <c r="M197" s="52">
        <f>IF(ISNUMBER('נתונים והנחות'!$J$40),IF(7&lt;=ROUND(1/(0.1*'נתונים והנחות'!$F$20),0),'נתונים והנחות'!$J$40*0.1*'נתונים והנחות'!$F$20,0),0)</f>
        <v/>
      </c>
      <c r="N197" s="52">
        <f>IF(ISNUMBER('נתונים והנחות'!$J$40),IF(8&lt;=ROUND(1/(0.1*'נתונים והנחות'!$F$20),0),'נתונים והנחות'!$J$40*0.1*'נתונים והנחות'!$F$20,0),0)</f>
        <v/>
      </c>
      <c r="O197" s="52">
        <f>IF(ISNUMBER('נתונים והנחות'!$J$40),IF(9&lt;=ROUND(1/(0.1*'נתונים והנחות'!$F$20),0),'נתונים והנחות'!$J$40*0.1*'נתונים והנחות'!$F$20,0),0)</f>
        <v/>
      </c>
      <c r="P197" s="52">
        <f>IF(ISNUMBER('נתונים והנחות'!$J$40),IF(10&lt;=ROUND(1/(0.1*'נתונים והנחות'!$F$20),0),'נתונים והנחות'!$J$40*0.1*'נתונים והנחות'!$F$20,0),0)</f>
        <v/>
      </c>
      <c r="Q197" s="52">
        <f>IF(ISNUMBER('נתונים והנחות'!$J$40),IF(11&lt;=ROUND(1/(0.1*'נתונים והנחות'!$F$20),0),'נתונים והנחות'!$J$40*0.1*'נתונים והנחות'!$F$20,0),0)</f>
        <v/>
      </c>
      <c r="R197" s="52">
        <f>IF(ISNUMBER('נתונים והנחות'!$J$40),IF(12&lt;=ROUND(1/(0.1*'נתונים והנחות'!$F$20),0),'נתונים והנחות'!$J$40*0.1*'נתונים והנחות'!$F$20,0),0)</f>
        <v/>
      </c>
      <c r="S197" s="52">
        <f>IF(ISNUMBER('נתונים והנחות'!$J$40),IF(13&lt;=ROUND(1/(0.1*'נתונים והנחות'!$F$20),0),'נתונים והנחות'!$J$40*0.1*'נתונים והנחות'!$F$20,0),0)</f>
        <v/>
      </c>
      <c r="T197" s="52">
        <f>IF(ISNUMBER('נתונים והנחות'!$J$40),IF(14&lt;=ROUND(1/(0.1*'נתונים והנחות'!$F$20),0),'נתונים והנחות'!$J$40*0.1*'נתונים והנחות'!$F$20,0),0)</f>
        <v/>
      </c>
      <c r="U197" s="52">
        <f>IF(ISNUMBER('נתונים והנחות'!$J$40),IF(15&lt;=ROUND(1/(0.1*'נתונים והנחות'!$F$20),0),'נתונים והנחות'!$J$40*0.1*'נתונים והנחות'!$F$20,0),0)</f>
        <v/>
      </c>
      <c r="V197" s="52">
        <f>IF(ISNUMBER('נתונים והנחות'!$J$40),IF(16&lt;=ROUND(1/(0.1*'נתונים והנחות'!$F$20),0),'נתונים והנחות'!$J$40*0.1*'נתונים והנחות'!$F$20,0),0)</f>
        <v/>
      </c>
      <c r="W197" s="52">
        <f>IF(ISNUMBER('נתונים והנחות'!$J$40),IF(17&lt;=ROUND(1/(0.1*'נתונים והנחות'!$F$20),0),'נתונים והנחות'!$J$40*0.1*'נתונים והנחות'!$F$20,0),0)</f>
        <v/>
      </c>
      <c r="X197" s="52">
        <f>IF(ISNUMBER('נתונים והנחות'!$J$40),IF(18&lt;=ROUND(1/(0.1*'נתונים והנחות'!$F$20),0),'נתונים והנחות'!$J$40*0.1*'נתונים והנחות'!$F$20,0),0)</f>
        <v/>
      </c>
      <c r="Y197" s="52">
        <f>IF(ISNUMBER('נתונים והנחות'!$J$40),IF(19&lt;=ROUND(1/(0.1*'נתונים והנחות'!$F$20),0),'נתונים והנחות'!$J$40*0.1*'נתונים והנחות'!$F$20,0),0)</f>
        <v/>
      </c>
      <c r="Z197" s="52">
        <f>IF(ISNUMBER('נתונים והנחות'!$J$40),IF(20&lt;=ROUND(1/(0.1*'נתונים והנחות'!$F$20),0),'נתונים והנחות'!$J$40*0.1*'נתונים והנחות'!$F$20,0),0)</f>
        <v/>
      </c>
    </row>
    <row r="198">
      <c r="B198" s="8" t="inlineStr">
        <is>
          <t>מגן מס מואץ — מדחסי VSD — 45 kW</t>
        </is>
      </c>
      <c r="C198" s="10" t="inlineStr">
        <is>
          <t>₪</t>
        </is>
      </c>
      <c r="D198" s="10" t="inlineStr">
        <is>
          <t>חישוב</t>
        </is>
      </c>
      <c r="F198" s="52" t="n">
        <v>0</v>
      </c>
      <c r="G198" s="52">
        <f>G197*'נתונים והנחות'!$F$10</f>
        <v/>
      </c>
      <c r="H198" s="52">
        <f>H197*'נתונים והנחות'!$F$10</f>
        <v/>
      </c>
      <c r="I198" s="52">
        <f>I197*'נתונים והנחות'!$F$10</f>
        <v/>
      </c>
      <c r="J198" s="52">
        <f>J197*'נתונים והנחות'!$F$10</f>
        <v/>
      </c>
      <c r="K198" s="52">
        <f>K197*'נתונים והנחות'!$F$10</f>
        <v/>
      </c>
      <c r="L198" s="52">
        <f>L197*'נתונים והנחות'!$F$10</f>
        <v/>
      </c>
      <c r="M198" s="52">
        <f>M197*'נתונים והנחות'!$F$10</f>
        <v/>
      </c>
      <c r="N198" s="52">
        <f>N197*'נתונים והנחות'!$F$10</f>
        <v/>
      </c>
      <c r="O198" s="52">
        <f>O197*'נתונים והנחות'!$F$10</f>
        <v/>
      </c>
      <c r="P198" s="52">
        <f>P197*'נתונים והנחות'!$F$10</f>
        <v/>
      </c>
      <c r="Q198" s="52">
        <f>Q197*'נתונים והנחות'!$F$10</f>
        <v/>
      </c>
      <c r="R198" s="52">
        <f>R197*'נתונים והנחות'!$F$10</f>
        <v/>
      </c>
      <c r="S198" s="52">
        <f>S197*'נתונים והנחות'!$F$10</f>
        <v/>
      </c>
      <c r="T198" s="52">
        <f>T197*'נתונים והנחות'!$F$10</f>
        <v/>
      </c>
      <c r="U198" s="52">
        <f>U197*'נתונים והנחות'!$F$10</f>
        <v/>
      </c>
      <c r="V198" s="52">
        <f>V197*'נתונים והנחות'!$F$10</f>
        <v/>
      </c>
      <c r="W198" s="52">
        <f>W197*'נתונים והנחות'!$F$10</f>
        <v/>
      </c>
      <c r="X198" s="52">
        <f>X197*'נתונים והנחות'!$F$10</f>
        <v/>
      </c>
      <c r="Y198" s="52">
        <f>Y197*'נתונים והנחות'!$F$10</f>
        <v/>
      </c>
      <c r="Z198" s="52">
        <f>Z197*'נתונים והנחות'!$F$10</f>
        <v/>
      </c>
    </row>
    <row r="200">
      <c r="B200" s="49" t="inlineStr">
        <is>
          <t>ג. ניתוח תזרים מזומנים — שלושה תרחישים</t>
        </is>
      </c>
    </row>
    <row r="201">
      <c r="B201" s="23" t="inlineStr">
        <is>
          <t>פרמטר</t>
        </is>
      </c>
      <c r="C201" s="23" t="inlineStr">
        <is>
          <t>יחידות</t>
        </is>
      </c>
      <c r="D201" s="23" t="inlineStr">
        <is>
          <t>מקור</t>
        </is>
      </c>
      <c r="E201" s="23" t="inlineStr">
        <is>
          <t>הערות</t>
        </is>
      </c>
      <c r="F201" s="23" t="inlineStr">
        <is>
          <t>שנה 0 (השקעה)</t>
        </is>
      </c>
      <c r="G201" s="23" t="inlineStr">
        <is>
          <t>שנה 1</t>
        </is>
      </c>
      <c r="H201" s="23" t="inlineStr">
        <is>
          <t>שנה 2</t>
        </is>
      </c>
      <c r="I201" s="23" t="inlineStr">
        <is>
          <t>שנה 3</t>
        </is>
      </c>
      <c r="J201" s="23" t="inlineStr">
        <is>
          <t>שנה 4</t>
        </is>
      </c>
      <c r="K201" s="23" t="inlineStr">
        <is>
          <t>שנה 5</t>
        </is>
      </c>
      <c r="L201" s="23" t="inlineStr">
        <is>
          <t>שנה 6</t>
        </is>
      </c>
      <c r="M201" s="23" t="inlineStr">
        <is>
          <t>שנה 7</t>
        </is>
      </c>
      <c r="N201" s="23" t="inlineStr">
        <is>
          <t>שנה 8</t>
        </is>
      </c>
      <c r="O201" s="23" t="inlineStr">
        <is>
          <t>שנה 9</t>
        </is>
      </c>
      <c r="P201" s="23" t="inlineStr">
        <is>
          <t>שנה 10</t>
        </is>
      </c>
      <c r="Q201" s="23" t="inlineStr">
        <is>
          <t>שנה 11</t>
        </is>
      </c>
      <c r="R201" s="23" t="inlineStr">
        <is>
          <t>שנה 12</t>
        </is>
      </c>
      <c r="S201" s="23" t="inlineStr">
        <is>
          <t>שנה 13</t>
        </is>
      </c>
      <c r="T201" s="23" t="inlineStr">
        <is>
          <t>שנה 14</t>
        </is>
      </c>
      <c r="U201" s="23" t="inlineStr">
        <is>
          <t>שנה 15</t>
        </is>
      </c>
      <c r="V201" s="23" t="inlineStr">
        <is>
          <t>שנה 16</t>
        </is>
      </c>
      <c r="W201" s="23" t="inlineStr">
        <is>
          <t>שנה 17</t>
        </is>
      </c>
      <c r="X201" s="23" t="inlineStr">
        <is>
          <t>שנה 18</t>
        </is>
      </c>
      <c r="Y201" s="23" t="inlineStr">
        <is>
          <t>שנה 19</t>
        </is>
      </c>
      <c r="Z201" s="23" t="inlineStr">
        <is>
          <t>שנה 20</t>
        </is>
      </c>
    </row>
    <row r="202">
      <c r="B202" s="53" t="inlineStr">
        <is>
          <t>תרחיש A — רכישת מדחס מהירות קבועה — 45 kW (ציוד קיים)</t>
        </is>
      </c>
    </row>
    <row r="203">
      <c r="B203" s="6" t="inlineStr">
        <is>
          <t>השקעה ראשונית</t>
        </is>
      </c>
      <c r="C203" s="10" t="inlineStr">
        <is>
          <t>₪</t>
        </is>
      </c>
      <c r="D203" s="10" t="inlineStr">
        <is>
          <t>חישוב</t>
        </is>
      </c>
      <c r="F203" s="50">
        <f>IF(ISNUMBER('נתונים והנחות'!$J$39),-'נתונים והנחות'!$J$39,"PENDING")</f>
        <v/>
      </c>
    </row>
    <row r="204">
      <c r="B204" s="6" t="inlineStr">
        <is>
          <t>OPEX אנרגיה/דלק</t>
        </is>
      </c>
      <c r="C204" s="10" t="inlineStr">
        <is>
          <t>₪</t>
        </is>
      </c>
      <c r="D204" s="10" t="inlineStr">
        <is>
          <t>חישוב</t>
        </is>
      </c>
      <c r="F204" s="50" t="n">
        <v>0</v>
      </c>
      <c r="G204" s="50">
        <f>IF(ISNUMBER('נתונים והנחות'!$J$47),-'נתונים והנחות'!$J$47,0)</f>
        <v/>
      </c>
      <c r="H204" s="50">
        <f>IF(ISNUMBER('נתונים והנחות'!$J$47),-'נתונים והנחות'!$J$47,0)</f>
        <v/>
      </c>
      <c r="I204" s="50">
        <f>IF(ISNUMBER('נתונים והנחות'!$J$47),-'נתונים והנחות'!$J$47,0)</f>
        <v/>
      </c>
      <c r="J204" s="50">
        <f>IF(ISNUMBER('נתונים והנחות'!$J$47),-'נתונים והנחות'!$J$47,0)</f>
        <v/>
      </c>
      <c r="K204" s="50">
        <f>IF(ISNUMBER('נתונים והנחות'!$J$47),-'נתונים והנחות'!$J$47,0)</f>
        <v/>
      </c>
      <c r="L204" s="50">
        <f>IF(ISNUMBER('נתונים והנחות'!$J$47),-'נתונים והנחות'!$J$47,0)</f>
        <v/>
      </c>
      <c r="M204" s="50">
        <f>IF(ISNUMBER('נתונים והנחות'!$J$47),-'נתונים והנחות'!$J$47,0)</f>
        <v/>
      </c>
      <c r="N204" s="50">
        <f>IF(ISNUMBER('נתונים והנחות'!$J$47),-'נתונים והנחות'!$J$47,0)</f>
        <v/>
      </c>
      <c r="O204" s="50">
        <f>IF(ISNUMBER('נתונים והנחות'!$J$47),-'נתונים והנחות'!$J$47,0)</f>
        <v/>
      </c>
      <c r="P204" s="50">
        <f>IF(ISNUMBER('נתונים והנחות'!$J$47),-'נתונים והנחות'!$J$47,0)</f>
        <v/>
      </c>
      <c r="Q204" s="50">
        <f>IF(ISNUMBER('נתונים והנחות'!$J$47),-'נתונים והנחות'!$J$47,0)</f>
        <v/>
      </c>
      <c r="R204" s="50">
        <f>IF(ISNUMBER('נתונים והנחות'!$J$47),-'נתונים והנחות'!$J$47,0)</f>
        <v/>
      </c>
      <c r="S204" s="50">
        <f>0</f>
        <v/>
      </c>
      <c r="T204" s="50">
        <f>0</f>
        <v/>
      </c>
      <c r="U204" s="50">
        <f>0</f>
        <v/>
      </c>
      <c r="V204" s="50">
        <f>0</f>
        <v/>
      </c>
      <c r="W204" s="50">
        <f>0</f>
        <v/>
      </c>
      <c r="X204" s="50">
        <f>0</f>
        <v/>
      </c>
      <c r="Y204" s="50">
        <f>0</f>
        <v/>
      </c>
      <c r="Z204" s="50">
        <f>0</f>
        <v/>
      </c>
    </row>
    <row r="205">
      <c r="B205" s="6" t="inlineStr">
        <is>
          <t>OPEX אחר</t>
        </is>
      </c>
      <c r="C205" s="10" t="inlineStr">
        <is>
          <t>₪</t>
        </is>
      </c>
      <c r="D205" s="10" t="inlineStr">
        <is>
          <t>חישוב</t>
        </is>
      </c>
      <c r="F205" s="50" t="n">
        <v>0</v>
      </c>
      <c r="G205" s="50">
        <f>IF(ISNUMBER('נתונים והנחות'!$J$45),-'נתונים והנחות'!$J$45,0)</f>
        <v/>
      </c>
      <c r="H205" s="50">
        <f>IF(ISNUMBER('נתונים והנחות'!$J$45),-'נתונים והנחות'!$J$45,0)</f>
        <v/>
      </c>
      <c r="I205" s="50">
        <f>IF(ISNUMBER('נתונים והנחות'!$J$45),-'נתונים והנחות'!$J$45,0)</f>
        <v/>
      </c>
      <c r="J205" s="50">
        <f>IF(ISNUMBER('נתונים והנחות'!$J$45),-'נתונים והנחות'!$J$45,0)</f>
        <v/>
      </c>
      <c r="K205" s="50">
        <f>IF(ISNUMBER('נתונים והנחות'!$J$45),-'נתונים והנחות'!$J$45,0)</f>
        <v/>
      </c>
      <c r="L205" s="50">
        <f>IF(ISNUMBER('נתונים והנחות'!$J$45),-'נתונים והנחות'!$J$45,0)</f>
        <v/>
      </c>
      <c r="M205" s="50">
        <f>IF(ISNUMBER('נתונים והנחות'!$J$45),-'נתונים והנחות'!$J$45,0)</f>
        <v/>
      </c>
      <c r="N205" s="50">
        <f>IF(ISNUMBER('נתונים והנחות'!$J$45),-'נתונים והנחות'!$J$45,0)</f>
        <v/>
      </c>
      <c r="O205" s="50">
        <f>IF(ISNUMBER('נתונים והנחות'!$J$45),-'נתונים והנחות'!$J$45,0)</f>
        <v/>
      </c>
      <c r="P205" s="50">
        <f>IF(ISNUMBER('נתונים והנחות'!$J$45),-'נתונים והנחות'!$J$45,0)</f>
        <v/>
      </c>
      <c r="Q205" s="50">
        <f>IF(ISNUMBER('נתונים והנחות'!$J$45),-'נתונים והנחות'!$J$45,0)</f>
        <v/>
      </c>
      <c r="R205" s="50">
        <f>IF(ISNUMBER('נתונים והנחות'!$J$45),-'נתונים והנחות'!$J$45,0)</f>
        <v/>
      </c>
      <c r="S205" s="50">
        <f>0</f>
        <v/>
      </c>
      <c r="T205" s="50">
        <f>0</f>
        <v/>
      </c>
      <c r="U205" s="50">
        <f>0</f>
        <v/>
      </c>
      <c r="V205" s="50">
        <f>0</f>
        <v/>
      </c>
      <c r="W205" s="50">
        <f>0</f>
        <v/>
      </c>
      <c r="X205" s="50">
        <f>0</f>
        <v/>
      </c>
      <c r="Y205" s="50">
        <f>0</f>
        <v/>
      </c>
      <c r="Z205" s="50">
        <f>0</f>
        <v/>
      </c>
    </row>
    <row r="206">
      <c r="B206" s="6" t="inlineStr">
        <is>
          <t>תזרים נקי — A</t>
        </is>
      </c>
      <c r="C206" s="10" t="inlineStr">
        <is>
          <t>₪</t>
        </is>
      </c>
      <c r="D206" s="10" t="inlineStr">
        <is>
          <t>חישוב</t>
        </is>
      </c>
      <c r="F206" s="50">
        <f>F203</f>
        <v/>
      </c>
      <c r="G206" s="50">
        <f>G204+G205+G194</f>
        <v/>
      </c>
      <c r="H206" s="50">
        <f>H204+H205+H194</f>
        <v/>
      </c>
      <c r="I206" s="50">
        <f>I204+I205+I194</f>
        <v/>
      </c>
      <c r="J206" s="50">
        <f>J204+J205+J194</f>
        <v/>
      </c>
      <c r="K206" s="50">
        <f>K204+K205+K194</f>
        <v/>
      </c>
      <c r="L206" s="50">
        <f>L204+L205+L194</f>
        <v/>
      </c>
      <c r="M206" s="50">
        <f>M204+M205+M194</f>
        <v/>
      </c>
      <c r="N206" s="50">
        <f>N204+N205+N194</f>
        <v/>
      </c>
      <c r="O206" s="50">
        <f>O204+O205+O194</f>
        <v/>
      </c>
      <c r="P206" s="50">
        <f>P204+P205+P194</f>
        <v/>
      </c>
      <c r="Q206" s="50">
        <f>Q204+Q205+Q194</f>
        <v/>
      </c>
      <c r="R206" s="50">
        <f>R204+R205+R194</f>
        <v/>
      </c>
      <c r="S206" s="50">
        <f>S204+S205+S194</f>
        <v/>
      </c>
      <c r="T206" s="50">
        <f>T204+T205+T194</f>
        <v/>
      </c>
      <c r="U206" s="50">
        <f>U204+U205+U194</f>
        <v/>
      </c>
      <c r="V206" s="50">
        <f>V204+V205+V194</f>
        <v/>
      </c>
      <c r="W206" s="50">
        <f>W204+W205+W194</f>
        <v/>
      </c>
      <c r="X206" s="50">
        <f>X204+X205+X194</f>
        <v/>
      </c>
      <c r="Y206" s="50">
        <f>Y204+Y205+Y194</f>
        <v/>
      </c>
      <c r="Z206" s="50">
        <f>Z204+Z205+Z194</f>
        <v/>
      </c>
    </row>
    <row r="207">
      <c r="B207" s="6" t="inlineStr">
        <is>
          <t>תזרים מהוון — A</t>
        </is>
      </c>
      <c r="C207" s="10" t="inlineStr">
        <is>
          <t>₪</t>
        </is>
      </c>
      <c r="D207" s="10" t="inlineStr">
        <is>
          <t>חישוב</t>
        </is>
      </c>
      <c r="F207" s="50">
        <f>F206</f>
        <v/>
      </c>
      <c r="G207" s="50">
        <f>G206/(1+'נתונים והנחות'!$F$11)^1</f>
        <v/>
      </c>
      <c r="H207" s="50">
        <f>H206/(1+'נתונים והנחות'!$F$11)^2</f>
        <v/>
      </c>
      <c r="I207" s="50">
        <f>I206/(1+'נתונים והנחות'!$F$11)^3</f>
        <v/>
      </c>
      <c r="J207" s="50">
        <f>J206/(1+'נתונים והנחות'!$F$11)^4</f>
        <v/>
      </c>
      <c r="K207" s="50">
        <f>K206/(1+'נתונים והנחות'!$F$11)^5</f>
        <v/>
      </c>
      <c r="L207" s="50">
        <f>L206/(1+'נתונים והנחות'!$F$11)^6</f>
        <v/>
      </c>
      <c r="M207" s="50">
        <f>M206/(1+'נתונים והנחות'!$F$11)^7</f>
        <v/>
      </c>
      <c r="N207" s="50">
        <f>N206/(1+'נתונים והנחות'!$F$11)^8</f>
        <v/>
      </c>
      <c r="O207" s="50">
        <f>O206/(1+'נתונים והנחות'!$F$11)^9</f>
        <v/>
      </c>
      <c r="P207" s="50">
        <f>P206/(1+'נתונים והנחות'!$F$11)^10</f>
        <v/>
      </c>
      <c r="Q207" s="50">
        <f>Q206/(1+'נתונים והנחות'!$F$11)^11</f>
        <v/>
      </c>
      <c r="R207" s="50">
        <f>R206/(1+'נתונים והנחות'!$F$11)^12</f>
        <v/>
      </c>
      <c r="S207" s="50">
        <f>S206/(1+'נתונים והנחות'!$F$11)^13</f>
        <v/>
      </c>
      <c r="T207" s="50">
        <f>T206/(1+'נתונים והנחות'!$F$11)^14</f>
        <v/>
      </c>
      <c r="U207" s="50">
        <f>U206/(1+'נתונים והנחות'!$F$11)^15</f>
        <v/>
      </c>
      <c r="V207" s="50">
        <f>V206/(1+'נתונים והנחות'!$F$11)^16</f>
        <v/>
      </c>
      <c r="W207" s="50">
        <f>W206/(1+'נתונים והנחות'!$F$11)^17</f>
        <v/>
      </c>
      <c r="X207" s="50">
        <f>X206/(1+'נתונים והנחות'!$F$11)^18</f>
        <v/>
      </c>
      <c r="Y207" s="50">
        <f>Y206/(1+'נתונים והנחות'!$F$11)^19</f>
        <v/>
      </c>
      <c r="Z207" s="50">
        <f>Z206/(1+'נתונים והנחות'!$F$11)^20</f>
        <v/>
      </c>
    </row>
    <row r="209">
      <c r="B209" s="54" t="inlineStr">
        <is>
          <t>תרחיש B — רכישת מדחסי VSD — 45 kW | פחת סטנדרטי (ללא תמריץ)</t>
        </is>
      </c>
    </row>
    <row r="210">
      <c r="B210" s="7" t="inlineStr">
        <is>
          <t>השקעה ראשונית</t>
        </is>
      </c>
      <c r="C210" s="10" t="inlineStr">
        <is>
          <t>₪</t>
        </is>
      </c>
      <c r="D210" s="10" t="inlineStr">
        <is>
          <t>חישוב</t>
        </is>
      </c>
      <c r="F210" s="51">
        <f>IF(ISNUMBER('נתונים והנחות'!$J$40),-'נתונים והנחות'!$J$40,"PENDING")</f>
        <v/>
      </c>
    </row>
    <row r="211">
      <c r="B211" s="7" t="inlineStr">
        <is>
          <t>OPEX אנרגיה (עם שחיקה)</t>
        </is>
      </c>
      <c r="C211" s="10" t="inlineStr">
        <is>
          <t>₪</t>
        </is>
      </c>
      <c r="D211" s="10" t="inlineStr">
        <is>
          <t>חישוב</t>
        </is>
      </c>
      <c r="F211" s="51" t="n">
        <v>0</v>
      </c>
      <c r="G211" s="51">
        <f>IF(ISNUMBER('נתונים והנחות'!$J$48),-'נתונים והנחות'!$J$48*(1-0.005)^0,0)</f>
        <v/>
      </c>
      <c r="H211" s="51">
        <f>IF(ISNUMBER('נתונים והנחות'!$J$48),-'נתונים והנחות'!$J$48*(1-0.005)^1,0)</f>
        <v/>
      </c>
      <c r="I211" s="51">
        <f>IF(ISNUMBER('נתונים והנחות'!$J$48),-'נתונים והנחות'!$J$48*(1-0.005)^2,0)</f>
        <v/>
      </c>
      <c r="J211" s="51">
        <f>IF(ISNUMBER('נתונים והנחות'!$J$48),-'נתונים והנחות'!$J$48*(1-0.005)^3,0)</f>
        <v/>
      </c>
      <c r="K211" s="51">
        <f>IF(ISNUMBER('נתונים והנחות'!$J$48),-'נתונים והנחות'!$J$48*(1-0.005)^4,0)</f>
        <v/>
      </c>
      <c r="L211" s="51">
        <f>IF(ISNUMBER('נתונים והנחות'!$J$48),-'נתונים והנחות'!$J$48*(1-0.005)^5,0)</f>
        <v/>
      </c>
      <c r="M211" s="51">
        <f>IF(ISNUMBER('נתונים והנחות'!$J$48),-'נתונים והנחות'!$J$48*(1-0.005)^6,0)</f>
        <v/>
      </c>
      <c r="N211" s="51">
        <f>IF(ISNUMBER('נתונים והנחות'!$J$48),-'נתונים והנחות'!$J$48*(1-0.005)^7,0)</f>
        <v/>
      </c>
      <c r="O211" s="51">
        <f>IF(ISNUMBER('נתונים והנחות'!$J$48),-'נתונים והנחות'!$J$48*(1-0.005)^8,0)</f>
        <v/>
      </c>
      <c r="P211" s="51">
        <f>IF(ISNUMBER('נתונים והנחות'!$J$48),-'נתונים והנחות'!$J$48*(1-0.005)^9,0)</f>
        <v/>
      </c>
      <c r="Q211" s="51">
        <f>IF(ISNUMBER('נתונים והנחות'!$J$48),-'נתונים והנחות'!$J$48*(1-0.005)^10,0)</f>
        <v/>
      </c>
      <c r="R211" s="51">
        <f>IF(ISNUMBER('נתונים והנחות'!$J$48),-'נתונים והנחות'!$J$48*(1-0.005)^11,0)</f>
        <v/>
      </c>
      <c r="S211" s="51">
        <f>0</f>
        <v/>
      </c>
      <c r="T211" s="51">
        <f>0</f>
        <v/>
      </c>
      <c r="U211" s="51">
        <f>0</f>
        <v/>
      </c>
      <c r="V211" s="51">
        <f>0</f>
        <v/>
      </c>
      <c r="W211" s="51">
        <f>0</f>
        <v/>
      </c>
      <c r="X211" s="51">
        <f>0</f>
        <v/>
      </c>
      <c r="Y211" s="51">
        <f>0</f>
        <v/>
      </c>
      <c r="Z211" s="51">
        <f>0</f>
        <v/>
      </c>
    </row>
    <row r="212">
      <c r="B212" s="7" t="inlineStr">
        <is>
          <t>OPEX אחר</t>
        </is>
      </c>
      <c r="C212" s="10" t="inlineStr">
        <is>
          <t>₪</t>
        </is>
      </c>
      <c r="D212" s="10" t="inlineStr">
        <is>
          <t>חישוב</t>
        </is>
      </c>
      <c r="F212" s="51" t="n">
        <v>0</v>
      </c>
      <c r="G212" s="51">
        <f>IF(ISNUMBER('נתונים והנחות'!$J$46),-'נתונים והנחות'!$J$46,0)</f>
        <v/>
      </c>
      <c r="H212" s="51">
        <f>IF(ISNUMBER('נתונים והנחות'!$J$46),-'נתונים והנחות'!$J$46,0)</f>
        <v/>
      </c>
      <c r="I212" s="51">
        <f>IF(ISNUMBER('נתונים והנחות'!$J$46),-'נתונים והנחות'!$J$46,0)</f>
        <v/>
      </c>
      <c r="J212" s="51">
        <f>IF(ISNUMBER('נתונים והנחות'!$J$46),-'נתונים והנחות'!$J$46,0)</f>
        <v/>
      </c>
      <c r="K212" s="51">
        <f>IF(ISNUMBER('נתונים והנחות'!$J$46),-'נתונים והנחות'!$J$46,0)</f>
        <v/>
      </c>
      <c r="L212" s="51">
        <f>IF(ISNUMBER('נתונים והנחות'!$J$46),-'נתונים והנחות'!$J$46,0)</f>
        <v/>
      </c>
      <c r="M212" s="51">
        <f>IF(ISNUMBER('נתונים והנחות'!$J$46),-'נתונים והנחות'!$J$46,0)</f>
        <v/>
      </c>
      <c r="N212" s="51">
        <f>IF(ISNUMBER('נתונים והנחות'!$J$46),-'נתונים והנחות'!$J$46,0)</f>
        <v/>
      </c>
      <c r="O212" s="51">
        <f>IF(ISNUMBER('נתונים והנחות'!$J$46),-'נתונים והנחות'!$J$46,0)</f>
        <v/>
      </c>
      <c r="P212" s="51">
        <f>IF(ISNUMBER('נתונים והנחות'!$J$46),-'נתונים והנחות'!$J$46,0)</f>
        <v/>
      </c>
      <c r="Q212" s="51">
        <f>IF(ISNUMBER('נתונים והנחות'!$J$46),-'נתונים והנחות'!$J$46,0)</f>
        <v/>
      </c>
      <c r="R212" s="51">
        <f>IF(ISNUMBER('נתונים והנחות'!$J$46),-'נתונים והנחות'!$J$46,0)</f>
        <v/>
      </c>
      <c r="S212" s="51">
        <f>0</f>
        <v/>
      </c>
      <c r="T212" s="51">
        <f>0</f>
        <v/>
      </c>
      <c r="U212" s="51">
        <f>0</f>
        <v/>
      </c>
      <c r="V212" s="51">
        <f>0</f>
        <v/>
      </c>
      <c r="W212" s="51">
        <f>0</f>
        <v/>
      </c>
      <c r="X212" s="51">
        <f>0</f>
        <v/>
      </c>
      <c r="Y212" s="51">
        <f>0</f>
        <v/>
      </c>
      <c r="Z212" s="51">
        <f>0</f>
        <v/>
      </c>
    </row>
    <row r="213">
      <c r="B213" s="7" t="inlineStr">
        <is>
          <t>תזרים נקי — B</t>
        </is>
      </c>
      <c r="C213" s="10" t="inlineStr">
        <is>
          <t>₪</t>
        </is>
      </c>
      <c r="D213" s="10" t="inlineStr">
        <is>
          <t>חישוב</t>
        </is>
      </c>
      <c r="F213" s="51">
        <f>F210</f>
        <v/>
      </c>
      <c r="G213" s="51">
        <f>G211+G212+G196</f>
        <v/>
      </c>
      <c r="H213" s="51">
        <f>H211+H212+H196</f>
        <v/>
      </c>
      <c r="I213" s="51">
        <f>I211+I212+I196</f>
        <v/>
      </c>
      <c r="J213" s="51">
        <f>J211+J212+J196</f>
        <v/>
      </c>
      <c r="K213" s="51">
        <f>K211+K212+K196</f>
        <v/>
      </c>
      <c r="L213" s="51">
        <f>L211+L212+L196</f>
        <v/>
      </c>
      <c r="M213" s="51">
        <f>M211+M212+M196</f>
        <v/>
      </c>
      <c r="N213" s="51">
        <f>N211+N212+N196</f>
        <v/>
      </c>
      <c r="O213" s="51">
        <f>O211+O212+O196</f>
        <v/>
      </c>
      <c r="P213" s="51">
        <f>P211+P212+P196</f>
        <v/>
      </c>
      <c r="Q213" s="51">
        <f>Q211+Q212+Q196</f>
        <v/>
      </c>
      <c r="R213" s="51">
        <f>R211+R212+R196</f>
        <v/>
      </c>
      <c r="S213" s="51">
        <f>S211+S212+S196</f>
        <v/>
      </c>
      <c r="T213" s="51">
        <f>T211+T212+T196</f>
        <v/>
      </c>
      <c r="U213" s="51">
        <f>U211+U212+U196</f>
        <v/>
      </c>
      <c r="V213" s="51">
        <f>V211+V212+V196</f>
        <v/>
      </c>
      <c r="W213" s="51">
        <f>W211+W212+W196</f>
        <v/>
      </c>
      <c r="X213" s="51">
        <f>X211+X212+X196</f>
        <v/>
      </c>
      <c r="Y213" s="51">
        <f>Y211+Y212+Y196</f>
        <v/>
      </c>
      <c r="Z213" s="51">
        <f>Z211+Z212+Z196</f>
        <v/>
      </c>
    </row>
    <row r="214">
      <c r="B214" s="7" t="inlineStr">
        <is>
          <t>תזרים מהוון — B</t>
        </is>
      </c>
      <c r="C214" s="10" t="inlineStr">
        <is>
          <t>₪</t>
        </is>
      </c>
      <c r="D214" s="10" t="inlineStr">
        <is>
          <t>חישוב</t>
        </is>
      </c>
      <c r="F214" s="51">
        <f>F213</f>
        <v/>
      </c>
      <c r="G214" s="51">
        <f>G213/(1+'נתונים והנחות'!$F$11)^1</f>
        <v/>
      </c>
      <c r="H214" s="51">
        <f>H213/(1+'נתונים והנחות'!$F$11)^2</f>
        <v/>
      </c>
      <c r="I214" s="51">
        <f>I213/(1+'נתונים והנחות'!$F$11)^3</f>
        <v/>
      </c>
      <c r="J214" s="51">
        <f>J213/(1+'נתונים והנחות'!$F$11)^4</f>
        <v/>
      </c>
      <c r="K214" s="51">
        <f>K213/(1+'נתונים והנחות'!$F$11)^5</f>
        <v/>
      </c>
      <c r="L214" s="51">
        <f>L213/(1+'נתונים והנחות'!$F$11)^6</f>
        <v/>
      </c>
      <c r="M214" s="51">
        <f>M213/(1+'נתונים והנחות'!$F$11)^7</f>
        <v/>
      </c>
      <c r="N214" s="51">
        <f>N213/(1+'נתונים והנחות'!$F$11)^8</f>
        <v/>
      </c>
      <c r="O214" s="51">
        <f>O213/(1+'נתונים והנחות'!$F$11)^9</f>
        <v/>
      </c>
      <c r="P214" s="51">
        <f>P213/(1+'נתונים והנחות'!$F$11)^10</f>
        <v/>
      </c>
      <c r="Q214" s="51">
        <f>Q213/(1+'נתונים והנחות'!$F$11)^11</f>
        <v/>
      </c>
      <c r="R214" s="51">
        <f>R213/(1+'נתונים והנחות'!$F$11)^12</f>
        <v/>
      </c>
      <c r="S214" s="51">
        <f>S213/(1+'נתונים והנחות'!$F$11)^13</f>
        <v/>
      </c>
      <c r="T214" s="51">
        <f>T213/(1+'נתונים והנחות'!$F$11)^14</f>
        <v/>
      </c>
      <c r="U214" s="51">
        <f>U213/(1+'נתונים והנחות'!$F$11)^15</f>
        <v/>
      </c>
      <c r="V214" s="51">
        <f>V213/(1+'נתונים והנחות'!$F$11)^16</f>
        <v/>
      </c>
      <c r="W214" s="51">
        <f>W213/(1+'נתונים והנחות'!$F$11)^17</f>
        <v/>
      </c>
      <c r="X214" s="51">
        <f>X213/(1+'נתונים והנחות'!$F$11)^18</f>
        <v/>
      </c>
      <c r="Y214" s="51">
        <f>Y213/(1+'נתונים והנחות'!$F$11)^19</f>
        <v/>
      </c>
      <c r="Z214" s="51">
        <f>Z213/(1+'נתונים והנחות'!$F$11)^20</f>
        <v/>
      </c>
    </row>
    <row r="216">
      <c r="B216" s="55" t="inlineStr">
        <is>
          <t>תרחיש C — רכישת מדחסי VSD — 45 kW | פחת מואץ (עם תמריץ)</t>
        </is>
      </c>
    </row>
    <row r="217">
      <c r="B217" s="48" t="inlineStr">
        <is>
          <t>* OPEX זהה ל-B — ההבדל הוא מגן המס המואץ בלבד</t>
        </is>
      </c>
    </row>
    <row r="218">
      <c r="B218" s="8" t="inlineStr">
        <is>
          <t>תזרים נקי — C</t>
        </is>
      </c>
      <c r="C218" s="10" t="inlineStr">
        <is>
          <t>₪</t>
        </is>
      </c>
      <c r="D218" s="10" t="inlineStr">
        <is>
          <t>חישוב</t>
        </is>
      </c>
      <c r="F218" s="52">
        <f>F210</f>
        <v/>
      </c>
      <c r="G218" s="52">
        <f>G211+G212+G198</f>
        <v/>
      </c>
      <c r="H218" s="52">
        <f>H211+H212+H198</f>
        <v/>
      </c>
      <c r="I218" s="52">
        <f>I211+I212+I198</f>
        <v/>
      </c>
      <c r="J218" s="52">
        <f>J211+J212+J198</f>
        <v/>
      </c>
      <c r="K218" s="52">
        <f>K211+K212+K198</f>
        <v/>
      </c>
      <c r="L218" s="52">
        <f>L211+L212+L198</f>
        <v/>
      </c>
      <c r="M218" s="52">
        <f>M211+M212+M198</f>
        <v/>
      </c>
      <c r="N218" s="52">
        <f>N211+N212+N198</f>
        <v/>
      </c>
      <c r="O218" s="52">
        <f>O211+O212+O198</f>
        <v/>
      </c>
      <c r="P218" s="52">
        <f>P211+P212+P198</f>
        <v/>
      </c>
      <c r="Q218" s="52">
        <f>Q211+Q212+Q198</f>
        <v/>
      </c>
      <c r="R218" s="52">
        <f>R211+R212+R198</f>
        <v/>
      </c>
      <c r="S218" s="52">
        <f>S211+S212+S198</f>
        <v/>
      </c>
      <c r="T218" s="52">
        <f>T211+T212+T198</f>
        <v/>
      </c>
      <c r="U218" s="52">
        <f>U211+U212+U198</f>
        <v/>
      </c>
      <c r="V218" s="52">
        <f>V211+V212+V198</f>
        <v/>
      </c>
      <c r="W218" s="52">
        <f>W211+W212+W198</f>
        <v/>
      </c>
      <c r="X218" s="52">
        <f>X211+X212+X198</f>
        <v/>
      </c>
      <c r="Y218" s="52">
        <f>Y211+Y212+Y198</f>
        <v/>
      </c>
      <c r="Z218" s="52">
        <f>Z211+Z212+Z198</f>
        <v/>
      </c>
    </row>
    <row r="219">
      <c r="B219" s="8" t="inlineStr">
        <is>
          <t>תזרים מהוון — C</t>
        </is>
      </c>
      <c r="C219" s="10" t="inlineStr">
        <is>
          <t>₪</t>
        </is>
      </c>
      <c r="D219" s="10" t="inlineStr">
        <is>
          <t>חישוב</t>
        </is>
      </c>
      <c r="F219" s="52">
        <f>F218</f>
        <v/>
      </c>
      <c r="G219" s="52">
        <f>G218/(1+'נתונים והנחות'!$F$11)^1</f>
        <v/>
      </c>
      <c r="H219" s="52">
        <f>H218/(1+'נתונים והנחות'!$F$11)^2</f>
        <v/>
      </c>
      <c r="I219" s="52">
        <f>I218/(1+'נתונים והנחות'!$F$11)^3</f>
        <v/>
      </c>
      <c r="J219" s="52">
        <f>J218/(1+'נתונים והנחות'!$F$11)^4</f>
        <v/>
      </c>
      <c r="K219" s="52">
        <f>K218/(1+'נתונים והנחות'!$F$11)^5</f>
        <v/>
      </c>
      <c r="L219" s="52">
        <f>L218/(1+'נתונים והנחות'!$F$11)^6</f>
        <v/>
      </c>
      <c r="M219" s="52">
        <f>M218/(1+'נתונים והנחות'!$F$11)^7</f>
        <v/>
      </c>
      <c r="N219" s="52">
        <f>N218/(1+'נתונים והנחות'!$F$11)^8</f>
        <v/>
      </c>
      <c r="O219" s="52">
        <f>O218/(1+'נתונים והנחות'!$F$11)^9</f>
        <v/>
      </c>
      <c r="P219" s="52">
        <f>P218/(1+'נתונים והנחות'!$F$11)^10</f>
        <v/>
      </c>
      <c r="Q219" s="52">
        <f>Q218/(1+'נתונים והנחות'!$F$11)^11</f>
        <v/>
      </c>
      <c r="R219" s="52">
        <f>R218/(1+'נתונים והנחות'!$F$11)^12</f>
        <v/>
      </c>
      <c r="S219" s="52">
        <f>S218/(1+'נתונים והנחות'!$F$11)^13</f>
        <v/>
      </c>
      <c r="T219" s="52">
        <f>T218/(1+'נתונים והנחות'!$F$11)^14</f>
        <v/>
      </c>
      <c r="U219" s="52">
        <f>U218/(1+'נתונים והנחות'!$F$11)^15</f>
        <v/>
      </c>
      <c r="V219" s="52">
        <f>V218/(1+'נתונים והנחות'!$F$11)^16</f>
        <v/>
      </c>
      <c r="W219" s="52">
        <f>W218/(1+'נתונים והנחות'!$F$11)^17</f>
        <v/>
      </c>
      <c r="X219" s="52">
        <f>X218/(1+'נתונים והנחות'!$F$11)^18</f>
        <v/>
      </c>
      <c r="Y219" s="52">
        <f>Y218/(1+'נתונים והנחות'!$F$11)^19</f>
        <v/>
      </c>
      <c r="Z219" s="52">
        <f>Z218/(1+'נתונים והנחות'!$F$11)^20</f>
        <v/>
      </c>
    </row>
    <row r="221">
      <c r="B221" s="49" t="inlineStr">
        <is>
          <t>ד. תוצאות — NPV</t>
        </is>
      </c>
    </row>
    <row r="222">
      <c r="B222" s="56" t="inlineStr">
        <is>
          <t>NPV — תרחיש A (מדחס מהירות קבועה — 45 kW)</t>
        </is>
      </c>
      <c r="C222" s="10" t="inlineStr">
        <is>
          <t>ש"ח</t>
        </is>
      </c>
      <c r="F222" s="50">
        <f>SUM(F207:Z207)</f>
        <v/>
      </c>
    </row>
    <row r="223">
      <c r="B223" s="57" t="inlineStr">
        <is>
          <t>NPV — תרחיש B (מדחסי VSD — 45 kW, ללא תמריץ)</t>
        </is>
      </c>
      <c r="C223" s="10" t="inlineStr">
        <is>
          <t>ש"ח</t>
        </is>
      </c>
      <c r="F223" s="51">
        <f>SUM(F214:Z214)</f>
        <v/>
      </c>
    </row>
    <row r="224">
      <c r="B224" s="58" t="inlineStr">
        <is>
          <t>NPV — תרחיש C (מדחסי VSD — 45 kW, עם תמריץ)</t>
        </is>
      </c>
      <c r="C224" s="10" t="inlineStr">
        <is>
          <t>ש"ח</t>
        </is>
      </c>
      <c r="F224" s="52">
        <f>SUM(F219:Z219)</f>
        <v/>
      </c>
    </row>
    <row r="226">
      <c r="B226" s="59" t="inlineStr">
        <is>
          <t>NPV מצטבר — הצדקת השדרוג (B−A)</t>
        </is>
      </c>
      <c r="C226" s="10" t="inlineStr">
        <is>
          <t>ש"ח</t>
        </is>
      </c>
      <c r="F226" s="60">
        <f>F223-F222</f>
        <v/>
      </c>
    </row>
    <row r="227">
      <c r="B227" s="61" t="inlineStr">
        <is>
          <t>ערך התמריץ — תועלת הפחת המואץ (C−B)</t>
        </is>
      </c>
      <c r="C227" s="10" t="inlineStr">
        <is>
          <t>ש"ח</t>
        </is>
      </c>
      <c r="F227" s="62">
        <f>F224-F223</f>
        <v/>
      </c>
    </row>
    <row r="231">
      <c r="B231" s="47" t="inlineStr">
        <is>
          <t>3.3ב  מדחסי VSD — 150 kW</t>
        </is>
      </c>
    </row>
    <row r="232">
      <c r="B232" s="48" t="inlineStr">
        <is>
          <t>* מול מדחס מהירות קבועה — 150 kW | נתונים: גיליון 'נתונים והנחות' סעיף 4</t>
        </is>
      </c>
    </row>
    <row r="233">
      <c r="B233" s="49" t="inlineStr">
        <is>
          <t>ב. לוחות פחת (ציוד בסיסי vs. יעיל)</t>
        </is>
      </c>
    </row>
    <row r="234">
      <c r="B234" s="23" t="inlineStr">
        <is>
          <t>פרמטר</t>
        </is>
      </c>
      <c r="C234" s="23" t="inlineStr">
        <is>
          <t>יחידות</t>
        </is>
      </c>
      <c r="D234" s="23" t="inlineStr">
        <is>
          <t>מקור</t>
        </is>
      </c>
      <c r="E234" s="23" t="inlineStr">
        <is>
          <t>הערות</t>
        </is>
      </c>
      <c r="F234" s="23" t="inlineStr">
        <is>
          <t>שנה 0 (השקעה)</t>
        </is>
      </c>
      <c r="G234" s="23" t="inlineStr">
        <is>
          <t>שנה 1</t>
        </is>
      </c>
      <c r="H234" s="23" t="inlineStr">
        <is>
          <t>שנה 2</t>
        </is>
      </c>
      <c r="I234" s="23" t="inlineStr">
        <is>
          <t>שנה 3</t>
        </is>
      </c>
      <c r="J234" s="23" t="inlineStr">
        <is>
          <t>שנה 4</t>
        </is>
      </c>
      <c r="K234" s="23" t="inlineStr">
        <is>
          <t>שנה 5</t>
        </is>
      </c>
      <c r="L234" s="23" t="inlineStr">
        <is>
          <t>שנה 6</t>
        </is>
      </c>
      <c r="M234" s="23" t="inlineStr">
        <is>
          <t>שנה 7</t>
        </is>
      </c>
      <c r="N234" s="23" t="inlineStr">
        <is>
          <t>שנה 8</t>
        </is>
      </c>
      <c r="O234" s="23" t="inlineStr">
        <is>
          <t>שנה 9</t>
        </is>
      </c>
      <c r="P234" s="23" t="inlineStr">
        <is>
          <t>שנה 10</t>
        </is>
      </c>
      <c r="Q234" s="23" t="inlineStr">
        <is>
          <t>שנה 11</t>
        </is>
      </c>
      <c r="R234" s="23" t="inlineStr">
        <is>
          <t>שנה 12</t>
        </is>
      </c>
      <c r="S234" s="23" t="inlineStr">
        <is>
          <t>שנה 13</t>
        </is>
      </c>
      <c r="T234" s="23" t="inlineStr">
        <is>
          <t>שנה 14</t>
        </is>
      </c>
      <c r="U234" s="23" t="inlineStr">
        <is>
          <t>שנה 15</t>
        </is>
      </c>
      <c r="V234" s="23" t="inlineStr">
        <is>
          <t>שנה 16</t>
        </is>
      </c>
      <c r="W234" s="23" t="inlineStr">
        <is>
          <t>שנה 17</t>
        </is>
      </c>
      <c r="X234" s="23" t="inlineStr">
        <is>
          <t>שנה 18</t>
        </is>
      </c>
      <c r="Y234" s="23" t="inlineStr">
        <is>
          <t>שנה 19</t>
        </is>
      </c>
      <c r="Z234" s="23" t="inlineStr">
        <is>
          <t>שנה 20</t>
        </is>
      </c>
    </row>
    <row r="235">
      <c r="B235" s="6" t="inlineStr">
        <is>
          <t>פחת סטנדרטי — מדחס מהירות קבועה — 150 kW</t>
        </is>
      </c>
      <c r="C235" s="10" t="inlineStr">
        <is>
          <t>₪</t>
        </is>
      </c>
      <c r="D235" s="10" t="inlineStr">
        <is>
          <t>חישוב</t>
        </is>
      </c>
      <c r="F235" s="50" t="n">
        <v>0</v>
      </c>
      <c r="G235" s="50">
        <f>IF(ISNUMBER('נתונים והנחות'!$K$39),'נתונים והנחות'!$K$39*0.1,0)</f>
        <v/>
      </c>
      <c r="H235" s="50">
        <f>IF(ISNUMBER('נתונים והנחות'!$K$39),'נתונים והנחות'!$K$39*0.1,0)</f>
        <v/>
      </c>
      <c r="I235" s="50">
        <f>IF(ISNUMBER('נתונים והנחות'!$K$39),'נתונים והנחות'!$K$39*0.1,0)</f>
        <v/>
      </c>
      <c r="J235" s="50">
        <f>IF(ISNUMBER('נתונים והנחות'!$K$39),'נתונים והנחות'!$K$39*0.1,0)</f>
        <v/>
      </c>
      <c r="K235" s="50">
        <f>IF(ISNUMBER('נתונים והנחות'!$K$39),'נתונים והנחות'!$K$39*0.1,0)</f>
        <v/>
      </c>
      <c r="L235" s="50">
        <f>IF(ISNUMBER('נתונים והנחות'!$K$39),'נתונים והנחות'!$K$39*0.1,0)</f>
        <v/>
      </c>
      <c r="M235" s="50">
        <f>IF(ISNUMBER('נתונים והנחות'!$K$39),'נתונים והנחות'!$K$39*0.1,0)</f>
        <v/>
      </c>
      <c r="N235" s="50">
        <f>IF(ISNUMBER('נתונים והנחות'!$K$39),'נתונים והנחות'!$K$39*0.1,0)</f>
        <v/>
      </c>
      <c r="O235" s="50">
        <f>IF(ISNUMBER('נתונים והנחות'!$K$39),'נתונים והנחות'!$K$39*0.1,0)</f>
        <v/>
      </c>
      <c r="P235" s="50">
        <f>IF(ISNUMBER('נתונים והנחות'!$K$39),'נתונים והנחות'!$K$39*0.1,0)</f>
        <v/>
      </c>
      <c r="Q235" s="50">
        <f>0</f>
        <v/>
      </c>
      <c r="R235" s="50">
        <f>0</f>
        <v/>
      </c>
      <c r="S235" s="50">
        <f>0</f>
        <v/>
      </c>
      <c r="T235" s="50">
        <f>0</f>
        <v/>
      </c>
      <c r="U235" s="50">
        <f>0</f>
        <v/>
      </c>
      <c r="V235" s="50">
        <f>0</f>
        <v/>
      </c>
      <c r="W235" s="50">
        <f>0</f>
        <v/>
      </c>
      <c r="X235" s="50">
        <f>0</f>
        <v/>
      </c>
      <c r="Y235" s="50">
        <f>0</f>
        <v/>
      </c>
      <c r="Z235" s="50">
        <f>0</f>
        <v/>
      </c>
    </row>
    <row r="236">
      <c r="B236" s="6" t="inlineStr">
        <is>
          <t>מגן מס — מדחס מהירות קבועה — 150 kW</t>
        </is>
      </c>
      <c r="C236" s="10" t="inlineStr">
        <is>
          <t>₪</t>
        </is>
      </c>
      <c r="D236" s="10" t="inlineStr">
        <is>
          <t>חישוב</t>
        </is>
      </c>
      <c r="F236" s="50" t="n">
        <v>0</v>
      </c>
      <c r="G236" s="50">
        <f>G235*'נתונים והנחות'!$F$10</f>
        <v/>
      </c>
      <c r="H236" s="50">
        <f>H235*'נתונים והנחות'!$F$10</f>
        <v/>
      </c>
      <c r="I236" s="50">
        <f>I235*'נתונים והנחות'!$F$10</f>
        <v/>
      </c>
      <c r="J236" s="50">
        <f>J235*'נתונים והנחות'!$F$10</f>
        <v/>
      </c>
      <c r="K236" s="50">
        <f>K235*'נתונים והנחות'!$F$10</f>
        <v/>
      </c>
      <c r="L236" s="50">
        <f>L235*'נתונים והנחות'!$F$10</f>
        <v/>
      </c>
      <c r="M236" s="50">
        <f>M235*'נתונים והנחות'!$F$10</f>
        <v/>
      </c>
      <c r="N236" s="50">
        <f>N235*'נתונים והנחות'!$F$10</f>
        <v/>
      </c>
      <c r="O236" s="50">
        <f>O235*'נתונים והנחות'!$F$10</f>
        <v/>
      </c>
      <c r="P236" s="50">
        <f>P235*'נתונים והנחות'!$F$10</f>
        <v/>
      </c>
      <c r="Q236" s="50">
        <f>Q235*'נתונים והנחות'!$F$10</f>
        <v/>
      </c>
      <c r="R236" s="50">
        <f>R235*'נתונים והנחות'!$F$10</f>
        <v/>
      </c>
      <c r="S236" s="50">
        <f>S235*'נתונים והנחות'!$F$10</f>
        <v/>
      </c>
      <c r="T236" s="50">
        <f>T235*'נתונים והנחות'!$F$10</f>
        <v/>
      </c>
      <c r="U236" s="50">
        <f>U235*'נתונים והנחות'!$F$10</f>
        <v/>
      </c>
      <c r="V236" s="50">
        <f>V235*'נתונים והנחות'!$F$10</f>
        <v/>
      </c>
      <c r="W236" s="50">
        <f>W235*'נתונים והנחות'!$F$10</f>
        <v/>
      </c>
      <c r="X236" s="50">
        <f>X235*'נתונים והנחות'!$F$10</f>
        <v/>
      </c>
      <c r="Y236" s="50">
        <f>Y235*'נתונים והנחות'!$F$10</f>
        <v/>
      </c>
      <c r="Z236" s="50">
        <f>Z235*'נתונים והנחות'!$F$10</f>
        <v/>
      </c>
    </row>
    <row r="237">
      <c r="B237" s="7" t="inlineStr">
        <is>
          <t>פחת סטנדרטי — מדחסי VSD — 150 kW</t>
        </is>
      </c>
      <c r="C237" s="10" t="inlineStr">
        <is>
          <t>₪</t>
        </is>
      </c>
      <c r="D237" s="10" t="inlineStr">
        <is>
          <t>חישוב</t>
        </is>
      </c>
      <c r="F237" s="51" t="n">
        <v>0</v>
      </c>
      <c r="G237" s="51">
        <f>IF(ISNUMBER('נתונים והנחות'!$K$40),'נתונים והנחות'!$K$40*0.1,0)</f>
        <v/>
      </c>
      <c r="H237" s="51">
        <f>IF(ISNUMBER('נתונים והנחות'!$K$40),'נתונים והנחות'!$K$40*0.1,0)</f>
        <v/>
      </c>
      <c r="I237" s="51">
        <f>IF(ISNUMBER('נתונים והנחות'!$K$40),'נתונים והנחות'!$K$40*0.1,0)</f>
        <v/>
      </c>
      <c r="J237" s="51">
        <f>IF(ISNUMBER('נתונים והנחות'!$K$40),'נתונים והנחות'!$K$40*0.1,0)</f>
        <v/>
      </c>
      <c r="K237" s="51">
        <f>IF(ISNUMBER('נתונים והנחות'!$K$40),'נתונים והנחות'!$K$40*0.1,0)</f>
        <v/>
      </c>
      <c r="L237" s="51">
        <f>IF(ISNUMBER('נתונים והנחות'!$K$40),'נתונים והנחות'!$K$40*0.1,0)</f>
        <v/>
      </c>
      <c r="M237" s="51">
        <f>IF(ISNUMBER('נתונים והנחות'!$K$40),'נתונים והנחות'!$K$40*0.1,0)</f>
        <v/>
      </c>
      <c r="N237" s="51">
        <f>IF(ISNUMBER('נתונים והנחות'!$K$40),'נתונים והנחות'!$K$40*0.1,0)</f>
        <v/>
      </c>
      <c r="O237" s="51">
        <f>IF(ISNUMBER('נתונים והנחות'!$K$40),'נתונים והנחות'!$K$40*0.1,0)</f>
        <v/>
      </c>
      <c r="P237" s="51">
        <f>IF(ISNUMBER('נתונים והנחות'!$K$40),'נתונים והנחות'!$K$40*0.1,0)</f>
        <v/>
      </c>
      <c r="Q237" s="51">
        <f>0</f>
        <v/>
      </c>
      <c r="R237" s="51">
        <f>0</f>
        <v/>
      </c>
      <c r="S237" s="51">
        <f>0</f>
        <v/>
      </c>
      <c r="T237" s="51">
        <f>0</f>
        <v/>
      </c>
      <c r="U237" s="51">
        <f>0</f>
        <v/>
      </c>
      <c r="V237" s="51">
        <f>0</f>
        <v/>
      </c>
      <c r="W237" s="51">
        <f>0</f>
        <v/>
      </c>
      <c r="X237" s="51">
        <f>0</f>
        <v/>
      </c>
      <c r="Y237" s="51">
        <f>0</f>
        <v/>
      </c>
      <c r="Z237" s="51">
        <f>0</f>
        <v/>
      </c>
    </row>
    <row r="238">
      <c r="B238" s="7" t="inlineStr">
        <is>
          <t>מגן מס סטנדרטי — מדחסי VSD — 150 kW</t>
        </is>
      </c>
      <c r="C238" s="10" t="inlineStr">
        <is>
          <t>₪</t>
        </is>
      </c>
      <c r="D238" s="10" t="inlineStr">
        <is>
          <t>חישוב</t>
        </is>
      </c>
      <c r="F238" s="51" t="n">
        <v>0</v>
      </c>
      <c r="G238" s="51">
        <f>G237*'נתונים והנחות'!$F$10</f>
        <v/>
      </c>
      <c r="H238" s="51">
        <f>H237*'נתונים והנחות'!$F$10</f>
        <v/>
      </c>
      <c r="I238" s="51">
        <f>I237*'נתונים והנחות'!$F$10</f>
        <v/>
      </c>
      <c r="J238" s="51">
        <f>J237*'נתונים והנחות'!$F$10</f>
        <v/>
      </c>
      <c r="K238" s="51">
        <f>K237*'נתונים והנחות'!$F$10</f>
        <v/>
      </c>
      <c r="L238" s="51">
        <f>L237*'נתונים והנחות'!$F$10</f>
        <v/>
      </c>
      <c r="M238" s="51">
        <f>M237*'נתונים והנחות'!$F$10</f>
        <v/>
      </c>
      <c r="N238" s="51">
        <f>N237*'נתונים והנחות'!$F$10</f>
        <v/>
      </c>
      <c r="O238" s="51">
        <f>O237*'נתונים והנחות'!$F$10</f>
        <v/>
      </c>
      <c r="P238" s="51">
        <f>P237*'נתונים והנחות'!$F$10</f>
        <v/>
      </c>
      <c r="Q238" s="51">
        <f>Q237*'נתונים והנחות'!$F$10</f>
        <v/>
      </c>
      <c r="R238" s="51">
        <f>R237*'נתונים והנחות'!$F$10</f>
        <v/>
      </c>
      <c r="S238" s="51">
        <f>S237*'נתונים והנחות'!$F$10</f>
        <v/>
      </c>
      <c r="T238" s="51">
        <f>T237*'נתונים והנחות'!$F$10</f>
        <v/>
      </c>
      <c r="U238" s="51">
        <f>U237*'נתונים והנחות'!$F$10</f>
        <v/>
      </c>
      <c r="V238" s="51">
        <f>V237*'נתונים והנחות'!$F$10</f>
        <v/>
      </c>
      <c r="W238" s="51">
        <f>W237*'נתונים והנחות'!$F$10</f>
        <v/>
      </c>
      <c r="X238" s="51">
        <f>X237*'נתונים והנחות'!$F$10</f>
        <v/>
      </c>
      <c r="Y238" s="51">
        <f>Y237*'נתונים והנחות'!$F$10</f>
        <v/>
      </c>
      <c r="Z238" s="51">
        <f>Z237*'נתונים והנחות'!$F$10</f>
        <v/>
      </c>
    </row>
    <row r="239">
      <c r="B239" s="8" t="inlineStr">
        <is>
          <t>פחת מואץ — מדחסי VSD — 150 kW</t>
        </is>
      </c>
      <c r="C239" s="10" t="inlineStr">
        <is>
          <t>₪</t>
        </is>
      </c>
      <c r="D239" s="10" t="inlineStr">
        <is>
          <t>חישוב</t>
        </is>
      </c>
      <c r="F239" s="52" t="n">
        <v>0</v>
      </c>
      <c r="G239" s="52">
        <f>IF(ISNUMBER('נתונים והנחות'!$K$40),IF(1&lt;=ROUND(1/(0.1*'נתונים והנחות'!$F$20),0),'נתונים והנחות'!$K$40*0.1*'נתונים והנחות'!$F$20,0),0)</f>
        <v/>
      </c>
      <c r="H239" s="52">
        <f>IF(ISNUMBER('נתונים והנחות'!$K$40),IF(2&lt;=ROUND(1/(0.1*'נתונים והנחות'!$F$20),0),'נתונים והנחות'!$K$40*0.1*'נתונים והנחות'!$F$20,0),0)</f>
        <v/>
      </c>
      <c r="I239" s="52">
        <f>IF(ISNUMBER('נתונים והנחות'!$K$40),IF(3&lt;=ROUND(1/(0.1*'נתונים והנחות'!$F$20),0),'נתונים והנחות'!$K$40*0.1*'נתונים והנחות'!$F$20,0),0)</f>
        <v/>
      </c>
      <c r="J239" s="52">
        <f>IF(ISNUMBER('נתונים והנחות'!$K$40),IF(4&lt;=ROUND(1/(0.1*'נתונים והנחות'!$F$20),0),'נתונים והנחות'!$K$40*0.1*'נתונים והנחות'!$F$20,0),0)</f>
        <v/>
      </c>
      <c r="K239" s="52">
        <f>IF(ISNUMBER('נתונים והנחות'!$K$40),IF(5&lt;=ROUND(1/(0.1*'נתונים והנחות'!$F$20),0),'נתונים והנחות'!$K$40*0.1*'נתונים והנחות'!$F$20,0),0)</f>
        <v/>
      </c>
      <c r="L239" s="52">
        <f>IF(ISNUMBER('נתונים והנחות'!$K$40),IF(6&lt;=ROUND(1/(0.1*'נתונים והנחות'!$F$20),0),'נתונים והנחות'!$K$40*0.1*'נתונים והנחות'!$F$20,0),0)</f>
        <v/>
      </c>
      <c r="M239" s="52">
        <f>IF(ISNUMBER('נתונים והנחות'!$K$40),IF(7&lt;=ROUND(1/(0.1*'נתונים והנחות'!$F$20),0),'נתונים והנחות'!$K$40*0.1*'נתונים והנחות'!$F$20,0),0)</f>
        <v/>
      </c>
      <c r="N239" s="52">
        <f>IF(ISNUMBER('נתונים והנחות'!$K$40),IF(8&lt;=ROUND(1/(0.1*'נתונים והנחות'!$F$20),0),'נתונים והנחות'!$K$40*0.1*'נתונים והנחות'!$F$20,0),0)</f>
        <v/>
      </c>
      <c r="O239" s="52">
        <f>IF(ISNUMBER('נתונים והנחות'!$K$40),IF(9&lt;=ROUND(1/(0.1*'נתונים והנחות'!$F$20),0),'נתונים והנחות'!$K$40*0.1*'נתונים והנחות'!$F$20,0),0)</f>
        <v/>
      </c>
      <c r="P239" s="52">
        <f>IF(ISNUMBER('נתונים והנחות'!$K$40),IF(10&lt;=ROUND(1/(0.1*'נתונים והנחות'!$F$20),0),'נתונים והנחות'!$K$40*0.1*'נתונים והנחות'!$F$20,0),0)</f>
        <v/>
      </c>
      <c r="Q239" s="52">
        <f>IF(ISNUMBER('נתונים והנחות'!$K$40),IF(11&lt;=ROUND(1/(0.1*'נתונים והנחות'!$F$20),0),'נתונים והנחות'!$K$40*0.1*'נתונים והנחות'!$F$20,0),0)</f>
        <v/>
      </c>
      <c r="R239" s="52">
        <f>IF(ISNUMBER('נתונים והנחות'!$K$40),IF(12&lt;=ROUND(1/(0.1*'נתונים והנחות'!$F$20),0),'נתונים והנחות'!$K$40*0.1*'נתונים והנחות'!$F$20,0),0)</f>
        <v/>
      </c>
      <c r="S239" s="52">
        <f>IF(ISNUMBER('נתונים והנחות'!$K$40),IF(13&lt;=ROUND(1/(0.1*'נתונים והנחות'!$F$20),0),'נתונים והנחות'!$K$40*0.1*'נתונים והנחות'!$F$20,0),0)</f>
        <v/>
      </c>
      <c r="T239" s="52">
        <f>IF(ISNUMBER('נתונים והנחות'!$K$40),IF(14&lt;=ROUND(1/(0.1*'נתונים והנחות'!$F$20),0),'נתונים והנחות'!$K$40*0.1*'נתונים והנחות'!$F$20,0),0)</f>
        <v/>
      </c>
      <c r="U239" s="52">
        <f>IF(ISNUMBER('נתונים והנחות'!$K$40),IF(15&lt;=ROUND(1/(0.1*'נתונים והנחות'!$F$20),0),'נתונים והנחות'!$K$40*0.1*'נתונים והנחות'!$F$20,0),0)</f>
        <v/>
      </c>
      <c r="V239" s="52">
        <f>IF(ISNUMBER('נתונים והנחות'!$K$40),IF(16&lt;=ROUND(1/(0.1*'נתונים והנחות'!$F$20),0),'נתונים והנחות'!$K$40*0.1*'נתונים והנחות'!$F$20,0),0)</f>
        <v/>
      </c>
      <c r="W239" s="52">
        <f>IF(ISNUMBER('נתונים והנחות'!$K$40),IF(17&lt;=ROUND(1/(0.1*'נתונים והנחות'!$F$20),0),'נתונים והנחות'!$K$40*0.1*'נתונים והנחות'!$F$20,0),0)</f>
        <v/>
      </c>
      <c r="X239" s="52">
        <f>IF(ISNUMBER('נתונים והנחות'!$K$40),IF(18&lt;=ROUND(1/(0.1*'נתונים והנחות'!$F$20),0),'נתונים והנחות'!$K$40*0.1*'נתונים והנחות'!$F$20,0),0)</f>
        <v/>
      </c>
      <c r="Y239" s="52">
        <f>IF(ISNUMBER('נתונים והנחות'!$K$40),IF(19&lt;=ROUND(1/(0.1*'נתונים והנחות'!$F$20),0),'נתונים והנחות'!$K$40*0.1*'נתונים והנחות'!$F$20,0),0)</f>
        <v/>
      </c>
      <c r="Z239" s="52">
        <f>IF(ISNUMBER('נתונים והנחות'!$K$40),IF(20&lt;=ROUND(1/(0.1*'נתונים והנחות'!$F$20),0),'נתונים והנחות'!$K$40*0.1*'נתונים והנחות'!$F$20,0),0)</f>
        <v/>
      </c>
    </row>
    <row r="240">
      <c r="B240" s="8" t="inlineStr">
        <is>
          <t>מגן מס מואץ — מדחסי VSD — 150 kW</t>
        </is>
      </c>
      <c r="C240" s="10" t="inlineStr">
        <is>
          <t>₪</t>
        </is>
      </c>
      <c r="D240" s="10" t="inlineStr">
        <is>
          <t>חישוב</t>
        </is>
      </c>
      <c r="F240" s="52" t="n">
        <v>0</v>
      </c>
      <c r="G240" s="52">
        <f>G239*'נתונים והנחות'!$F$10</f>
        <v/>
      </c>
      <c r="H240" s="52">
        <f>H239*'נתונים והנחות'!$F$10</f>
        <v/>
      </c>
      <c r="I240" s="52">
        <f>I239*'נתונים והנחות'!$F$10</f>
        <v/>
      </c>
      <c r="J240" s="52">
        <f>J239*'נתונים והנחות'!$F$10</f>
        <v/>
      </c>
      <c r="K240" s="52">
        <f>K239*'נתונים והנחות'!$F$10</f>
        <v/>
      </c>
      <c r="L240" s="52">
        <f>L239*'נתונים והנחות'!$F$10</f>
        <v/>
      </c>
      <c r="M240" s="52">
        <f>M239*'נתונים והנחות'!$F$10</f>
        <v/>
      </c>
      <c r="N240" s="52">
        <f>N239*'נתונים והנחות'!$F$10</f>
        <v/>
      </c>
      <c r="O240" s="52">
        <f>O239*'נתונים והנחות'!$F$10</f>
        <v/>
      </c>
      <c r="P240" s="52">
        <f>P239*'נתונים והנחות'!$F$10</f>
        <v/>
      </c>
      <c r="Q240" s="52">
        <f>Q239*'נתונים והנחות'!$F$10</f>
        <v/>
      </c>
      <c r="R240" s="52">
        <f>R239*'נתונים והנחות'!$F$10</f>
        <v/>
      </c>
      <c r="S240" s="52">
        <f>S239*'נתונים והנחות'!$F$10</f>
        <v/>
      </c>
      <c r="T240" s="52">
        <f>T239*'נתונים והנחות'!$F$10</f>
        <v/>
      </c>
      <c r="U240" s="52">
        <f>U239*'נתונים והנחות'!$F$10</f>
        <v/>
      </c>
      <c r="V240" s="52">
        <f>V239*'נתונים והנחות'!$F$10</f>
        <v/>
      </c>
      <c r="W240" s="52">
        <f>W239*'נתונים והנחות'!$F$10</f>
        <v/>
      </c>
      <c r="X240" s="52">
        <f>X239*'נתונים והנחות'!$F$10</f>
        <v/>
      </c>
      <c r="Y240" s="52">
        <f>Y239*'נתונים והנחות'!$F$10</f>
        <v/>
      </c>
      <c r="Z240" s="52">
        <f>Z239*'נתונים והנחות'!$F$10</f>
        <v/>
      </c>
    </row>
    <row r="242">
      <c r="B242" s="49" t="inlineStr">
        <is>
          <t>ג. ניתוח תזרים מזומנים — שלושה תרחישים</t>
        </is>
      </c>
    </row>
    <row r="243">
      <c r="B243" s="23" t="inlineStr">
        <is>
          <t>פרמטר</t>
        </is>
      </c>
      <c r="C243" s="23" t="inlineStr">
        <is>
          <t>יחידות</t>
        </is>
      </c>
      <c r="D243" s="23" t="inlineStr">
        <is>
          <t>מקור</t>
        </is>
      </c>
      <c r="E243" s="23" t="inlineStr">
        <is>
          <t>הערות</t>
        </is>
      </c>
      <c r="F243" s="23" t="inlineStr">
        <is>
          <t>שנה 0 (השקעה)</t>
        </is>
      </c>
      <c r="G243" s="23" t="inlineStr">
        <is>
          <t>שנה 1</t>
        </is>
      </c>
      <c r="H243" s="23" t="inlineStr">
        <is>
          <t>שנה 2</t>
        </is>
      </c>
      <c r="I243" s="23" t="inlineStr">
        <is>
          <t>שנה 3</t>
        </is>
      </c>
      <c r="J243" s="23" t="inlineStr">
        <is>
          <t>שנה 4</t>
        </is>
      </c>
      <c r="K243" s="23" t="inlineStr">
        <is>
          <t>שנה 5</t>
        </is>
      </c>
      <c r="L243" s="23" t="inlineStr">
        <is>
          <t>שנה 6</t>
        </is>
      </c>
      <c r="M243" s="23" t="inlineStr">
        <is>
          <t>שנה 7</t>
        </is>
      </c>
      <c r="N243" s="23" t="inlineStr">
        <is>
          <t>שנה 8</t>
        </is>
      </c>
      <c r="O243" s="23" t="inlineStr">
        <is>
          <t>שנה 9</t>
        </is>
      </c>
      <c r="P243" s="23" t="inlineStr">
        <is>
          <t>שנה 10</t>
        </is>
      </c>
      <c r="Q243" s="23" t="inlineStr">
        <is>
          <t>שנה 11</t>
        </is>
      </c>
      <c r="R243" s="23" t="inlineStr">
        <is>
          <t>שנה 12</t>
        </is>
      </c>
      <c r="S243" s="23" t="inlineStr">
        <is>
          <t>שנה 13</t>
        </is>
      </c>
      <c r="T243" s="23" t="inlineStr">
        <is>
          <t>שנה 14</t>
        </is>
      </c>
      <c r="U243" s="23" t="inlineStr">
        <is>
          <t>שנה 15</t>
        </is>
      </c>
      <c r="V243" s="23" t="inlineStr">
        <is>
          <t>שנה 16</t>
        </is>
      </c>
      <c r="W243" s="23" t="inlineStr">
        <is>
          <t>שנה 17</t>
        </is>
      </c>
      <c r="X243" s="23" t="inlineStr">
        <is>
          <t>שנה 18</t>
        </is>
      </c>
      <c r="Y243" s="23" t="inlineStr">
        <is>
          <t>שנה 19</t>
        </is>
      </c>
      <c r="Z243" s="23" t="inlineStr">
        <is>
          <t>שנה 20</t>
        </is>
      </c>
    </row>
    <row r="244">
      <c r="B244" s="53" t="inlineStr">
        <is>
          <t>תרחיש A — רכישת מדחס מהירות קבועה — 150 kW (ציוד קיים)</t>
        </is>
      </c>
    </row>
    <row r="245">
      <c r="B245" s="6" t="inlineStr">
        <is>
          <t>השקעה ראשונית</t>
        </is>
      </c>
      <c r="C245" s="10" t="inlineStr">
        <is>
          <t>₪</t>
        </is>
      </c>
      <c r="D245" s="10" t="inlineStr">
        <is>
          <t>חישוב</t>
        </is>
      </c>
      <c r="F245" s="50">
        <f>IF(ISNUMBER('נתונים והנחות'!$K$39),-'נתונים והנחות'!$K$39,"PENDING")</f>
        <v/>
      </c>
    </row>
    <row r="246">
      <c r="B246" s="6" t="inlineStr">
        <is>
          <t>OPEX אנרגיה/דלק</t>
        </is>
      </c>
      <c r="C246" s="10" t="inlineStr">
        <is>
          <t>₪</t>
        </is>
      </c>
      <c r="D246" s="10" t="inlineStr">
        <is>
          <t>חישוב</t>
        </is>
      </c>
      <c r="F246" s="50" t="n">
        <v>0</v>
      </c>
      <c r="G246" s="50">
        <f>IF(ISNUMBER('נתונים והנחות'!$K$47),-'נתונים והנחות'!$K$47,0)</f>
        <v/>
      </c>
      <c r="H246" s="50">
        <f>IF(ISNUMBER('נתונים והנחות'!$K$47),-'נתונים והנחות'!$K$47,0)</f>
        <v/>
      </c>
      <c r="I246" s="50">
        <f>IF(ISNUMBER('נתונים והנחות'!$K$47),-'נתונים והנחות'!$K$47,0)</f>
        <v/>
      </c>
      <c r="J246" s="50">
        <f>IF(ISNUMBER('נתונים והנחות'!$K$47),-'נתונים והנחות'!$K$47,0)</f>
        <v/>
      </c>
      <c r="K246" s="50">
        <f>IF(ISNUMBER('נתונים והנחות'!$K$47),-'נתונים והנחות'!$K$47,0)</f>
        <v/>
      </c>
      <c r="L246" s="50">
        <f>IF(ISNUMBER('נתונים והנחות'!$K$47),-'נתונים והנחות'!$K$47,0)</f>
        <v/>
      </c>
      <c r="M246" s="50">
        <f>IF(ISNUMBER('נתונים והנחות'!$K$47),-'נתונים והנחות'!$K$47,0)</f>
        <v/>
      </c>
      <c r="N246" s="50">
        <f>IF(ISNUMBER('נתונים והנחות'!$K$47),-'נתונים והנחות'!$K$47,0)</f>
        <v/>
      </c>
      <c r="O246" s="50">
        <f>IF(ISNUMBER('נתונים והנחות'!$K$47),-'נתונים והנחות'!$K$47,0)</f>
        <v/>
      </c>
      <c r="P246" s="50">
        <f>IF(ISNUMBER('נתונים והנחות'!$K$47),-'נתונים והנחות'!$K$47,0)</f>
        <v/>
      </c>
      <c r="Q246" s="50">
        <f>IF(ISNUMBER('נתונים והנחות'!$K$47),-'נתונים והנחות'!$K$47,0)</f>
        <v/>
      </c>
      <c r="R246" s="50">
        <f>IF(ISNUMBER('נתונים והנחות'!$K$47),-'נתונים והנחות'!$K$47,0)</f>
        <v/>
      </c>
      <c r="S246" s="50">
        <f>0</f>
        <v/>
      </c>
      <c r="T246" s="50">
        <f>0</f>
        <v/>
      </c>
      <c r="U246" s="50">
        <f>0</f>
        <v/>
      </c>
      <c r="V246" s="50">
        <f>0</f>
        <v/>
      </c>
      <c r="W246" s="50">
        <f>0</f>
        <v/>
      </c>
      <c r="X246" s="50">
        <f>0</f>
        <v/>
      </c>
      <c r="Y246" s="50">
        <f>0</f>
        <v/>
      </c>
      <c r="Z246" s="50">
        <f>0</f>
        <v/>
      </c>
    </row>
    <row r="247">
      <c r="B247" s="6" t="inlineStr">
        <is>
          <t>OPEX אחר</t>
        </is>
      </c>
      <c r="C247" s="10" t="inlineStr">
        <is>
          <t>₪</t>
        </is>
      </c>
      <c r="D247" s="10" t="inlineStr">
        <is>
          <t>חישוב</t>
        </is>
      </c>
      <c r="F247" s="50" t="n">
        <v>0</v>
      </c>
      <c r="G247" s="50">
        <f>IF(ISNUMBER('נתונים והנחות'!$K$45),-'נתונים והנחות'!$K$45,0)</f>
        <v/>
      </c>
      <c r="H247" s="50">
        <f>IF(ISNUMBER('נתונים והנחות'!$K$45),-'נתונים והנחות'!$K$45,0)</f>
        <v/>
      </c>
      <c r="I247" s="50">
        <f>IF(ISNUMBER('נתונים והנחות'!$K$45),-'נתונים והנחות'!$K$45,0)</f>
        <v/>
      </c>
      <c r="J247" s="50">
        <f>IF(ISNUMBER('נתונים והנחות'!$K$45),-'נתונים והנחות'!$K$45,0)</f>
        <v/>
      </c>
      <c r="K247" s="50">
        <f>IF(ISNUMBER('נתונים והנחות'!$K$45),-'נתונים והנחות'!$K$45,0)</f>
        <v/>
      </c>
      <c r="L247" s="50">
        <f>IF(ISNUMBER('נתונים והנחות'!$K$45),-'נתונים והנחות'!$K$45,0)</f>
        <v/>
      </c>
      <c r="M247" s="50">
        <f>IF(ISNUMBER('נתונים והנחות'!$K$45),-'נתונים והנחות'!$K$45,0)</f>
        <v/>
      </c>
      <c r="N247" s="50">
        <f>IF(ISNUMBER('נתונים והנחות'!$K$45),-'נתונים והנחות'!$K$45,0)</f>
        <v/>
      </c>
      <c r="O247" s="50">
        <f>IF(ISNUMBER('נתונים והנחות'!$K$45),-'נתונים והנחות'!$K$45,0)</f>
        <v/>
      </c>
      <c r="P247" s="50">
        <f>IF(ISNUMBER('נתונים והנחות'!$K$45),-'נתונים והנחות'!$K$45,0)</f>
        <v/>
      </c>
      <c r="Q247" s="50">
        <f>IF(ISNUMBER('נתונים והנחות'!$K$45),-'נתונים והנחות'!$K$45,0)</f>
        <v/>
      </c>
      <c r="R247" s="50">
        <f>IF(ISNUMBER('נתונים והנחות'!$K$45),-'נתונים והנחות'!$K$45,0)</f>
        <v/>
      </c>
      <c r="S247" s="50">
        <f>0</f>
        <v/>
      </c>
      <c r="T247" s="50">
        <f>0</f>
        <v/>
      </c>
      <c r="U247" s="50">
        <f>0</f>
        <v/>
      </c>
      <c r="V247" s="50">
        <f>0</f>
        <v/>
      </c>
      <c r="W247" s="50">
        <f>0</f>
        <v/>
      </c>
      <c r="X247" s="50">
        <f>0</f>
        <v/>
      </c>
      <c r="Y247" s="50">
        <f>0</f>
        <v/>
      </c>
      <c r="Z247" s="50">
        <f>0</f>
        <v/>
      </c>
    </row>
    <row r="248">
      <c r="B248" s="6" t="inlineStr">
        <is>
          <t>תזרים נקי — A</t>
        </is>
      </c>
      <c r="C248" s="10" t="inlineStr">
        <is>
          <t>₪</t>
        </is>
      </c>
      <c r="D248" s="10" t="inlineStr">
        <is>
          <t>חישוב</t>
        </is>
      </c>
      <c r="F248" s="50">
        <f>F245</f>
        <v/>
      </c>
      <c r="G248" s="50">
        <f>G246+G247+G236</f>
        <v/>
      </c>
      <c r="H248" s="50">
        <f>H246+H247+H236</f>
        <v/>
      </c>
      <c r="I248" s="50">
        <f>I246+I247+I236</f>
        <v/>
      </c>
      <c r="J248" s="50">
        <f>J246+J247+J236</f>
        <v/>
      </c>
      <c r="K248" s="50">
        <f>K246+K247+K236</f>
        <v/>
      </c>
      <c r="L248" s="50">
        <f>L246+L247+L236</f>
        <v/>
      </c>
      <c r="M248" s="50">
        <f>M246+M247+M236</f>
        <v/>
      </c>
      <c r="N248" s="50">
        <f>N246+N247+N236</f>
        <v/>
      </c>
      <c r="O248" s="50">
        <f>O246+O247+O236</f>
        <v/>
      </c>
      <c r="P248" s="50">
        <f>P246+P247+P236</f>
        <v/>
      </c>
      <c r="Q248" s="50">
        <f>Q246+Q247+Q236</f>
        <v/>
      </c>
      <c r="R248" s="50">
        <f>R246+R247+R236</f>
        <v/>
      </c>
      <c r="S248" s="50">
        <f>S246+S247+S236</f>
        <v/>
      </c>
      <c r="T248" s="50">
        <f>T246+T247+T236</f>
        <v/>
      </c>
      <c r="U248" s="50">
        <f>U246+U247+U236</f>
        <v/>
      </c>
      <c r="V248" s="50">
        <f>V246+V247+V236</f>
        <v/>
      </c>
      <c r="W248" s="50">
        <f>W246+W247+W236</f>
        <v/>
      </c>
      <c r="X248" s="50">
        <f>X246+X247+X236</f>
        <v/>
      </c>
      <c r="Y248" s="50">
        <f>Y246+Y247+Y236</f>
        <v/>
      </c>
      <c r="Z248" s="50">
        <f>Z246+Z247+Z236</f>
        <v/>
      </c>
    </row>
    <row r="249">
      <c r="B249" s="6" t="inlineStr">
        <is>
          <t>תזרים מהוון — A</t>
        </is>
      </c>
      <c r="C249" s="10" t="inlineStr">
        <is>
          <t>₪</t>
        </is>
      </c>
      <c r="D249" s="10" t="inlineStr">
        <is>
          <t>חישוב</t>
        </is>
      </c>
      <c r="F249" s="50">
        <f>F248</f>
        <v/>
      </c>
      <c r="G249" s="50">
        <f>G248/(1+'נתונים והנחות'!$F$11)^1</f>
        <v/>
      </c>
      <c r="H249" s="50">
        <f>H248/(1+'נתונים והנחות'!$F$11)^2</f>
        <v/>
      </c>
      <c r="I249" s="50">
        <f>I248/(1+'נתונים והנחות'!$F$11)^3</f>
        <v/>
      </c>
      <c r="J249" s="50">
        <f>J248/(1+'נתונים והנחות'!$F$11)^4</f>
        <v/>
      </c>
      <c r="K249" s="50">
        <f>K248/(1+'נתונים והנחות'!$F$11)^5</f>
        <v/>
      </c>
      <c r="L249" s="50">
        <f>L248/(1+'נתונים והנחות'!$F$11)^6</f>
        <v/>
      </c>
      <c r="M249" s="50">
        <f>M248/(1+'נתונים והנחות'!$F$11)^7</f>
        <v/>
      </c>
      <c r="N249" s="50">
        <f>N248/(1+'נתונים והנחות'!$F$11)^8</f>
        <v/>
      </c>
      <c r="O249" s="50">
        <f>O248/(1+'נתונים והנחות'!$F$11)^9</f>
        <v/>
      </c>
      <c r="P249" s="50">
        <f>P248/(1+'נתונים והנחות'!$F$11)^10</f>
        <v/>
      </c>
      <c r="Q249" s="50">
        <f>Q248/(1+'נתונים והנחות'!$F$11)^11</f>
        <v/>
      </c>
      <c r="R249" s="50">
        <f>R248/(1+'נתונים והנחות'!$F$11)^12</f>
        <v/>
      </c>
      <c r="S249" s="50">
        <f>S248/(1+'נתונים והנחות'!$F$11)^13</f>
        <v/>
      </c>
      <c r="T249" s="50">
        <f>T248/(1+'נתונים והנחות'!$F$11)^14</f>
        <v/>
      </c>
      <c r="U249" s="50">
        <f>U248/(1+'נתונים והנחות'!$F$11)^15</f>
        <v/>
      </c>
      <c r="V249" s="50">
        <f>V248/(1+'נתונים והנחות'!$F$11)^16</f>
        <v/>
      </c>
      <c r="W249" s="50">
        <f>W248/(1+'נתונים והנחות'!$F$11)^17</f>
        <v/>
      </c>
      <c r="X249" s="50">
        <f>X248/(1+'נתונים והנחות'!$F$11)^18</f>
        <v/>
      </c>
      <c r="Y249" s="50">
        <f>Y248/(1+'נתונים והנחות'!$F$11)^19</f>
        <v/>
      </c>
      <c r="Z249" s="50">
        <f>Z248/(1+'נתונים והנחות'!$F$11)^20</f>
        <v/>
      </c>
    </row>
    <row r="251">
      <c r="B251" s="54" t="inlineStr">
        <is>
          <t>תרחיש B — רכישת מדחסי VSD — 150 kW | פחת סטנדרטי (ללא תמריץ)</t>
        </is>
      </c>
    </row>
    <row r="252">
      <c r="B252" s="7" t="inlineStr">
        <is>
          <t>השקעה ראשונית</t>
        </is>
      </c>
      <c r="C252" s="10" t="inlineStr">
        <is>
          <t>₪</t>
        </is>
      </c>
      <c r="D252" s="10" t="inlineStr">
        <is>
          <t>חישוב</t>
        </is>
      </c>
      <c r="F252" s="51">
        <f>IF(ISNUMBER('נתונים והנחות'!$K$40),-'נתונים והנחות'!$K$40,"PENDING")</f>
        <v/>
      </c>
    </row>
    <row r="253">
      <c r="B253" s="7" t="inlineStr">
        <is>
          <t>OPEX אנרגיה (עם שחיקה)</t>
        </is>
      </c>
      <c r="C253" s="10" t="inlineStr">
        <is>
          <t>₪</t>
        </is>
      </c>
      <c r="D253" s="10" t="inlineStr">
        <is>
          <t>חישוב</t>
        </is>
      </c>
      <c r="F253" s="51" t="n">
        <v>0</v>
      </c>
      <c r="G253" s="51">
        <f>IF(ISNUMBER('נתונים והנחות'!$K$48),-'נתונים והנחות'!$K$48*(1-0.005)^0,0)</f>
        <v/>
      </c>
      <c r="H253" s="51">
        <f>IF(ISNUMBER('נתונים והנחות'!$K$48),-'נתונים והנחות'!$K$48*(1-0.005)^1,0)</f>
        <v/>
      </c>
      <c r="I253" s="51">
        <f>IF(ISNUMBER('נתונים והנחות'!$K$48),-'נתונים והנחות'!$K$48*(1-0.005)^2,0)</f>
        <v/>
      </c>
      <c r="J253" s="51">
        <f>IF(ISNUMBER('נתונים והנחות'!$K$48),-'נתונים והנחות'!$K$48*(1-0.005)^3,0)</f>
        <v/>
      </c>
      <c r="K253" s="51">
        <f>IF(ISNUMBER('נתונים והנחות'!$K$48),-'נתונים והנחות'!$K$48*(1-0.005)^4,0)</f>
        <v/>
      </c>
      <c r="L253" s="51">
        <f>IF(ISNUMBER('נתונים והנחות'!$K$48),-'נתונים והנחות'!$K$48*(1-0.005)^5,0)</f>
        <v/>
      </c>
      <c r="M253" s="51">
        <f>IF(ISNUMBER('נתונים והנחות'!$K$48),-'נתונים והנחות'!$K$48*(1-0.005)^6,0)</f>
        <v/>
      </c>
      <c r="N253" s="51">
        <f>IF(ISNUMBER('נתונים והנחות'!$K$48),-'נתונים והנחות'!$K$48*(1-0.005)^7,0)</f>
        <v/>
      </c>
      <c r="O253" s="51">
        <f>IF(ISNUMBER('נתונים והנחות'!$K$48),-'נתונים והנחות'!$K$48*(1-0.005)^8,0)</f>
        <v/>
      </c>
      <c r="P253" s="51">
        <f>IF(ISNUMBER('נתונים והנחות'!$K$48),-'נתונים והנחות'!$K$48*(1-0.005)^9,0)</f>
        <v/>
      </c>
      <c r="Q253" s="51">
        <f>IF(ISNUMBER('נתונים והנחות'!$K$48),-'נתונים והנחות'!$K$48*(1-0.005)^10,0)</f>
        <v/>
      </c>
      <c r="R253" s="51">
        <f>IF(ISNUMBER('נתונים והנחות'!$K$48),-'נתונים והנחות'!$K$48*(1-0.005)^11,0)</f>
        <v/>
      </c>
      <c r="S253" s="51">
        <f>0</f>
        <v/>
      </c>
      <c r="T253" s="51">
        <f>0</f>
        <v/>
      </c>
      <c r="U253" s="51">
        <f>0</f>
        <v/>
      </c>
      <c r="V253" s="51">
        <f>0</f>
        <v/>
      </c>
      <c r="W253" s="51">
        <f>0</f>
        <v/>
      </c>
      <c r="X253" s="51">
        <f>0</f>
        <v/>
      </c>
      <c r="Y253" s="51">
        <f>0</f>
        <v/>
      </c>
      <c r="Z253" s="51">
        <f>0</f>
        <v/>
      </c>
    </row>
    <row r="254">
      <c r="B254" s="7" t="inlineStr">
        <is>
          <t>OPEX אחר</t>
        </is>
      </c>
      <c r="C254" s="10" t="inlineStr">
        <is>
          <t>₪</t>
        </is>
      </c>
      <c r="D254" s="10" t="inlineStr">
        <is>
          <t>חישוב</t>
        </is>
      </c>
      <c r="F254" s="51" t="n">
        <v>0</v>
      </c>
      <c r="G254" s="51">
        <f>IF(ISNUMBER('נתונים והנחות'!$K$46),-'נתונים והנחות'!$K$46,0)</f>
        <v/>
      </c>
      <c r="H254" s="51">
        <f>IF(ISNUMBER('נתונים והנחות'!$K$46),-'נתונים והנחות'!$K$46,0)</f>
        <v/>
      </c>
      <c r="I254" s="51">
        <f>IF(ISNUMBER('נתונים והנחות'!$K$46),-'נתונים והנחות'!$K$46,0)</f>
        <v/>
      </c>
      <c r="J254" s="51">
        <f>IF(ISNUMBER('נתונים והנחות'!$K$46),-'נתונים והנחות'!$K$46,0)</f>
        <v/>
      </c>
      <c r="K254" s="51">
        <f>IF(ISNUMBER('נתונים והנחות'!$K$46),-'נתונים והנחות'!$K$46,0)</f>
        <v/>
      </c>
      <c r="L254" s="51">
        <f>IF(ISNUMBER('נתונים והנחות'!$K$46),-'נתונים והנחות'!$K$46,0)</f>
        <v/>
      </c>
      <c r="M254" s="51">
        <f>IF(ISNUMBER('נתונים והנחות'!$K$46),-'נתונים והנחות'!$K$46,0)</f>
        <v/>
      </c>
      <c r="N254" s="51">
        <f>IF(ISNUMBER('נתונים והנחות'!$K$46),-'נתונים והנחות'!$K$46,0)</f>
        <v/>
      </c>
      <c r="O254" s="51">
        <f>IF(ISNUMBER('נתונים והנחות'!$K$46),-'נתונים והנחות'!$K$46,0)</f>
        <v/>
      </c>
      <c r="P254" s="51">
        <f>IF(ISNUMBER('נתונים והנחות'!$K$46),-'נתונים והנחות'!$K$46,0)</f>
        <v/>
      </c>
      <c r="Q254" s="51">
        <f>IF(ISNUMBER('נתונים והנחות'!$K$46),-'נתונים והנחות'!$K$46,0)</f>
        <v/>
      </c>
      <c r="R254" s="51">
        <f>IF(ISNUMBER('נתונים והנחות'!$K$46),-'נתונים והנחות'!$K$46,0)</f>
        <v/>
      </c>
      <c r="S254" s="51">
        <f>0</f>
        <v/>
      </c>
      <c r="T254" s="51">
        <f>0</f>
        <v/>
      </c>
      <c r="U254" s="51">
        <f>0</f>
        <v/>
      </c>
      <c r="V254" s="51">
        <f>0</f>
        <v/>
      </c>
      <c r="W254" s="51">
        <f>0</f>
        <v/>
      </c>
      <c r="X254" s="51">
        <f>0</f>
        <v/>
      </c>
      <c r="Y254" s="51">
        <f>0</f>
        <v/>
      </c>
      <c r="Z254" s="51">
        <f>0</f>
        <v/>
      </c>
    </row>
    <row r="255">
      <c r="B255" s="7" t="inlineStr">
        <is>
          <t>תזרים נקי — B</t>
        </is>
      </c>
      <c r="C255" s="10" t="inlineStr">
        <is>
          <t>₪</t>
        </is>
      </c>
      <c r="D255" s="10" t="inlineStr">
        <is>
          <t>חישוב</t>
        </is>
      </c>
      <c r="F255" s="51">
        <f>F252</f>
        <v/>
      </c>
      <c r="G255" s="51">
        <f>G253+G254+G238</f>
        <v/>
      </c>
      <c r="H255" s="51">
        <f>H253+H254+H238</f>
        <v/>
      </c>
      <c r="I255" s="51">
        <f>I253+I254+I238</f>
        <v/>
      </c>
      <c r="J255" s="51">
        <f>J253+J254+J238</f>
        <v/>
      </c>
      <c r="K255" s="51">
        <f>K253+K254+K238</f>
        <v/>
      </c>
      <c r="L255" s="51">
        <f>L253+L254+L238</f>
        <v/>
      </c>
      <c r="M255" s="51">
        <f>M253+M254+M238</f>
        <v/>
      </c>
      <c r="N255" s="51">
        <f>N253+N254+N238</f>
        <v/>
      </c>
      <c r="O255" s="51">
        <f>O253+O254+O238</f>
        <v/>
      </c>
      <c r="P255" s="51">
        <f>P253+P254+P238</f>
        <v/>
      </c>
      <c r="Q255" s="51">
        <f>Q253+Q254+Q238</f>
        <v/>
      </c>
      <c r="R255" s="51">
        <f>R253+R254+R238</f>
        <v/>
      </c>
      <c r="S255" s="51">
        <f>S253+S254+S238</f>
        <v/>
      </c>
      <c r="T255" s="51">
        <f>T253+T254+T238</f>
        <v/>
      </c>
      <c r="U255" s="51">
        <f>U253+U254+U238</f>
        <v/>
      </c>
      <c r="V255" s="51">
        <f>V253+V254+V238</f>
        <v/>
      </c>
      <c r="W255" s="51">
        <f>W253+W254+W238</f>
        <v/>
      </c>
      <c r="X255" s="51">
        <f>X253+X254+X238</f>
        <v/>
      </c>
      <c r="Y255" s="51">
        <f>Y253+Y254+Y238</f>
        <v/>
      </c>
      <c r="Z255" s="51">
        <f>Z253+Z254+Z238</f>
        <v/>
      </c>
    </row>
    <row r="256">
      <c r="B256" s="7" t="inlineStr">
        <is>
          <t>תזרים מהוון — B</t>
        </is>
      </c>
      <c r="C256" s="10" t="inlineStr">
        <is>
          <t>₪</t>
        </is>
      </c>
      <c r="D256" s="10" t="inlineStr">
        <is>
          <t>חישוב</t>
        </is>
      </c>
      <c r="F256" s="51">
        <f>F255</f>
        <v/>
      </c>
      <c r="G256" s="51">
        <f>G255/(1+'נתונים והנחות'!$F$11)^1</f>
        <v/>
      </c>
      <c r="H256" s="51">
        <f>H255/(1+'נתונים והנחות'!$F$11)^2</f>
        <v/>
      </c>
      <c r="I256" s="51">
        <f>I255/(1+'נתונים והנחות'!$F$11)^3</f>
        <v/>
      </c>
      <c r="J256" s="51">
        <f>J255/(1+'נתונים והנחות'!$F$11)^4</f>
        <v/>
      </c>
      <c r="K256" s="51">
        <f>K255/(1+'נתונים והנחות'!$F$11)^5</f>
        <v/>
      </c>
      <c r="L256" s="51">
        <f>L255/(1+'נתונים והנחות'!$F$11)^6</f>
        <v/>
      </c>
      <c r="M256" s="51">
        <f>M255/(1+'נתונים והנחות'!$F$11)^7</f>
        <v/>
      </c>
      <c r="N256" s="51">
        <f>N255/(1+'נתונים והנחות'!$F$11)^8</f>
        <v/>
      </c>
      <c r="O256" s="51">
        <f>O255/(1+'נתונים והנחות'!$F$11)^9</f>
        <v/>
      </c>
      <c r="P256" s="51">
        <f>P255/(1+'נתונים והנחות'!$F$11)^10</f>
        <v/>
      </c>
      <c r="Q256" s="51">
        <f>Q255/(1+'נתונים והנחות'!$F$11)^11</f>
        <v/>
      </c>
      <c r="R256" s="51">
        <f>R255/(1+'נתונים והנחות'!$F$11)^12</f>
        <v/>
      </c>
      <c r="S256" s="51">
        <f>S255/(1+'נתונים והנחות'!$F$11)^13</f>
        <v/>
      </c>
      <c r="T256" s="51">
        <f>T255/(1+'נתונים והנחות'!$F$11)^14</f>
        <v/>
      </c>
      <c r="U256" s="51">
        <f>U255/(1+'נתונים והנחות'!$F$11)^15</f>
        <v/>
      </c>
      <c r="V256" s="51">
        <f>V255/(1+'נתונים והנחות'!$F$11)^16</f>
        <v/>
      </c>
      <c r="W256" s="51">
        <f>W255/(1+'נתונים והנחות'!$F$11)^17</f>
        <v/>
      </c>
      <c r="X256" s="51">
        <f>X255/(1+'נתונים והנחות'!$F$11)^18</f>
        <v/>
      </c>
      <c r="Y256" s="51">
        <f>Y255/(1+'נתונים והנחות'!$F$11)^19</f>
        <v/>
      </c>
      <c r="Z256" s="51">
        <f>Z255/(1+'נתונים והנחות'!$F$11)^20</f>
        <v/>
      </c>
    </row>
    <row r="258">
      <c r="B258" s="55" t="inlineStr">
        <is>
          <t>תרחיש C — רכישת מדחסי VSD — 150 kW | פחת מואץ (עם תמריץ)</t>
        </is>
      </c>
    </row>
    <row r="259">
      <c r="B259" s="48" t="inlineStr">
        <is>
          <t>* OPEX זהה ל-B — ההבדל הוא מגן המס המואץ בלבד</t>
        </is>
      </c>
    </row>
    <row r="260">
      <c r="B260" s="8" t="inlineStr">
        <is>
          <t>תזרים נקי — C</t>
        </is>
      </c>
      <c r="C260" s="10" t="inlineStr">
        <is>
          <t>₪</t>
        </is>
      </c>
      <c r="D260" s="10" t="inlineStr">
        <is>
          <t>חישוב</t>
        </is>
      </c>
      <c r="F260" s="52">
        <f>F252</f>
        <v/>
      </c>
      <c r="G260" s="52">
        <f>G253+G254+G240</f>
        <v/>
      </c>
      <c r="H260" s="52">
        <f>H253+H254+H240</f>
        <v/>
      </c>
      <c r="I260" s="52">
        <f>I253+I254+I240</f>
        <v/>
      </c>
      <c r="J260" s="52">
        <f>J253+J254+J240</f>
        <v/>
      </c>
      <c r="K260" s="52">
        <f>K253+K254+K240</f>
        <v/>
      </c>
      <c r="L260" s="52">
        <f>L253+L254+L240</f>
        <v/>
      </c>
      <c r="M260" s="52">
        <f>M253+M254+M240</f>
        <v/>
      </c>
      <c r="N260" s="52">
        <f>N253+N254+N240</f>
        <v/>
      </c>
      <c r="O260" s="52">
        <f>O253+O254+O240</f>
        <v/>
      </c>
      <c r="P260" s="52">
        <f>P253+P254+P240</f>
        <v/>
      </c>
      <c r="Q260" s="52">
        <f>Q253+Q254+Q240</f>
        <v/>
      </c>
      <c r="R260" s="52">
        <f>R253+R254+R240</f>
        <v/>
      </c>
      <c r="S260" s="52">
        <f>S253+S254+S240</f>
        <v/>
      </c>
      <c r="T260" s="52">
        <f>T253+T254+T240</f>
        <v/>
      </c>
      <c r="U260" s="52">
        <f>U253+U254+U240</f>
        <v/>
      </c>
      <c r="V260" s="52">
        <f>V253+V254+V240</f>
        <v/>
      </c>
      <c r="W260" s="52">
        <f>W253+W254+W240</f>
        <v/>
      </c>
      <c r="X260" s="52">
        <f>X253+X254+X240</f>
        <v/>
      </c>
      <c r="Y260" s="52">
        <f>Y253+Y254+Y240</f>
        <v/>
      </c>
      <c r="Z260" s="52">
        <f>Z253+Z254+Z240</f>
        <v/>
      </c>
    </row>
    <row r="261">
      <c r="B261" s="8" t="inlineStr">
        <is>
          <t>תזרים מהוון — C</t>
        </is>
      </c>
      <c r="C261" s="10" t="inlineStr">
        <is>
          <t>₪</t>
        </is>
      </c>
      <c r="D261" s="10" t="inlineStr">
        <is>
          <t>חישוב</t>
        </is>
      </c>
      <c r="F261" s="52">
        <f>F260</f>
        <v/>
      </c>
      <c r="G261" s="52">
        <f>G260/(1+'נתונים והנחות'!$F$11)^1</f>
        <v/>
      </c>
      <c r="H261" s="52">
        <f>H260/(1+'נתונים והנחות'!$F$11)^2</f>
        <v/>
      </c>
      <c r="I261" s="52">
        <f>I260/(1+'נתונים והנחות'!$F$11)^3</f>
        <v/>
      </c>
      <c r="J261" s="52">
        <f>J260/(1+'נתונים והנחות'!$F$11)^4</f>
        <v/>
      </c>
      <c r="K261" s="52">
        <f>K260/(1+'נתונים והנחות'!$F$11)^5</f>
        <v/>
      </c>
      <c r="L261" s="52">
        <f>L260/(1+'נתונים והנחות'!$F$11)^6</f>
        <v/>
      </c>
      <c r="M261" s="52">
        <f>M260/(1+'נתונים והנחות'!$F$11)^7</f>
        <v/>
      </c>
      <c r="N261" s="52">
        <f>N260/(1+'נתונים והנחות'!$F$11)^8</f>
        <v/>
      </c>
      <c r="O261" s="52">
        <f>O260/(1+'נתונים והנחות'!$F$11)^9</f>
        <v/>
      </c>
      <c r="P261" s="52">
        <f>P260/(1+'נתונים והנחות'!$F$11)^10</f>
        <v/>
      </c>
      <c r="Q261" s="52">
        <f>Q260/(1+'נתונים והנחות'!$F$11)^11</f>
        <v/>
      </c>
      <c r="R261" s="52">
        <f>R260/(1+'נתונים והנחות'!$F$11)^12</f>
        <v/>
      </c>
      <c r="S261" s="52">
        <f>S260/(1+'נתונים והנחות'!$F$11)^13</f>
        <v/>
      </c>
      <c r="T261" s="52">
        <f>T260/(1+'נתונים והנחות'!$F$11)^14</f>
        <v/>
      </c>
      <c r="U261" s="52">
        <f>U260/(1+'נתונים והנחות'!$F$11)^15</f>
        <v/>
      </c>
      <c r="V261" s="52">
        <f>V260/(1+'נתונים והנחות'!$F$11)^16</f>
        <v/>
      </c>
      <c r="W261" s="52">
        <f>W260/(1+'נתונים והנחות'!$F$11)^17</f>
        <v/>
      </c>
      <c r="X261" s="52">
        <f>X260/(1+'נתונים והנחות'!$F$11)^18</f>
        <v/>
      </c>
      <c r="Y261" s="52">
        <f>Y260/(1+'נתונים והנחות'!$F$11)^19</f>
        <v/>
      </c>
      <c r="Z261" s="52">
        <f>Z260/(1+'נתונים והנחות'!$F$11)^20</f>
        <v/>
      </c>
    </row>
    <row r="263">
      <c r="B263" s="49" t="inlineStr">
        <is>
          <t>ד. תוצאות — NPV</t>
        </is>
      </c>
    </row>
    <row r="264">
      <c r="B264" s="56" t="inlineStr">
        <is>
          <t>NPV — תרחיש A (מדחס מהירות קבועה — 150 kW)</t>
        </is>
      </c>
      <c r="C264" s="10" t="inlineStr">
        <is>
          <t>ש"ח</t>
        </is>
      </c>
      <c r="F264" s="50">
        <f>SUM(F249:Z249)</f>
        <v/>
      </c>
    </row>
    <row r="265">
      <c r="B265" s="57" t="inlineStr">
        <is>
          <t>NPV — תרחיש B (מדחסי VSD — 150 kW, ללא תמריץ)</t>
        </is>
      </c>
      <c r="C265" s="10" t="inlineStr">
        <is>
          <t>ש"ח</t>
        </is>
      </c>
      <c r="F265" s="51">
        <f>SUM(F256:Z256)</f>
        <v/>
      </c>
    </row>
    <row r="266">
      <c r="B266" s="58" t="inlineStr">
        <is>
          <t>NPV — תרחיש C (מדחסי VSD — 150 kW, עם תמריץ)</t>
        </is>
      </c>
      <c r="C266" s="10" t="inlineStr">
        <is>
          <t>ש"ח</t>
        </is>
      </c>
      <c r="F266" s="52">
        <f>SUM(F261:Z261)</f>
        <v/>
      </c>
    </row>
    <row r="268">
      <c r="B268" s="59" t="inlineStr">
        <is>
          <t>NPV מצטבר — הצדקת השדרוג (B−A)</t>
        </is>
      </c>
      <c r="C268" s="10" t="inlineStr">
        <is>
          <t>ש"ח</t>
        </is>
      </c>
      <c r="F268" s="60">
        <f>F265-F264</f>
        <v/>
      </c>
    </row>
    <row r="269">
      <c r="B269" s="61" t="inlineStr">
        <is>
          <t>ערך התמריץ — תועלת הפחת המואץ (C−B)</t>
        </is>
      </c>
      <c r="C269" s="10" t="inlineStr">
        <is>
          <t>ש"ח</t>
        </is>
      </c>
      <c r="F269" s="62">
        <f>F266-F265</f>
        <v/>
      </c>
    </row>
    <row r="273">
      <c r="B273" s="9" t="inlineStr">
        <is>
          <t>4. סיכום השוואתי לפי טכנולוגיה — NPV</t>
        </is>
      </c>
    </row>
    <row r="274">
      <c r="B274" s="48" t="inlineStr">
        <is>
          <t>* מכפיל פחת = 'נתונים והנחות'!F20 — שנה שם ותוצאות מתעדכנות | OPEX אחר וחלק מה-CapEx ממתינים</t>
        </is>
      </c>
    </row>
    <row r="275">
      <c r="B275" s="23" t="inlineStr">
        <is>
          <t>טכנולוגיה</t>
        </is>
      </c>
      <c r="C275" s="23" t="inlineStr">
        <is>
          <t>NPV A (בסיסי)</t>
        </is>
      </c>
      <c r="D275" s="23" t="inlineStr">
        <is>
          <t>NPV B (יעיל, ללא)</t>
        </is>
      </c>
      <c r="E275" s="23" t="inlineStr">
        <is>
          <t>NPV C (יעיל, עם)</t>
        </is>
      </c>
      <c r="F275" s="23" t="inlineStr">
        <is>
          <t>ΔNPV B−A</t>
        </is>
      </c>
      <c r="G275" s="23" t="inlineStr">
        <is>
          <t>ערך תמריץ C−B</t>
        </is>
      </c>
    </row>
    <row r="276">
      <c r="B276" s="21" t="inlineStr">
        <is>
          <t>משאבות חום — 40 kW</t>
        </is>
      </c>
      <c r="C276" s="50">
        <f>$F$54</f>
        <v/>
      </c>
      <c r="D276" s="51">
        <f>$F$55</f>
        <v/>
      </c>
      <c r="E276" s="52">
        <f>$F$56</f>
        <v/>
      </c>
      <c r="F276" s="60">
        <f>$F$58</f>
        <v/>
      </c>
      <c r="G276" s="62">
        <f>$F$59</f>
        <v/>
      </c>
    </row>
    <row r="277">
      <c r="B277" s="21" t="inlineStr">
        <is>
          <t>משאבות חום — 70 kW</t>
        </is>
      </c>
      <c r="C277" s="50">
        <f>$F$96</f>
        <v/>
      </c>
      <c r="D277" s="51">
        <f>$F$97</f>
        <v/>
      </c>
      <c r="E277" s="52">
        <f>$F$98</f>
        <v/>
      </c>
      <c r="F277" s="60">
        <f>$F$100</f>
        <v/>
      </c>
      <c r="G277" s="62">
        <f>$F$101</f>
        <v/>
      </c>
    </row>
    <row r="278">
      <c r="B278" s="21" t="inlineStr">
        <is>
          <t>צ'ילרים — 100 RT</t>
        </is>
      </c>
      <c r="C278" s="50">
        <f>$F$138</f>
        <v/>
      </c>
      <c r="D278" s="51">
        <f>$F$139</f>
        <v/>
      </c>
      <c r="E278" s="52">
        <f>$F$140</f>
        <v/>
      </c>
      <c r="F278" s="60">
        <f>$F$142</f>
        <v/>
      </c>
      <c r="G278" s="62">
        <f>$F$143</f>
        <v/>
      </c>
    </row>
    <row r="279">
      <c r="B279" s="21" t="inlineStr">
        <is>
          <t>צ'ילרים — 500 RT</t>
        </is>
      </c>
      <c r="C279" s="50">
        <f>$F$180</f>
        <v/>
      </c>
      <c r="D279" s="51">
        <f>$F$181</f>
        <v/>
      </c>
      <c r="E279" s="52">
        <f>$F$182</f>
        <v/>
      </c>
      <c r="F279" s="60">
        <f>$F$184</f>
        <v/>
      </c>
      <c r="G279" s="62">
        <f>$F$185</f>
        <v/>
      </c>
    </row>
    <row r="280">
      <c r="B280" s="21" t="inlineStr">
        <is>
          <t>מדחסי VSD — 45 kW</t>
        </is>
      </c>
      <c r="C280" s="50">
        <f>$F$222</f>
        <v/>
      </c>
      <c r="D280" s="51">
        <f>$F$223</f>
        <v/>
      </c>
      <c r="E280" s="52">
        <f>$F$224</f>
        <v/>
      </c>
      <c r="F280" s="60">
        <f>$F$226</f>
        <v/>
      </c>
      <c r="G280" s="62">
        <f>$F$227</f>
        <v/>
      </c>
    </row>
    <row r="281">
      <c r="B281" s="21" t="inlineStr">
        <is>
          <t>מדחסי VSD — 150 kW</t>
        </is>
      </c>
      <c r="C281" s="50">
        <f>$F$264</f>
        <v/>
      </c>
      <c r="D281" s="51">
        <f>$F$265</f>
        <v/>
      </c>
      <c r="E281" s="52">
        <f>$F$266</f>
        <v/>
      </c>
      <c r="F281" s="60">
        <f>$F$268</f>
        <v/>
      </c>
      <c r="G281" s="62">
        <f>$F$269</f>
        <v/>
      </c>
    </row>
    <row r="283">
      <c r="B283" s="63" t="inlineStr">
        <is>
          <t>** ערכי PENDING מתעדכנים אוטומטית עם קבלת הנתונים (שעות משאבות חום, CapEx בסיס משאבות חום, OPEX אחר)</t>
        </is>
      </c>
    </row>
  </sheetData>
  <mergeCells count="53">
    <mergeCell ref="B137:H137"/>
    <mergeCell ref="B19:Z19"/>
    <mergeCell ref="B34:Z34"/>
    <mergeCell ref="B174:Z174"/>
    <mergeCell ref="B9:Z9"/>
    <mergeCell ref="B118:Z118"/>
    <mergeCell ref="B95:H95"/>
    <mergeCell ref="B65:Z65"/>
    <mergeCell ref="B83:Z83"/>
    <mergeCell ref="B158:Z158"/>
    <mergeCell ref="B74:Z74"/>
    <mergeCell ref="B64:Z64"/>
    <mergeCell ref="B221:H221"/>
    <mergeCell ref="B216:Z216"/>
    <mergeCell ref="B160:Z160"/>
    <mergeCell ref="B251:Z251"/>
    <mergeCell ref="B76:Z76"/>
    <mergeCell ref="B189:Z189"/>
    <mergeCell ref="B63:Z63"/>
    <mergeCell ref="B41:Z41"/>
    <mergeCell ref="B16:H16"/>
    <mergeCell ref="B32:Z32"/>
    <mergeCell ref="B106:Z106"/>
    <mergeCell ref="B242:Z242"/>
    <mergeCell ref="B233:Z233"/>
    <mergeCell ref="B209:Z209"/>
    <mergeCell ref="B273:H273"/>
    <mergeCell ref="B200:Z200"/>
    <mergeCell ref="B125:Z125"/>
    <mergeCell ref="B190:Z190"/>
    <mergeCell ref="B191:Z191"/>
    <mergeCell ref="B90:Z90"/>
    <mergeCell ref="B232:Z232"/>
    <mergeCell ref="B22:Z22"/>
    <mergeCell ref="B263:H263"/>
    <mergeCell ref="B202:Z202"/>
    <mergeCell ref="B105:Z105"/>
    <mergeCell ref="B149:Z149"/>
    <mergeCell ref="B11:H11"/>
    <mergeCell ref="B167:Z167"/>
    <mergeCell ref="B21:Z21"/>
    <mergeCell ref="B48:Z48"/>
    <mergeCell ref="B179:H179"/>
    <mergeCell ref="B231:Z231"/>
    <mergeCell ref="B244:Z244"/>
    <mergeCell ref="B107:Z107"/>
    <mergeCell ref="B53:H53"/>
    <mergeCell ref="B23:Z23"/>
    <mergeCell ref="B132:Z132"/>
    <mergeCell ref="B148:Z148"/>
    <mergeCell ref="B258:Z258"/>
    <mergeCell ref="B147:Z147"/>
    <mergeCell ref="B116:Z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2026-07-13T12:48:06Z</dcterms:created>
  <dcterms:modified xsi:type="dcterms:W3CDTF">2026-07-13T12:48:06Z</dcterms:modified>
</cp:coreProperties>
</file>