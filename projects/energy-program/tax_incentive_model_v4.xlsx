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נתונים והנחות" sheetId="1" state="visible" r:id="rId1"/>
    <sheet name="ניתו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#,##0.000"/>
    <numFmt numFmtId="166" formatCode="#,##0&quot; ₪&quot;"/>
    <numFmt numFmtId="167" formatCode="0.0&quot;×&quot;"/>
    <numFmt numFmtId="168" formatCode="0.0"/>
    <numFmt numFmtId="169" formatCode="#,##0&quot; kW&quot;"/>
    <numFmt numFmtId="170" formatCode="#,##0&quot; RT&quot;"/>
    <numFmt numFmtId="171" formatCode="0.00&quot; kW/ton&quot;"/>
    <numFmt numFmtId="172" formatCode="0.0&quot; kW/100cfm&quot;"/>
    <numFmt numFmtId="173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95959"/>
      <sz val="9"/>
    </font>
    <font>
      <name val="Arial"/>
      <i val="1"/>
      <color rgb="00FFFFFF"/>
      <sz val="9"/>
    </font>
    <font>
      <name val="Arial"/>
      <b val="1"/>
      <color rgb="00C00000"/>
      <sz val="14"/>
    </font>
    <font>
      <name val="Arial"/>
      <b val="1"/>
      <color rgb="00FFFFFF"/>
      <sz val="9"/>
    </font>
    <font>
      <name val="Arial"/>
      <b val="1"/>
      <sz val="10"/>
    </font>
    <font>
      <name val="Arial"/>
      <b val="1"/>
      <color rgb="00FFFFFF"/>
      <sz val="13"/>
    </font>
    <font>
      <name val="Arial"/>
      <b val="1"/>
      <color rgb="00C00000"/>
      <sz val="13"/>
    </font>
    <font>
      <name val="Arial"/>
      <b val="1"/>
      <color rgb="00FFFFFF"/>
      <sz val="10"/>
    </font>
    <font>
      <name val="Arial"/>
      <i val="1"/>
      <color rgb="00FF0000"/>
      <sz val="9"/>
    </font>
  </fonts>
  <fills count="1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FC000"/>
      </patternFill>
    </fill>
    <fill>
      <patternFill patternType="solid">
        <fgColor rgb="00C6E0B4"/>
      </patternFill>
    </fill>
    <fill>
      <patternFill patternType="solid">
        <fgColor rgb="00FCE4D6"/>
      </patternFill>
    </fill>
    <fill>
      <patternFill patternType="solid">
        <fgColor rgb="001F4E79"/>
      </patternFill>
    </fill>
    <fill>
      <patternFill patternType="solid">
        <fgColor rgb="00FF6B6B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538135"/>
      </patternFill>
    </fill>
    <fill>
      <patternFill patternType="solid">
        <fgColor rgb="002E75B6"/>
      </patternFill>
    </fill>
    <fill>
      <patternFill patternType="solid">
        <fgColor rgb="007B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right" vertical="center" readingOrder="2"/>
    </xf>
    <xf numFmtId="0" fontId="2" fillId="3" borderId="0" applyAlignment="1" pivotButton="0" quotePrefix="0" xfId="0">
      <alignment horizontal="right" vertical="center" readingOrder="2"/>
    </xf>
    <xf numFmtId="0" fontId="2" fillId="4" borderId="0" applyAlignment="1" pivotButton="0" quotePrefix="0" xfId="0">
      <alignment horizontal="right" vertical="center" readingOrder="2"/>
    </xf>
    <xf numFmtId="0" fontId="2" fillId="5" borderId="0" applyAlignment="1" pivotButton="0" quotePrefix="0" xfId="0">
      <alignment horizontal="right" vertical="center" readingOrder="2"/>
    </xf>
    <xf numFmtId="0" fontId="3" fillId="6" borderId="0" applyAlignment="1" pivotButton="0" quotePrefix="0" xfId="0">
      <alignment horizontal="right" vertical="center" readingOrder="2"/>
    </xf>
    <xf numFmtId="0" fontId="0" fillId="0" borderId="0" applyAlignment="1" pivotButton="0" quotePrefix="0" xfId="0">
      <alignment horizontal="right" vertical="center" readingOrder="2"/>
    </xf>
    <xf numFmtId="164" fontId="0" fillId="3" borderId="0" applyAlignment="1" pivotButton="0" quotePrefix="0" xfId="0">
      <alignment horizontal="center" vertical="center" readingOrder="2"/>
    </xf>
    <xf numFmtId="164" fontId="0" fillId="4" borderId="0" applyAlignment="1" pivotButton="0" quotePrefix="0" xfId="0">
      <alignment horizontal="center" vertical="center" readingOrder="2"/>
    </xf>
    <xf numFmtId="0" fontId="4" fillId="0" borderId="0" applyAlignment="1" pivotButton="0" quotePrefix="0" xfId="0">
      <alignment horizontal="right" vertical="center" wrapText="1" readingOrder="2"/>
    </xf>
    <xf numFmtId="4" fontId="0" fillId="4" borderId="0" applyAlignment="1" pivotButton="0" quotePrefix="0" xfId="0">
      <alignment horizontal="center" vertical="center" readingOrder="2"/>
    </xf>
    <xf numFmtId="0" fontId="4" fillId="0" borderId="0" applyAlignment="1" pivotButton="0" quotePrefix="0" xfId="0">
      <alignment horizontal="right" vertical="center" readingOrder="2"/>
    </xf>
    <xf numFmtId="0" fontId="0" fillId="0" borderId="0" applyAlignment="1" pivotButton="0" quotePrefix="0" xfId="0">
      <alignment horizontal="right" vertical="center" wrapText="1" readingOrder="2"/>
    </xf>
    <xf numFmtId="165" fontId="0" fillId="0" borderId="0" applyAlignment="1" pivotButton="0" quotePrefix="0" xfId="0">
      <alignment horizontal="center" vertical="center" readingOrder="2"/>
    </xf>
    <xf numFmtId="166" fontId="0" fillId="0" borderId="0" applyAlignment="1" pivotButton="0" quotePrefix="0" xfId="0">
      <alignment horizontal="center" vertical="center" readingOrder="2"/>
    </xf>
    <xf numFmtId="0" fontId="3" fillId="7" borderId="0" applyAlignment="1" pivotButton="0" quotePrefix="0" xfId="0">
      <alignment horizontal="right" vertical="center" readingOrder="2"/>
    </xf>
    <xf numFmtId="0" fontId="3" fillId="7" borderId="0" applyAlignment="1" pivotButton="0" quotePrefix="0" xfId="0">
      <alignment horizontal="center" vertical="center" readingOrder="2"/>
    </xf>
    <xf numFmtId="0" fontId="5" fillId="7" borderId="0" applyAlignment="1" pivotButton="0" quotePrefix="0" xfId="0">
      <alignment horizontal="right" vertical="center" readingOrder="2"/>
    </xf>
    <xf numFmtId="167" fontId="6" fillId="2" borderId="0" applyAlignment="1" pivotButton="0" quotePrefix="0" xfId="0">
      <alignment horizontal="center" vertical="center" readingOrder="2"/>
    </xf>
    <xf numFmtId="168" fontId="0" fillId="2" borderId="0" applyAlignment="1" pivotButton="0" quotePrefix="0" xfId="0">
      <alignment horizontal="center" vertical="center" readingOrder="2"/>
    </xf>
    <xf numFmtId="0" fontId="2" fillId="0" borderId="0" applyAlignment="1" pivotButton="0" quotePrefix="0" xfId="0">
      <alignment horizontal="right" vertical="center" readingOrder="2"/>
    </xf>
    <xf numFmtId="164" fontId="0" fillId="0" borderId="0" applyAlignment="1" pivotButton="0" quotePrefix="0" xfId="0">
      <alignment horizontal="center" vertical="center" readingOrder="2"/>
    </xf>
    <xf numFmtId="0" fontId="1" fillId="8" borderId="0" applyAlignment="1" pivotButton="0" quotePrefix="0" xfId="0">
      <alignment horizontal="center" vertical="center" readingOrder="2"/>
    </xf>
    <xf numFmtId="0" fontId="7" fillId="6" borderId="0" applyAlignment="1" pivotButton="0" quotePrefix="0" xfId="0">
      <alignment horizontal="center" vertical="center" readingOrder="2"/>
    </xf>
    <xf numFmtId="0" fontId="4" fillId="0" borderId="0" applyAlignment="1" pivotButton="0" quotePrefix="0" xfId="0">
      <alignment horizontal="center" vertical="center" readingOrder="2"/>
    </xf>
    <xf numFmtId="169" fontId="0" fillId="3" borderId="0" applyAlignment="1" pivotButton="0" quotePrefix="0" xfId="0">
      <alignment horizontal="center" vertical="center" readingOrder="2"/>
    </xf>
    <xf numFmtId="170" fontId="0" fillId="3" borderId="0" applyAlignment="1" pivotButton="0" quotePrefix="0" xfId="0">
      <alignment horizontal="center" vertical="center" readingOrder="2"/>
    </xf>
    <xf numFmtId="3" fontId="0" fillId="3" borderId="0" applyAlignment="1" pivotButton="0" quotePrefix="0" xfId="0">
      <alignment horizontal="center" vertical="center" readingOrder="2"/>
    </xf>
    <xf numFmtId="2" fontId="0" fillId="3" borderId="0" applyAlignment="1" pivotButton="0" quotePrefix="0" xfId="0">
      <alignment horizontal="center" vertical="center" readingOrder="2"/>
    </xf>
    <xf numFmtId="2" fontId="0" fillId="4" borderId="0" applyAlignment="1" pivotButton="0" quotePrefix="0" xfId="0">
      <alignment horizontal="center" vertical="center" readingOrder="2"/>
    </xf>
    <xf numFmtId="171" fontId="0" fillId="3" borderId="0" applyAlignment="1" pivotButton="0" quotePrefix="0" xfId="0">
      <alignment horizontal="center" vertical="center" readingOrder="2"/>
    </xf>
    <xf numFmtId="172" fontId="0" fillId="3" borderId="0" applyAlignment="1" pivotButton="0" quotePrefix="0" xfId="0">
      <alignment horizontal="center" vertical="center" readingOrder="2"/>
    </xf>
    <xf numFmtId="3" fontId="0" fillId="0" borderId="0" applyAlignment="1" pivotButton="0" quotePrefix="0" xfId="0">
      <alignment horizontal="center" vertical="center" readingOrder="2"/>
    </xf>
    <xf numFmtId="166" fontId="0" fillId="5" borderId="0" applyAlignment="1" pivotButton="0" quotePrefix="0" xfId="0">
      <alignment horizontal="center" vertical="center" readingOrder="2"/>
    </xf>
    <xf numFmtId="168" fontId="0" fillId="3" borderId="0" applyAlignment="1" pivotButton="0" quotePrefix="0" xfId="0">
      <alignment horizontal="center" vertical="center" readingOrder="2"/>
    </xf>
    <xf numFmtId="164" fontId="0" fillId="2" borderId="0" applyAlignment="1" pivotButton="0" quotePrefix="0" xfId="0">
      <alignment horizontal="center" vertical="center" readingOrder="2"/>
    </xf>
    <xf numFmtId="0" fontId="8" fillId="0" borderId="0" applyAlignment="1" pivotButton="0" quotePrefix="0" xfId="0">
      <alignment horizontal="right" vertical="center" readingOrder="2"/>
    </xf>
    <xf numFmtId="0" fontId="0" fillId="0" borderId="0" applyAlignment="1" pivotButton="0" quotePrefix="0" xfId="0">
      <alignment horizontal="center" vertical="center" readingOrder="2"/>
    </xf>
    <xf numFmtId="2" fontId="0" fillId="0" borderId="0" applyAlignment="1" pivotButton="0" quotePrefix="0" xfId="0">
      <alignment horizontal="center" vertical="center" readingOrder="2"/>
    </xf>
    <xf numFmtId="173" fontId="0" fillId="0" borderId="0" applyAlignment="1" pivotButton="0" quotePrefix="0" xfId="0">
      <alignment horizontal="center" vertical="center" readingOrder="2"/>
    </xf>
    <xf numFmtId="0" fontId="9" fillId="6" borderId="0" applyAlignment="1" pivotButton="0" quotePrefix="0" xfId="0">
      <alignment horizontal="right" vertical="center" readingOrder="2"/>
    </xf>
    <xf numFmtId="167" fontId="10" fillId="2" borderId="0" applyAlignment="1" pivotButton="0" quotePrefix="0" xfId="0">
      <alignment horizontal="center" vertical="center" readingOrder="2"/>
    </xf>
    <xf numFmtId="0" fontId="1" fillId="8" borderId="0" applyAlignment="1" pivotButton="0" quotePrefix="0" xfId="0">
      <alignment horizontal="right" vertical="center" readingOrder="2"/>
    </xf>
    <xf numFmtId="0" fontId="2" fillId="9" borderId="0" applyAlignment="1" pivotButton="0" quotePrefix="0" xfId="0">
      <alignment horizontal="right" vertical="center" readingOrder="2"/>
    </xf>
    <xf numFmtId="166" fontId="0" fillId="9" borderId="0" applyAlignment="1" pivotButton="0" quotePrefix="0" xfId="0">
      <alignment horizontal="center" vertical="center" readingOrder="2"/>
    </xf>
    <xf numFmtId="0" fontId="2" fillId="10" borderId="0" applyAlignment="1" pivotButton="0" quotePrefix="0" xfId="0">
      <alignment horizontal="right" vertical="center" readingOrder="2"/>
    </xf>
    <xf numFmtId="166" fontId="0" fillId="10" borderId="0" applyAlignment="1" pivotButton="0" quotePrefix="0" xfId="0">
      <alignment horizontal="center" vertical="center" readingOrder="2"/>
    </xf>
    <xf numFmtId="0" fontId="2" fillId="11" borderId="0" applyAlignment="1" pivotButton="0" quotePrefix="0" xfId="0">
      <alignment horizontal="right" vertical="center" readingOrder="2"/>
    </xf>
    <xf numFmtId="166" fontId="0" fillId="11" borderId="0" applyAlignment="1" pivotButton="0" quotePrefix="0" xfId="0">
      <alignment horizontal="center" vertical="center" readingOrder="2"/>
    </xf>
    <xf numFmtId="0" fontId="11" fillId="12" borderId="0" applyAlignment="1" pivotButton="0" quotePrefix="0" xfId="0">
      <alignment horizontal="right" vertical="center" readingOrder="2"/>
    </xf>
    <xf numFmtId="0" fontId="11" fillId="13" borderId="0" applyAlignment="1" pivotButton="0" quotePrefix="0" xfId="0">
      <alignment horizontal="right" vertical="center" readingOrder="2"/>
    </xf>
    <xf numFmtId="0" fontId="11" fillId="14" borderId="0" applyAlignment="1" pivotButton="0" quotePrefix="0" xfId="0">
      <alignment horizontal="right" vertical="center" readingOrder="2"/>
    </xf>
    <xf numFmtId="0" fontId="8" fillId="9" borderId="0" applyAlignment="1" pivotButton="0" quotePrefix="0" xfId="0">
      <alignment horizontal="right" vertical="center" readingOrder="2"/>
    </xf>
    <xf numFmtId="0" fontId="8" fillId="10" borderId="0" applyAlignment="1" pivotButton="0" quotePrefix="0" xfId="0">
      <alignment horizontal="right" vertical="center" readingOrder="2"/>
    </xf>
    <xf numFmtId="0" fontId="8" fillId="11" borderId="0" applyAlignment="1" pivotButton="0" quotePrefix="0" xfId="0">
      <alignment horizontal="right" vertical="center" readingOrder="2"/>
    </xf>
    <xf numFmtId="0" fontId="8" fillId="2" borderId="0" applyAlignment="1" pivotButton="0" quotePrefix="0" xfId="0">
      <alignment horizontal="right" vertical="center" readingOrder="2"/>
    </xf>
    <xf numFmtId="166" fontId="0" fillId="2" borderId="0" applyAlignment="1" pivotButton="0" quotePrefix="0" xfId="0">
      <alignment horizontal="center" vertical="center" readingOrder="2"/>
    </xf>
    <xf numFmtId="0" fontId="8" fillId="7" borderId="0" applyAlignment="1" pivotButton="0" quotePrefix="0" xfId="0">
      <alignment horizontal="right" vertical="center" readingOrder="2"/>
    </xf>
    <xf numFmtId="166" fontId="0" fillId="7" borderId="0" applyAlignment="1" pivotButton="0" quotePrefix="0" xfId="0">
      <alignment horizontal="center" vertical="center" readingOrder="2"/>
    </xf>
    <xf numFmtId="168" fontId="0" fillId="10" borderId="0" applyAlignment="1" pivotButton="0" quotePrefix="0" xfId="0">
      <alignment horizontal="center" vertical="center" readingOrder="2"/>
    </xf>
    <xf numFmtId="168" fontId="0" fillId="11" borderId="0" applyAlignment="1" pivotButton="0" quotePrefix="0" xfId="0">
      <alignment horizontal="center" vertical="center" readingOrder="2"/>
    </xf>
    <xf numFmtId="0" fontId="2" fillId="7" borderId="0" applyAlignment="1" pivotButton="0" quotePrefix="0" xfId="0">
      <alignment horizontal="right" vertical="center" readingOrder="2"/>
    </xf>
    <xf numFmtId="168" fontId="0" fillId="0" borderId="0" applyAlignment="1" pivotButton="0" quotePrefix="0" xfId="0">
      <alignment horizontal="center" vertical="center" readingOrder="2"/>
    </xf>
    <xf numFmtId="0" fontId="11" fillId="7" borderId="0" applyAlignment="1" pivotButton="0" quotePrefix="0" xfId="0">
      <alignment horizontal="right" vertical="center" readingOrder="2"/>
    </xf>
    <xf numFmtId="0" fontId="12" fillId="0" borderId="0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71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3" customWidth="1" min="3" max="3"/>
    <col width="30" customWidth="1" min="4" max="4"/>
    <col width="34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B1" s="1" t="inlineStr">
        <is>
          <t>מקרא צבעים</t>
        </is>
      </c>
    </row>
    <row r="2">
      <c r="B2" s="2" t="inlineStr">
        <is>
          <t>ערך להזנה / ממתין לנתונים</t>
        </is>
      </c>
    </row>
    <row r="3">
      <c r="B3" s="3" t="inlineStr">
        <is>
          <t>נתון לעדכון / בקרה</t>
        </is>
      </c>
    </row>
    <row r="4">
      <c r="B4" s="4" t="inlineStr">
        <is>
          <t>נתון ממקור אמיתי</t>
        </is>
      </c>
    </row>
    <row r="5">
      <c r="B5" s="5" t="inlineStr">
        <is>
          <t>נתון מוערך/נגזר (עם מקור)</t>
        </is>
      </c>
    </row>
    <row r="9">
      <c r="B9" s="6" t="inlineStr">
        <is>
          <t>1. פרמטרים פיננסיים</t>
        </is>
      </c>
    </row>
    <row r="10">
      <c r="B10" s="3" t="inlineStr">
        <is>
          <t>שיעור מס חברות</t>
        </is>
      </c>
      <c r="C10" s="7" t="inlineStr">
        <is>
          <t>%</t>
        </is>
      </c>
      <c r="D10" s="7" t="inlineStr">
        <is>
          <t>רשות המסים</t>
        </is>
      </c>
      <c r="F10" s="8" t="n">
        <v>0.23</v>
      </c>
    </row>
    <row r="11">
      <c r="B11" s="4" t="inlineStr">
        <is>
          <t>שיעור היוון (יזמי / פרטי)</t>
        </is>
      </c>
      <c r="C11" s="7" t="inlineStr">
        <is>
          <t>%</t>
        </is>
      </c>
      <c r="D11" s="7" t="inlineStr">
        <is>
          <t>סוכם עם דניאל</t>
        </is>
      </c>
      <c r="F11" s="9" t="n">
        <v>0.06</v>
      </c>
    </row>
    <row r="12">
      <c r="B12" s="4" t="inlineStr">
        <is>
          <t>מחיר חשמל ממוצע לתעשייה</t>
        </is>
      </c>
      <c r="C12" s="7" t="inlineStr">
        <is>
          <t>אג'/קוט"ש</t>
        </is>
      </c>
      <c r="D12" s="7" t="inlineStr">
        <is>
          <t>חברת החשמל - מחירי התעו"ז במתח גבוה</t>
        </is>
      </c>
      <c r="E12" s="10" t="inlineStr">
        <is>
          <t>ממוצע משוקלל לפי שעות תעו"ז; בתוקף מ-01.07.2026</t>
        </is>
      </c>
      <c r="F12" s="11">
        <f>F71</f>
        <v/>
      </c>
    </row>
    <row r="13">
      <c r="B13" s="6" t="inlineStr">
        <is>
          <t>1ב. מחירי דלקים ומקדמי המרה (הקשר בלבד -- לא בשימוש בחישוב הפעיל; הבסיס למשאבות חום הוא כעת חשמלי, ראו סעיף 4)</t>
        </is>
      </c>
    </row>
    <row r="14">
      <c r="B14" s="12" t="inlineStr">
        <is>
          <t>מחיר סולר בתעשייה (בתוספת מרווח שיווק)</t>
        </is>
      </c>
      <c r="C14" s="7" t="inlineStr">
        <is>
          <t>₪/ליטר</t>
        </is>
      </c>
      <c r="D14" s="13" t="inlineStr">
        <is>
          <t>משרד האנרגיה — מחירים תיאורטיים 2024</t>
        </is>
      </c>
      <c r="F14" s="14" t="n">
        <v>2.59368</v>
      </c>
    </row>
    <row r="15">
      <c r="B15" s="12" t="inlineStr">
        <is>
          <t>מחיר מזוט בתעשייה (בתוספת מרווח שיווק)</t>
        </is>
      </c>
      <c r="C15" s="7" t="inlineStr">
        <is>
          <t>₪/טון</t>
        </is>
      </c>
      <c r="D15" s="13" t="inlineStr">
        <is>
          <t>משרד האנרגיה — מחירים תיאורטיים 2024</t>
        </is>
      </c>
      <c r="F15" s="15" t="n">
        <v>2344.72</v>
      </c>
    </row>
    <row r="16">
      <c r="B16" s="12" t="inlineStr">
        <is>
          <t>יחס קלורי — סולר</t>
        </is>
      </c>
      <c r="C16" s="7" t="inlineStr">
        <is>
          <t>טון דלק/MWh</t>
        </is>
      </c>
      <c r="D16" s="13" t="inlineStr">
        <is>
          <t>MRV</t>
        </is>
      </c>
      <c r="F16" s="14" t="n">
        <v>0.08500000000000001</v>
      </c>
    </row>
    <row r="17">
      <c r="B17" s="12" t="inlineStr">
        <is>
          <t>יחס קלורי — מזוט</t>
        </is>
      </c>
      <c r="C17" s="7" t="inlineStr">
        <is>
          <t>טון דלק/MWh</t>
        </is>
      </c>
      <c r="D17" s="13" t="inlineStr">
        <is>
          <t>MRV</t>
        </is>
      </c>
      <c r="F17" s="14" t="n">
        <v>0.08799999999999999</v>
      </c>
    </row>
    <row r="18">
      <c r="B18" s="12" t="inlineStr">
        <is>
          <t>צפיפות סולר</t>
        </is>
      </c>
      <c r="C18" s="7" t="inlineStr">
        <is>
          <t>ק"ג/ליטר</t>
        </is>
      </c>
      <c r="D18" s="13" t="inlineStr">
        <is>
          <t>MRV</t>
        </is>
      </c>
      <c r="F18" s="14" t="n">
        <v>0.82</v>
      </c>
    </row>
    <row r="19">
      <c r="B19" s="6" t="inlineStr">
        <is>
          <t>2. פרמטר תמריץ — מכפיל פחת (פחת מואץ)</t>
        </is>
      </c>
    </row>
    <row r="20">
      <c r="B20" s="16" t="inlineStr">
        <is>
          <t>מכפיל שיעור הפחת  ←  פרמטר המדיניות המרכזי</t>
        </is>
      </c>
      <c r="C20" s="17" t="inlineStr">
        <is>
          <t>מכפיל</t>
        </is>
      </c>
      <c r="E20" s="18" t="inlineStr">
        <is>
          <t>1.0 = ללא תמריץ | 2.0 = כפול, 5 שנים | 5.0 = 2 שנים</t>
        </is>
      </c>
      <c r="F20" s="19" t="n">
        <v>2</v>
      </c>
    </row>
    <row r="21">
      <c r="B21" s="2" t="inlineStr">
        <is>
          <t>סף החזר השקעה (שנים) — קריטריון אימוץ</t>
        </is>
      </c>
      <c r="C21" s="7" t="inlineStr">
        <is>
          <t>שנים</t>
        </is>
      </c>
      <c r="D21" s="7" t="inlineStr">
        <is>
          <t>פרמטר ניתן לשינוי</t>
        </is>
      </c>
      <c r="E21" s="10" t="inlineStr">
        <is>
          <t>סף אימוץ עסקי — תקופת החזר על תזרים מהוון עודף (יעיל מול בסיסי)</t>
        </is>
      </c>
      <c r="F21" s="20" t="n">
        <v>3</v>
      </c>
    </row>
    <row r="22">
      <c r="B22" s="6" t="inlineStr">
        <is>
          <t>3. שיעורי פחת סטנדרטיים — תקנות מס הכנסה</t>
        </is>
      </c>
    </row>
    <row r="23">
      <c r="B23" s="21" t="inlineStr">
        <is>
          <t>משאבות חום</t>
        </is>
      </c>
      <c r="C23" s="7" t="inlineStr">
        <is>
          <t>% לשנה</t>
        </is>
      </c>
      <c r="D23" s="7" t="inlineStr">
        <is>
          <t>תקנות פחת — ציוד מכני</t>
        </is>
      </c>
      <c r="F23" s="22" t="n">
        <v>0.1</v>
      </c>
    </row>
    <row r="24">
      <c r="B24" s="21" t="inlineStr">
        <is>
          <t>צ'ילרים</t>
        </is>
      </c>
      <c r="C24" s="7" t="inlineStr">
        <is>
          <t>% לשנה</t>
        </is>
      </c>
      <c r="D24" s="7" t="inlineStr">
        <is>
          <t>תקנות פחת — ציוד מכני</t>
        </is>
      </c>
      <c r="F24" s="22" t="n">
        <v>0.1</v>
      </c>
    </row>
    <row r="25">
      <c r="B25" s="21" t="inlineStr">
        <is>
          <t>מדחסי VSD</t>
        </is>
      </c>
      <c r="C25" s="7" t="inlineStr">
        <is>
          <t>% לשנה</t>
        </is>
      </c>
      <c r="D25" s="7" t="inlineStr">
        <is>
          <t>תקנות פחת — ציוד מכני</t>
        </is>
      </c>
      <c r="F25" s="22" t="n">
        <v>0.1</v>
      </c>
    </row>
    <row r="26">
      <c r="B26" s="6" t="inlineStr">
        <is>
          <t>4. הנחות לפי טכנולוגיה — נקודת קיבולת אחת ממוצעת לכל טכנולוגיה (עודכן 2026-08-12, ראו decisions/log.md)</t>
        </is>
      </c>
    </row>
    <row r="27">
      <c r="B27" s="23" t="inlineStr">
        <is>
          <t>פרמטר</t>
        </is>
      </c>
      <c r="C27" s="23" t="inlineStr">
        <is>
          <t>יחידות</t>
        </is>
      </c>
      <c r="D27" s="23" t="inlineStr">
        <is>
          <t>מקור</t>
        </is>
      </c>
      <c r="E27" s="23" t="inlineStr">
        <is>
          <t>הערות</t>
        </is>
      </c>
      <c r="F27" s="24" t="inlineStr">
        <is>
          <t>משאבות חום — 55 kW</t>
        </is>
      </c>
      <c r="G27" s="24" t="inlineStr">
        <is>
          <t>צ'ילרים — 300 RT</t>
        </is>
      </c>
      <c r="H27" s="24" t="inlineStr">
        <is>
          <t>מדחסי VSD — 97.5 kW</t>
        </is>
      </c>
    </row>
    <row r="28">
      <c r="F28" s="25" t="inlineStr">
        <is>
          <t>vs. משאבת חום סטנדרטית — 55 kW</t>
        </is>
      </c>
      <c r="G28" s="25" t="inlineStr">
        <is>
          <t>vs. מערכת קירור קונבנציונלית — 300 RT</t>
        </is>
      </c>
      <c r="H28" s="25" t="inlineStr">
        <is>
          <t>vs. מדחס מהירות קבועה — 97.5 kW</t>
        </is>
      </c>
    </row>
    <row r="29">
      <c r="B29" s="21" t="inlineStr">
        <is>
          <t>קיבולת מותקנת (ממוצע משתי נקודות הקיבולת הקודמות)</t>
        </is>
      </c>
      <c r="C29" s="7" t="inlineStr">
        <is>
          <t>kW / RT</t>
        </is>
      </c>
      <c r="D29" s="13" t="inlineStr">
        <is>
          <t>2026-08-12-morning-model-fixes.md</t>
        </is>
      </c>
      <c r="F29" s="26" t="n">
        <v>55</v>
      </c>
      <c r="G29" s="27" t="n">
        <v>300</v>
      </c>
      <c r="H29" s="26" t="n">
        <v>97.5</v>
      </c>
    </row>
    <row r="30">
      <c r="B30" s="21" t="inlineStr">
        <is>
          <t>שעות פעילות שנתיות</t>
        </is>
      </c>
      <c r="C30" s="7" t="inlineStr">
        <is>
          <t>שעות/שנה</t>
        </is>
      </c>
      <c r="D30" s="13" t="inlineStr">
        <is>
          <t>ראו הערות לפי טכנולוגיה</t>
        </is>
      </c>
      <c r="E30" s="10" t="inlineStr">
        <is>
          <t>משאבות חום: 5,475 (רפי) | צ'ילרים: 3,000 (מספר עבודה) | VSD: 5,000 (רפי)</t>
        </is>
      </c>
      <c r="F30" s="28" t="n">
        <v>5475</v>
      </c>
      <c r="G30" s="28" t="n">
        <v>3000</v>
      </c>
      <c r="H30" s="28" t="n">
        <v>5000</v>
      </c>
    </row>
    <row r="31">
      <c r="B31" s="21" t="inlineStr">
        <is>
          <t>COP — משאבת חום (יעיל)</t>
        </is>
      </c>
      <c r="C31" s="7" t="inlineStr">
        <is>
          <t>יחס</t>
        </is>
      </c>
      <c r="D31" s="13" t="inlineStr">
        <is>
          <t>Sprsun — ממוצע 2 המוצרים</t>
        </is>
      </c>
      <c r="E31" s="10" t="inlineStr">
        <is>
          <t>משאבות חום בלבד</t>
        </is>
      </c>
      <c r="F31" s="29" t="n">
        <v>3.68</v>
      </c>
    </row>
    <row r="32">
      <c r="B32" s="21" t="inlineStr">
        <is>
          <t>COP — משאבת חום (בסיסי, תקן מינימלי)</t>
        </is>
      </c>
      <c r="C32" s="7" t="inlineStr">
        <is>
          <t>יחס</t>
        </is>
      </c>
      <c r="D32" s="13" t="inlineStr">
        <is>
          <t>DOE FEMP / ASHRAE 90.1-2019</t>
        </is>
      </c>
      <c r="E32" s="10" t="inlineStr">
        <is>
          <t>משאבות חום בלבד — עודכן 2026-08-12, הבסיס כעת משאבת חום סטנדרטית, לא תנור</t>
        </is>
      </c>
      <c r="F32" s="30" t="n">
        <v>3.3</v>
      </c>
    </row>
    <row r="34">
      <c r="B34" s="21" t="inlineStr">
        <is>
          <t>יעילות אנרגטית — בסיסי</t>
        </is>
      </c>
      <c r="C34" s="7" t="inlineStr">
        <is>
          <t>kW/ton | kW/100cfm</t>
        </is>
      </c>
      <c r="D34" s="13" t="inlineStr">
        <is>
          <t>צ'ילר: ASHRAE 90.1 | VSD: CAGI</t>
        </is>
      </c>
      <c r="E34" s="10" t="inlineStr">
        <is>
          <t>צ'ילרים/VSD בלבד</t>
        </is>
      </c>
      <c r="G34" s="31" t="n">
        <v>0.775</v>
      </c>
      <c r="H34" s="32" t="n">
        <v>21.5</v>
      </c>
    </row>
    <row r="35">
      <c r="B35" s="21" t="inlineStr">
        <is>
          <t>יעילות אנרגטית — יעיל</t>
        </is>
      </c>
      <c r="C35" s="7" t="inlineStr">
        <is>
          <t>kW/ton | kW/100cfm</t>
        </is>
      </c>
      <c r="D35" s="13" t="inlineStr">
        <is>
          <t>צ'ילר: DOE FEMP | VSD: CAGI</t>
        </is>
      </c>
      <c r="E35" s="10" t="inlineStr">
        <is>
          <t>צ'ילרים/VSD בלבד</t>
        </is>
      </c>
      <c r="G35" s="31" t="n">
        <v>0.64</v>
      </c>
      <c r="H35" s="32" t="n">
        <v>16.5</v>
      </c>
    </row>
    <row r="36">
      <c r="B36" s="21" t="inlineStr">
        <is>
          <t>חיסכון אנרגטי (מחושב)</t>
        </is>
      </c>
      <c r="C36" s="7" t="inlineStr">
        <is>
          <t>% מצריכה</t>
        </is>
      </c>
      <c r="D36" s="13" t="inlineStr">
        <is>
          <t>חישוב</t>
        </is>
      </c>
      <c r="E36" s="10" t="inlineStr">
        <is>
          <t>כל הטכנולוגיות</t>
        </is>
      </c>
      <c r="F36" s="22">
        <f>IF(AND(ISNUMBER(F32),ISNUMBER(F31)),(F31-F32)/F31,"PENDING")</f>
        <v/>
      </c>
      <c r="G36" s="22">
        <f>IF(AND(ISNUMBER(G34),ISNUMBER(G35)),(G34-G35)/G34,"PENDING")</f>
        <v/>
      </c>
      <c r="H36" s="22">
        <f>IF(AND(ISNUMBER(H34),ISNUMBER(H35)),(H34-H35)/H34,"PENDING")</f>
        <v/>
      </c>
    </row>
    <row r="37">
      <c r="B37" s="21" t="inlineStr">
        <is>
          <t>צריכת חשמל שנתית — בסיסי</t>
        </is>
      </c>
      <c r="C37" s="7" t="inlineStr">
        <is>
          <t>קוט"ש/שנה</t>
        </is>
      </c>
      <c r="D37" s="13" t="inlineStr">
        <is>
          <t>חישוב</t>
        </is>
      </c>
      <c r="E37" s="10" t="inlineStr">
        <is>
          <t>הצד הבסיסי כעת תמיד חשמלי</t>
        </is>
      </c>
      <c r="F37" s="33">
        <f>IF(AND(ISNUMBER(F29),ISNUMBER(F30),ISNUMBER(F32)),F29*F30/F32,"PENDING")</f>
        <v/>
      </c>
      <c r="G37" s="33">
        <f>IF(AND(ISNUMBER(G29),ISNUMBER(G30),ISNUMBER(G34)),G29*G34*G30,"PENDING")</f>
        <v/>
      </c>
      <c r="H37" s="33">
        <f>IF(AND(ISNUMBER(H29),ISNUMBER(H30)),H29*H30,"PENDING")</f>
        <v/>
      </c>
    </row>
    <row r="38">
      <c r="B38" s="21" t="inlineStr">
        <is>
          <t>צריכת חשמל שנתית — יעיל</t>
        </is>
      </c>
      <c r="C38" s="7" t="inlineStr">
        <is>
          <t>קוט"ש/שנה</t>
        </is>
      </c>
      <c r="D38" s="13" t="inlineStr">
        <is>
          <t>חישוב</t>
        </is>
      </c>
      <c r="E38" s="10" t="inlineStr">
        <is>
          <t>הצד היעיל תמיד חשמלי</t>
        </is>
      </c>
      <c r="F38" s="33">
        <f>IF(AND(ISNUMBER(F29),ISNUMBER(F30),ISNUMBER(F31)),F29*F30/F31,"PENDING")</f>
        <v/>
      </c>
      <c r="G38" s="33">
        <f>IF(AND(ISNUMBER(G37),ISNUMBER(G36)),G37*(1-G36),"PENDING")</f>
        <v/>
      </c>
      <c r="H38" s="33">
        <f>IF(AND(ISNUMBER(H37),ISNUMBER(H36)),H37*(1-H36),"PENDING")</f>
        <v/>
      </c>
    </row>
    <row r="40">
      <c r="B40" s="21" t="inlineStr">
        <is>
          <t>CapEx — ציוד בסיסי</t>
        </is>
      </c>
      <c r="C40" s="7" t="inlineStr">
        <is>
          <t>₪</t>
        </is>
      </c>
      <c r="D40" s="13" t="inlineStr">
        <is>
          <t>ראו הערות לפי טכנולוגיה</t>
        </is>
      </c>
      <c r="E40" s="10" t="inlineStr">
        <is>
          <t>צ'ילר: יעיל ÷ 1.175 (פרמיית יעילות 10-25%) | VSD: יעיל ÷ 1.225 (פרמיית VSD 15-30%) | משאבות חום: יעיל ÷ 1.20 (פרמיה מוערכת 15-25%, נגזרת באנלוגיה לצ'ילר/VSD -- אינה מקור ייעודי למשאבות חום, ממתינה לאישור/מספר טוב יותר מרפי)</t>
        </is>
      </c>
      <c r="F40" s="34" t="n">
        <v>48125</v>
      </c>
      <c r="G40" s="34" t="n">
        <v>1068600</v>
      </c>
      <c r="H40" s="34" t="n">
        <v>119340</v>
      </c>
    </row>
    <row r="41">
      <c r="B41" s="21" t="inlineStr">
        <is>
          <t>CapEx — ציוד יעיל</t>
        </is>
      </c>
      <c r="C41" s="7" t="inlineStr">
        <is>
          <t>₪</t>
        </is>
      </c>
      <c r="D41" s="13" t="inlineStr">
        <is>
          <t>ראו הערות לפי טכנולוגיה</t>
        </is>
      </c>
      <c r="E41" s="10" t="inlineStr">
        <is>
          <t>משאבות חום: מענקים ₪1,050/kW | צ'ילר: מענקים חציון ₪4,186/טון | VSD: מענקים חציון ₪1,500/kW (כל השיעורים כבר היו קבועים על פני שתי נקודות הקיבולת הקודמות — לא השתנו בקונסולידציה)</t>
        </is>
      </c>
      <c r="F41" s="34" t="n">
        <v>57750</v>
      </c>
      <c r="G41" s="34" t="n">
        <v>1255800</v>
      </c>
      <c r="H41" s="34" t="n">
        <v>146250</v>
      </c>
    </row>
    <row r="42">
      <c r="B42" s="21" t="inlineStr">
        <is>
          <t>ΔCapEx = יעיל − בסיסי</t>
        </is>
      </c>
      <c r="C42" s="7" t="inlineStr">
        <is>
          <t>₪</t>
        </is>
      </c>
      <c r="D42" s="13" t="inlineStr">
        <is>
          <t>חישוב</t>
        </is>
      </c>
      <c r="F42" s="15">
        <f>IF(ISNUMBER(F41)*ISNUMBER(F40),F41-F40,"PENDING")</f>
        <v/>
      </c>
      <c r="G42" s="15">
        <f>IF(ISNUMBER(G41)*ISNUMBER(G40),G41-G40,"PENDING")</f>
        <v/>
      </c>
      <c r="H42" s="15">
        <f>IF(ISNUMBER(H41)*ISNUMBER(H40),H41-H40,"PENDING")</f>
        <v/>
      </c>
    </row>
    <row r="43">
      <c r="B43" s="21" t="inlineStr">
        <is>
          <t>אורך חיים — ציוד בסיסי</t>
        </is>
      </c>
      <c r="C43" s="7" t="inlineStr">
        <is>
          <t>שנים</t>
        </is>
      </c>
      <c r="D43" s="13" t="inlineStr">
        <is>
          <t>ממצאי הנדסה / הנחת עבודה</t>
        </is>
      </c>
      <c r="F43" s="35" t="n">
        <v>15</v>
      </c>
      <c r="G43" s="35" t="n">
        <v>15</v>
      </c>
      <c r="H43" s="35" t="n">
        <v>12</v>
      </c>
    </row>
    <row r="44">
      <c r="B44" s="21" t="inlineStr">
        <is>
          <t>אורך חיים — ציוד יעיל</t>
        </is>
      </c>
      <c r="C44" s="7" t="inlineStr">
        <is>
          <t>שנים</t>
        </is>
      </c>
      <c r="D44" s="13" t="inlineStr">
        <is>
          <t>ממצאי הנדסה / הנחת עבודה</t>
        </is>
      </c>
      <c r="F44" s="35" t="n">
        <v>10</v>
      </c>
      <c r="G44" s="35" t="n">
        <v>17</v>
      </c>
      <c r="H44" s="35" t="n">
        <v>12</v>
      </c>
    </row>
    <row r="45">
      <c r="B45" s="21" t="inlineStr">
        <is>
          <t>גורם שחיקת ביצועים</t>
        </is>
      </c>
      <c r="C45" s="7" t="inlineStr">
        <is>
          <t>%/שנה</t>
        </is>
      </c>
      <c r="D45" s="13" t="inlineStr">
        <is>
          <t>רפי</t>
        </is>
      </c>
      <c r="F45" s="36" t="n">
        <v>0.005</v>
      </c>
      <c r="G45" s="36" t="n">
        <v>0.005</v>
      </c>
      <c r="H45" s="9" t="n">
        <v>0</v>
      </c>
    </row>
    <row r="46">
      <c r="B46" s="21" t="inlineStr">
        <is>
          <t>OPEX אנרגיה שנה 1 — בסיסי</t>
        </is>
      </c>
      <c r="C46" s="7" t="inlineStr">
        <is>
          <t>₪/שנה</t>
        </is>
      </c>
      <c r="D46" s="13" t="inlineStr">
        <is>
          <t>חישוב</t>
        </is>
      </c>
      <c r="F46" s="15">
        <f>IF(ISNUMBER(F37),F37*'נתונים והנחות'!$F$12/100,"PENDING")</f>
        <v/>
      </c>
      <c r="G46" s="15">
        <f>IF(ISNUMBER(G37),G37*'נתונים והנחות'!$F$12/100,"PENDING")</f>
        <v/>
      </c>
      <c r="H46" s="15">
        <f>IF(ISNUMBER(H37),H37*'נתונים והנחות'!$F$12/100,"PENDING")</f>
        <v/>
      </c>
    </row>
    <row r="47">
      <c r="B47" s="21" t="inlineStr">
        <is>
          <t>OPEX אנרגיה שנה 1 — יעיל</t>
        </is>
      </c>
      <c r="C47" s="7" t="inlineStr">
        <is>
          <t>₪/שנה</t>
        </is>
      </c>
      <c r="D47" s="13" t="inlineStr">
        <is>
          <t>חישוב</t>
        </is>
      </c>
      <c r="F47" s="15">
        <f>IF(ISNUMBER(F38),F38*'נתונים והנחות'!$F$12/100,"PENDING")</f>
        <v/>
      </c>
      <c r="G47" s="15">
        <f>IF(ISNUMBER(G38),G38*'נתונים והנחות'!$F$12/100,"PENDING")</f>
        <v/>
      </c>
      <c r="H47" s="15">
        <f>IF(ISNUMBER(H38),H38*'נתונים והנחות'!$F$12/100,"PENDING")</f>
        <v/>
      </c>
    </row>
    <row r="48">
      <c r="B48" s="6" t="inlineStr">
        <is>
          <t>5. מתודולוגיה — גזירות והבהרות</t>
        </is>
      </c>
    </row>
    <row r="49" ht="42" customHeight="1">
      <c r="B49" s="10" t="inlineStr">
        <is>
          <t>• קונסולידציה לנקודת קיבולת אחת (2026-08-12) — כל טכנולוגיה עברה משתי נקודות קיבולת לנקודה ממוצעת אחת (ממוצע חשבוני פשוט, ללא משקלול). שיעורים שכבר היו קבועים על פני שתי הנקודות (CapEx ל-₪/ton או ₪/kW, שעות פעילות, הספק הסגולי של VSD) נשארו כפי שהם; רק ערך הקיבולת עצמו וכל מדד יעילות שכן היה תלוי-קיבולת (kW/ton של צ'ילר, COP של משאבת חום) מוצעו. תופעת לוואי מקובלת: זה מטשטש את ההבדל האמיתי בין מדחס בוכני למרכזי בצ'ילרים בין שתי נקודות הקיבולת הישנות. ראו decisions/log.md 2026-08-12.</t>
        </is>
      </c>
    </row>
    <row r="50" ht="42" customHeight="1">
      <c r="B50" s="10" t="inlineStr">
        <is>
          <t>• בסיס משאבות חום שונה ממנוע בעירה (תנור מזוט/סולר) למשאבת חום סטנדרטית (2026-08-05, אושר ע"י דניאל) — אותו מבנה כמו צ'ילרים (בסיסי מול יעיל של אותה טכנולוגיה), לא השוואת מעבר דלק. COP בסיסי = 3.3 (מינימום תקן DOE FEMP / ASHRAE 90.1-2019 ל-47°F). נתוני הדלק/הבעירה בסעיף 1ב נשארים כהקשר בלבד, אינם מוזנים עוד לחישוב הפעיל.</t>
        </is>
      </c>
    </row>
    <row r="51" ht="42" customHeight="1">
      <c r="B51" s="10" t="inlineStr">
        <is>
          <t>• CapEx צ'ילר בסיסי — נגזר מהיעיל: נתוני המענקים כוללים רק את הציוד היעיל שמומן, ולכן אין מחיר לציוד בסיסי. הבסיסי נאמד כ- ₪4,186 ÷ 1.175 = ₪3,562/טון, לפי פרמיית יעילות של 10-25% (DOE FEMP + מקורות שוק, אמצע 17.5%). הערכה, לא ציטוט ישיר.</t>
        </is>
      </c>
    </row>
    <row r="52" ht="42" customHeight="1">
      <c r="B52" s="10" t="inlineStr">
        <is>
          <t>• CapEx VSD בסיסי — נגזר בדומה: ₪1,500 ÷ 1.225 = ₪1,224/kW, לפי פרמיית VSD מול מהירות קבועה של 15-30% (אמצע 22.5%).</t>
        </is>
      </c>
    </row>
    <row r="53" ht="42" customHeight="1">
      <c r="B53" s="10" t="inlineStr">
        <is>
          <t>• CapEx משאבת חום בסיסי — נגזר באנלוגיה לצ'ילר/VSD (2026-08-12): ₪1,050 ÷ 1.20 = ₪875/kW, לפי פרמיית יעילות מוערכת 15-25% (אמצע 20%). זו אנלוגיה מטכנולוגיה אחרת, לא מקור ייעודי למשאבות חום — סומן מוערך/נגזר, לא מקור אמיתי. ממתין למספר טוב יותר מרפי/דניאל.</t>
        </is>
      </c>
    </row>
    <row r="54" ht="42" customHeight="1">
      <c r="B54" s="10" t="inlineStr">
        <is>
          <t>• OPEX אחר (תחזוקה) — נתוני רפי: ההפרש מוגדר 0 לכל שלוש הטכנולוגיות (צ'ילר יעיל=רגיל, VSD יעיל=רגיל, משאבת חום זולה יותר מתנור/יעיל). מוזן ישירות כ-0 בגיליון הניתוח, לא כתא נפרד כאן — התא הישן שאליו הפנו הנוסחאות בגיליון הניתוח נמחק בעבר וגרם ל-#REF!, תוקן 2026-08-12.</t>
        </is>
      </c>
    </row>
    <row r="55" ht="42" customHeight="1">
      <c r="B55" s="10" t="inlineStr">
        <is>
          <t>• שחיקת ביצועים — רפי: 0.5%/שנה למשאבות חום וצ'ילרים, 0% למדחסי VSD בורגיים (נצילות נשארת קבועה עד תקלה). הכיוון בנוסחה תוקן 2026-08-12: העלות עולה עם השחיקה (1+שיעור)^שנה, לא יורדת.</t>
        </is>
      </c>
    </row>
    <row r="56" ht="42" customHeight="1">
      <c r="B56" s="10" t="inlineStr">
        <is>
          <t>• תקופת החזר השקעה — מחושבת על תזרים מזומנים מהוון עודף (תרחיש יעיל מול בסיסי), עם אינטרפולציה לינארית לשנה חלקית. סף האימוץ (F21, ברירת מחדל 3 שנים) משקף משוכות אישור השקעה קצרות־טווח כפי שפירמות מפעילות בפועל, ולא את תקן ה-NPV ל-20 שנה.</t>
        </is>
      </c>
    </row>
    <row r="57" ht="42" customHeight="1">
      <c r="B57" s="10" t="inlineStr">
        <is>
          <t>• פחת מואץ — לוח הפחת מחולק כך שסך הפחת המואץ תמיד שווה בדיוק ל-100% מה-CapEx: השנה האחרונה בטווח סופגת את שארית העיגול, במקום שכל שנה תקבל חלק שטוח זהה (עלול היה לסכם ל-90%-105% בהתאם למכפיל). תוקן 2026-08-12.</t>
        </is>
      </c>
    </row>
    <row r="59">
      <c r="B59" s="37" t="inlineStr">
        <is>
          <t>חישוב תעריף חשמל ממוצע — תעו"ז מתח גבוה (כלל צרכנות חח"י)</t>
        </is>
      </c>
    </row>
    <row r="60">
      <c r="B60" s="12" t="inlineStr">
        <is>
          <t>לוח תעריפים: נספח ה' — לוחות תעריפים החל מיום ה-1.1.2026, לוח 5.2-1 "תעו"ז לפי רמות מתח", רשות החשמל</t>
        </is>
      </c>
    </row>
    <row r="62">
      <c r="B62" s="23" t="inlineStr">
        <is>
          <t>עונה</t>
        </is>
      </c>
      <c r="C62" s="23" t="inlineStr">
        <is>
          <t>מש"ב</t>
        </is>
      </c>
      <c r="D62" s="23" t="inlineStr">
        <is>
          <t>תעריף
(אג' לקוט"ש)</t>
        </is>
      </c>
      <c r="E62" s="23" t="inlineStr">
        <is>
          <t>ימים בעונה</t>
        </is>
      </c>
      <c r="F62" s="23" t="inlineStr">
        <is>
          <t>שעות פסגה
ליום רלוונטי</t>
        </is>
      </c>
      <c r="G62" s="23" t="inlineStr">
        <is>
          <t>מכפל ימים
בשבוע</t>
        </is>
      </c>
      <c r="H62" s="23" t="inlineStr">
        <is>
          <t>סה"כ שעות
בשנה</t>
        </is>
      </c>
    </row>
    <row r="63">
      <c r="B63" s="7" t="inlineStr">
        <is>
          <t>חורף (דצמבר–פברואר)</t>
        </is>
      </c>
      <c r="C63" s="38" t="inlineStr">
        <is>
          <t>שפל</t>
        </is>
      </c>
      <c r="D63" s="39" t="n">
        <v>35.08</v>
      </c>
      <c r="E63" s="33" t="n">
        <v>90</v>
      </c>
      <c r="H63" s="39">
        <f>E63*24-H64</f>
        <v/>
      </c>
    </row>
    <row r="64">
      <c r="B64" s="7" t="inlineStr">
        <is>
          <t>חורף (דצמבר–פברואר)</t>
        </is>
      </c>
      <c r="C64" s="38" t="inlineStr">
        <is>
          <t>פסגה</t>
        </is>
      </c>
      <c r="D64" s="39" t="n">
        <v>101.21</v>
      </c>
      <c r="E64" s="33">
        <f>E63</f>
        <v/>
      </c>
      <c r="F64" s="33" t="n">
        <v>5</v>
      </c>
      <c r="G64" s="40">
        <f>5/7</f>
        <v/>
      </c>
      <c r="H64" s="39">
        <f>E64*G64*F64</f>
        <v/>
      </c>
    </row>
    <row r="65">
      <c r="B65" s="7" t="inlineStr">
        <is>
          <t>מעבר (מרץ–יוני, אוקטובר–נובמבר)</t>
        </is>
      </c>
      <c r="C65" s="38" t="inlineStr">
        <is>
          <t>שפל</t>
        </is>
      </c>
      <c r="D65" s="39" t="n">
        <v>34.26</v>
      </c>
      <c r="E65" s="33" t="n">
        <v>183</v>
      </c>
      <c r="H65" s="39">
        <f>E65*24-H66</f>
        <v/>
      </c>
    </row>
    <row r="66">
      <c r="B66" s="7" t="inlineStr">
        <is>
          <t>מעבר (מרץ–יוני, אוקטובר–נובמבר)</t>
        </is>
      </c>
      <c r="C66" s="38" t="inlineStr">
        <is>
          <t>פסגה</t>
        </is>
      </c>
      <c r="D66" s="39" t="n">
        <v>37.96</v>
      </c>
      <c r="E66" s="33">
        <f>E65</f>
        <v/>
      </c>
      <c r="F66" s="33" t="n">
        <v>5</v>
      </c>
      <c r="G66" s="40">
        <f>5/7</f>
        <v/>
      </c>
      <c r="H66" s="39">
        <f>E66*G66*F66</f>
        <v/>
      </c>
    </row>
    <row r="67">
      <c r="B67" s="7" t="inlineStr">
        <is>
          <t>קיץ (יולי–ספטמבר)</t>
        </is>
      </c>
      <c r="C67" s="38" t="inlineStr">
        <is>
          <t>שפל</t>
        </is>
      </c>
      <c r="D67" s="39" t="n">
        <v>38.77</v>
      </c>
      <c r="E67" s="33" t="n">
        <v>92</v>
      </c>
      <c r="H67" s="39">
        <f>E67*24-H68</f>
        <v/>
      </c>
    </row>
    <row r="68">
      <c r="B68" s="7" t="inlineStr">
        <is>
          <t>קיץ (יולי–ספטמבר)</t>
        </is>
      </c>
      <c r="C68" s="38" t="inlineStr">
        <is>
          <t>פסגה</t>
        </is>
      </c>
      <c r="D68" s="39" t="n">
        <v>157.09</v>
      </c>
      <c r="E68" s="33">
        <f>E67</f>
        <v/>
      </c>
      <c r="F68" s="33" t="n">
        <v>6</v>
      </c>
      <c r="G68" s="40">
        <f>5/7</f>
        <v/>
      </c>
      <c r="H68" s="39">
        <f>E68*G68*F68</f>
        <v/>
      </c>
    </row>
    <row r="69">
      <c r="B69" s="37" t="inlineStr">
        <is>
          <t>סה"כ שעות בשנה</t>
        </is>
      </c>
      <c r="H69" s="33">
        <f>SUM(H63:H68)</f>
        <v/>
      </c>
    </row>
    <row r="71">
      <c r="B71" s="37" t="inlineStr">
        <is>
          <t>תעריף ממוצע משוקלל לפי שעות</t>
        </is>
      </c>
      <c r="C71" s="7" t="inlineStr">
        <is>
          <t>אג' לקוט"ש</t>
        </is>
      </c>
      <c r="D71" s="7" t="inlineStr">
        <is>
          <t>מחושב: SUMPRODUCT(תעריף × שעות) / סה"כ שעות</t>
        </is>
      </c>
      <c r="F71" s="11">
        <f>SUMPRODUCT(D63:D68,H63:H68)/H69</f>
        <v/>
      </c>
    </row>
  </sheetData>
  <mergeCells count="15">
    <mergeCell ref="B9:I9"/>
    <mergeCell ref="B13:I13"/>
    <mergeCell ref="B56:I56"/>
    <mergeCell ref="B52:I52"/>
    <mergeCell ref="B53:I53"/>
    <mergeCell ref="B48:I48"/>
    <mergeCell ref="B26:H26"/>
    <mergeCell ref="B55:I55"/>
    <mergeCell ref="B51:I51"/>
    <mergeCell ref="B54:I54"/>
    <mergeCell ref="B19:I19"/>
    <mergeCell ref="B22:I22"/>
    <mergeCell ref="B57:I57"/>
    <mergeCell ref="B49:I49"/>
    <mergeCell ref="B50:I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170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3" customWidth="1" min="3" max="3"/>
    <col width="30" customWidth="1" min="4" max="4"/>
    <col width="34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B1" s="1" t="inlineStr">
        <is>
          <t>מקרא צבעים</t>
        </is>
      </c>
    </row>
    <row r="2">
      <c r="B2" s="2" t="inlineStr">
        <is>
          <t>ערך להזנה / ממתין לנתונים</t>
        </is>
      </c>
    </row>
    <row r="3">
      <c r="B3" s="3" t="inlineStr">
        <is>
          <t>נתון לעדכון / בקרה</t>
        </is>
      </c>
    </row>
    <row r="4">
      <c r="B4" s="4" t="inlineStr">
        <is>
          <t>נתון ממקור אמיתי</t>
        </is>
      </c>
    </row>
    <row r="5">
      <c r="B5" s="5" t="inlineStr">
        <is>
          <t>נתון מוערך/נגזר (עם מקור)</t>
        </is>
      </c>
    </row>
    <row r="9">
      <c r="B9" s="41" t="inlineStr">
        <is>
          <t>ניתוח כלכלי — פחת מואץ לפי טכנולוגיה | נקודת קיבולת ממוצעת אחת לטכנולוגיה</t>
        </is>
      </c>
    </row>
    <row r="11">
      <c r="B11" s="6" t="inlineStr">
        <is>
          <t>1. פרמטרים פיננסיים</t>
        </is>
      </c>
    </row>
    <row r="12">
      <c r="B12" s="21" t="inlineStr">
        <is>
          <t>שיעור מס חברות</t>
        </is>
      </c>
      <c r="C12" s="7" t="inlineStr">
        <is>
          <t>%</t>
        </is>
      </c>
      <c r="D12" s="7" t="inlineStr">
        <is>
          <t>נתונים והנחות</t>
        </is>
      </c>
      <c r="F12" s="22">
        <f>'נתונים והנחות'!$F$10</f>
        <v/>
      </c>
    </row>
    <row r="13">
      <c r="B13" s="21" t="inlineStr">
        <is>
          <t>שיעור היוון</t>
        </is>
      </c>
      <c r="C13" s="7" t="inlineStr">
        <is>
          <t>%</t>
        </is>
      </c>
      <c r="D13" s="7" t="inlineStr">
        <is>
          <t>נתונים והנחות</t>
        </is>
      </c>
      <c r="F13" s="22">
        <f>'נתונים והנחות'!$F$11</f>
        <v/>
      </c>
    </row>
    <row r="14">
      <c r="B14" s="21" t="inlineStr">
        <is>
          <t>מחיר חשמל (₪/קוט"ש)</t>
        </is>
      </c>
      <c r="C14" s="7" t="inlineStr">
        <is>
          <t>₪/קוט"ש</t>
        </is>
      </c>
      <c r="D14" s="7" t="inlineStr">
        <is>
          <t>נתונים והנחות</t>
        </is>
      </c>
      <c r="F14" s="14">
        <f>'נתונים והנחות'!$F$12/100</f>
        <v/>
      </c>
    </row>
    <row r="16">
      <c r="B16" s="6" t="inlineStr">
        <is>
          <t>2. פרמטר תמריץ — מכפיל פחת</t>
        </is>
      </c>
    </row>
    <row r="17">
      <c r="B17" s="16" t="inlineStr">
        <is>
          <t>מכפיל שיעור הפחת  ←  שנה ב'נתונים והנחות'!F20</t>
        </is>
      </c>
      <c r="F17" s="42">
        <f>'נתונים והנחות'!$F$20</f>
        <v/>
      </c>
    </row>
    <row r="19">
      <c r="B19" s="6" t="inlineStr">
        <is>
          <t>3. ניתוחים לפי טכנולוגיה</t>
        </is>
      </c>
    </row>
    <row r="21">
      <c r="B21" s="6" t="inlineStr">
        <is>
          <t>3.1  משאבות חום — 55 kW</t>
        </is>
      </c>
    </row>
    <row r="22">
      <c r="B22" s="12" t="inlineStr">
        <is>
          <t>* מול משאבת חום סטנדרטית — 55 kW | נתונים: גיליון 'נתונים והנחות' סעיף 4</t>
        </is>
      </c>
    </row>
    <row r="23">
      <c r="B23" s="43" t="inlineStr">
        <is>
          <t>ב. לוחות פחת (ציוד בסיסי vs. יעיל)</t>
        </is>
      </c>
    </row>
    <row r="24">
      <c r="B24" s="23" t="inlineStr">
        <is>
          <t>פרמטר</t>
        </is>
      </c>
      <c r="C24" s="23" t="inlineStr">
        <is>
          <t>יחידות</t>
        </is>
      </c>
      <c r="D24" s="23" t="inlineStr">
        <is>
          <t>מקור</t>
        </is>
      </c>
      <c r="E24" s="23" t="inlineStr">
        <is>
          <t>הערות</t>
        </is>
      </c>
      <c r="F24" s="23" t="inlineStr">
        <is>
          <t>שנה 0 (השקעה)</t>
        </is>
      </c>
      <c r="G24" s="23" t="inlineStr">
        <is>
          <t>שנה 1</t>
        </is>
      </c>
      <c r="H24" s="23" t="inlineStr">
        <is>
          <t>שנה 2</t>
        </is>
      </c>
      <c r="I24" s="23" t="inlineStr">
        <is>
          <t>שנה 3</t>
        </is>
      </c>
      <c r="J24" s="23" t="inlineStr">
        <is>
          <t>שנה 4</t>
        </is>
      </c>
      <c r="K24" s="23" t="inlineStr">
        <is>
          <t>שנה 5</t>
        </is>
      </c>
      <c r="L24" s="23" t="inlineStr">
        <is>
          <t>שנה 6</t>
        </is>
      </c>
      <c r="M24" s="23" t="inlineStr">
        <is>
          <t>שנה 7</t>
        </is>
      </c>
      <c r="N24" s="23" t="inlineStr">
        <is>
          <t>שנה 8</t>
        </is>
      </c>
      <c r="O24" s="23" t="inlineStr">
        <is>
          <t>שנה 9</t>
        </is>
      </c>
      <c r="P24" s="23" t="inlineStr">
        <is>
          <t>שנה 10</t>
        </is>
      </c>
      <c r="Q24" s="23" t="inlineStr">
        <is>
          <t>שנה 11</t>
        </is>
      </c>
      <c r="R24" s="23" t="inlineStr">
        <is>
          <t>שנה 12</t>
        </is>
      </c>
      <c r="S24" s="23" t="inlineStr">
        <is>
          <t>שנה 13</t>
        </is>
      </c>
      <c r="T24" s="23" t="inlineStr">
        <is>
          <t>שנה 14</t>
        </is>
      </c>
      <c r="U24" s="23" t="inlineStr">
        <is>
          <t>שנה 15</t>
        </is>
      </c>
      <c r="V24" s="23" t="inlineStr">
        <is>
          <t>שנה 16</t>
        </is>
      </c>
      <c r="W24" s="23" t="inlineStr">
        <is>
          <t>שנה 17</t>
        </is>
      </c>
      <c r="X24" s="23" t="inlineStr">
        <is>
          <t>שנה 18</t>
        </is>
      </c>
      <c r="Y24" s="23" t="inlineStr">
        <is>
          <t>שנה 19</t>
        </is>
      </c>
      <c r="Z24" s="23" t="inlineStr">
        <is>
          <t>שנה 20</t>
        </is>
      </c>
    </row>
    <row r="25">
      <c r="B25" s="44" t="inlineStr">
        <is>
          <t>פחת סטנדרטי — משאבת חום סטנדרטית — 55 kW</t>
        </is>
      </c>
      <c r="C25" s="7" t="inlineStr">
        <is>
          <t>₪</t>
        </is>
      </c>
      <c r="D25" s="7" t="inlineStr">
        <is>
          <t>חישוב</t>
        </is>
      </c>
      <c r="F25" s="45" t="n">
        <v>0</v>
      </c>
      <c r="G25" s="45">
        <f>IF(ISNUMBER('נתונים והנחות'!$F$40),'נתונים והנחות'!$F$40*0.1,0)</f>
        <v/>
      </c>
      <c r="H25" s="45">
        <f>IF(ISNUMBER('נתונים והנחות'!$F$40),'נתונים והנחות'!$F$40*0.1,0)</f>
        <v/>
      </c>
      <c r="I25" s="45">
        <f>IF(ISNUMBER('נתונים והנחות'!$F$40),'נתונים והנחות'!$F$40*0.1,0)</f>
        <v/>
      </c>
      <c r="J25" s="45">
        <f>IF(ISNUMBER('נתונים והנחות'!$F$40),'נתונים והנחות'!$F$40*0.1,0)</f>
        <v/>
      </c>
      <c r="K25" s="45">
        <f>IF(ISNUMBER('נתונים והנחות'!$F$40),'נתונים והנחות'!$F$40*0.1,0)</f>
        <v/>
      </c>
      <c r="L25" s="45">
        <f>IF(ISNUMBER('נתונים והנחות'!$F$40),'נתונים והנחות'!$F$40*0.1,0)</f>
        <v/>
      </c>
      <c r="M25" s="45">
        <f>IF(ISNUMBER('נתונים והנחות'!$F$40),'נתונים והנחות'!$F$40*0.1,0)</f>
        <v/>
      </c>
      <c r="N25" s="45">
        <f>IF(ISNUMBER('נתונים והנחות'!$F$40),'נתונים והנחות'!$F$40*0.1,0)</f>
        <v/>
      </c>
      <c r="O25" s="45">
        <f>IF(ISNUMBER('נתונים והנחות'!$F$40),'נתונים והנחות'!$F$40*0.1,0)</f>
        <v/>
      </c>
      <c r="P25" s="45">
        <f>IF(ISNUMBER('נתונים והנחות'!$F$40),'נתונים והנחות'!$F$40*0.1,0)</f>
        <v/>
      </c>
      <c r="Q25" s="45">
        <f>0</f>
        <v/>
      </c>
      <c r="R25" s="45">
        <f>0</f>
        <v/>
      </c>
      <c r="S25" s="45">
        <f>0</f>
        <v/>
      </c>
      <c r="T25" s="45">
        <f>0</f>
        <v/>
      </c>
      <c r="U25" s="45">
        <f>0</f>
        <v/>
      </c>
      <c r="V25" s="45">
        <f>0</f>
        <v/>
      </c>
      <c r="W25" s="45">
        <f>0</f>
        <v/>
      </c>
      <c r="X25" s="45">
        <f>0</f>
        <v/>
      </c>
      <c r="Y25" s="45">
        <f>0</f>
        <v/>
      </c>
      <c r="Z25" s="45">
        <f>0</f>
        <v/>
      </c>
    </row>
    <row r="26">
      <c r="B26" s="44" t="inlineStr">
        <is>
          <t>מגן מס — משאבת חום סטנדרטית — 55 kW</t>
        </is>
      </c>
      <c r="C26" s="7" t="inlineStr">
        <is>
          <t>₪</t>
        </is>
      </c>
      <c r="D26" s="7" t="inlineStr">
        <is>
          <t>חישוב</t>
        </is>
      </c>
      <c r="F26" s="45" t="n">
        <v>0</v>
      </c>
      <c r="G26" s="45">
        <f>G25*'נתונים והנחות'!$F$10</f>
        <v/>
      </c>
      <c r="H26" s="45">
        <f>H25*'נתונים והנחות'!$F$10</f>
        <v/>
      </c>
      <c r="I26" s="45">
        <f>I25*'נתונים והנחות'!$F$10</f>
        <v/>
      </c>
      <c r="J26" s="45">
        <f>J25*'נתונים והנחות'!$F$10</f>
        <v/>
      </c>
      <c r="K26" s="45">
        <f>K25*'נתונים והנחות'!$F$10</f>
        <v/>
      </c>
      <c r="L26" s="45">
        <f>L25*'נתונים והנחות'!$F$10</f>
        <v/>
      </c>
      <c r="M26" s="45">
        <f>M25*'נתונים והנחות'!$F$10</f>
        <v/>
      </c>
      <c r="N26" s="45">
        <f>N25*'נתונים והנחות'!$F$10</f>
        <v/>
      </c>
      <c r="O26" s="45">
        <f>O25*'נתונים והנחות'!$F$10</f>
        <v/>
      </c>
      <c r="P26" s="45">
        <f>P25*'נתונים והנחות'!$F$10</f>
        <v/>
      </c>
      <c r="Q26" s="45">
        <f>Q25*'נתונים והנחות'!$F$10</f>
        <v/>
      </c>
      <c r="R26" s="45">
        <f>R25*'נתונים והנחות'!$F$10</f>
        <v/>
      </c>
      <c r="S26" s="45">
        <f>S25*'נתונים והנחות'!$F$10</f>
        <v/>
      </c>
      <c r="T26" s="45">
        <f>T25*'נתונים והנחות'!$F$10</f>
        <v/>
      </c>
      <c r="U26" s="45">
        <f>U25*'נתונים והנחות'!$F$10</f>
        <v/>
      </c>
      <c r="V26" s="45">
        <f>V25*'נתונים והנחות'!$F$10</f>
        <v/>
      </c>
      <c r="W26" s="45">
        <f>W25*'נתונים והנחות'!$F$10</f>
        <v/>
      </c>
      <c r="X26" s="45">
        <f>X25*'נתונים והנחות'!$F$10</f>
        <v/>
      </c>
      <c r="Y26" s="45">
        <f>Y25*'נתונים והנחות'!$F$10</f>
        <v/>
      </c>
      <c r="Z26" s="45">
        <f>Z25*'נתונים והנחות'!$F$10</f>
        <v/>
      </c>
    </row>
    <row r="27">
      <c r="B27" s="46" t="inlineStr">
        <is>
          <t>פחת סטנדרטי — משאבות חום — 55 kW</t>
        </is>
      </c>
      <c r="C27" s="7" t="inlineStr">
        <is>
          <t>₪</t>
        </is>
      </c>
      <c r="D27" s="7" t="inlineStr">
        <is>
          <t>חישוב</t>
        </is>
      </c>
      <c r="F27" s="47" t="n">
        <v>0</v>
      </c>
      <c r="G27" s="47">
        <f>IF(ISNUMBER('נתונים והנחות'!$F$41),'נתונים והנחות'!$F$41*0.1,0)</f>
        <v/>
      </c>
      <c r="H27" s="47">
        <f>IF(ISNUMBER('נתונים והנחות'!$F$41),'נתונים והנחות'!$F$41*0.1,0)</f>
        <v/>
      </c>
      <c r="I27" s="47">
        <f>IF(ISNUMBER('נתונים והנחות'!$F$41),'נתונים והנחות'!$F$41*0.1,0)</f>
        <v/>
      </c>
      <c r="J27" s="47">
        <f>IF(ISNUMBER('נתונים והנחות'!$F$41),'נתונים והנחות'!$F$41*0.1,0)</f>
        <v/>
      </c>
      <c r="K27" s="47">
        <f>IF(ISNUMBER('נתונים והנחות'!$F$41),'נתונים והנחות'!$F$41*0.1,0)</f>
        <v/>
      </c>
      <c r="L27" s="47">
        <f>IF(ISNUMBER('נתונים והנחות'!$F$41),'נתונים והנחות'!$F$41*0.1,0)</f>
        <v/>
      </c>
      <c r="M27" s="47">
        <f>IF(ISNUMBER('נתונים והנחות'!$F$41),'נתונים והנחות'!$F$41*0.1,0)</f>
        <v/>
      </c>
      <c r="N27" s="47">
        <f>IF(ISNUMBER('נתונים והנחות'!$F$41),'נתונים והנחות'!$F$41*0.1,0)</f>
        <v/>
      </c>
      <c r="O27" s="47">
        <f>IF(ISNUMBER('נתונים והנחות'!$F$41),'נתונים והנחות'!$F$41*0.1,0)</f>
        <v/>
      </c>
      <c r="P27" s="47">
        <f>IF(ISNUMBER('נתונים והנחות'!$F$41),'נתונים והנחות'!$F$41*0.1,0)</f>
        <v/>
      </c>
      <c r="Q27" s="47">
        <f>0</f>
        <v/>
      </c>
      <c r="R27" s="47">
        <f>0</f>
        <v/>
      </c>
      <c r="S27" s="47">
        <f>0</f>
        <v/>
      </c>
      <c r="T27" s="47">
        <f>0</f>
        <v/>
      </c>
      <c r="U27" s="47">
        <f>0</f>
        <v/>
      </c>
      <c r="V27" s="47">
        <f>0</f>
        <v/>
      </c>
      <c r="W27" s="47">
        <f>0</f>
        <v/>
      </c>
      <c r="X27" s="47">
        <f>0</f>
        <v/>
      </c>
      <c r="Y27" s="47">
        <f>0</f>
        <v/>
      </c>
      <c r="Z27" s="47">
        <f>0</f>
        <v/>
      </c>
    </row>
    <row r="28">
      <c r="B28" s="46" t="inlineStr">
        <is>
          <t>מגן מס סטנדרטי — משאבות חום — 55 kW</t>
        </is>
      </c>
      <c r="C28" s="7" t="inlineStr">
        <is>
          <t>₪</t>
        </is>
      </c>
      <c r="D28" s="7" t="inlineStr">
        <is>
          <t>חישוב</t>
        </is>
      </c>
      <c r="F28" s="47" t="n">
        <v>0</v>
      </c>
      <c r="G28" s="47">
        <f>G27*'נתונים והנחות'!$F$10</f>
        <v/>
      </c>
      <c r="H28" s="47">
        <f>H27*'נתונים והנחות'!$F$10</f>
        <v/>
      </c>
      <c r="I28" s="47">
        <f>I27*'נתונים והנחות'!$F$10</f>
        <v/>
      </c>
      <c r="J28" s="47">
        <f>J27*'נתונים והנחות'!$F$10</f>
        <v/>
      </c>
      <c r="K28" s="47">
        <f>K27*'נתונים והנחות'!$F$10</f>
        <v/>
      </c>
      <c r="L28" s="47">
        <f>L27*'נתונים והנחות'!$F$10</f>
        <v/>
      </c>
      <c r="M28" s="47">
        <f>M27*'נתונים והנחות'!$F$10</f>
        <v/>
      </c>
      <c r="N28" s="47">
        <f>N27*'נתונים והנחות'!$F$10</f>
        <v/>
      </c>
      <c r="O28" s="47">
        <f>O27*'נתונים והנחות'!$F$10</f>
        <v/>
      </c>
      <c r="P28" s="47">
        <f>P27*'נתונים והנחות'!$F$10</f>
        <v/>
      </c>
      <c r="Q28" s="47">
        <f>Q27*'נתונים והנחות'!$F$10</f>
        <v/>
      </c>
      <c r="R28" s="47">
        <f>R27*'נתונים והנחות'!$F$10</f>
        <v/>
      </c>
      <c r="S28" s="47">
        <f>S27*'נתונים והנחות'!$F$10</f>
        <v/>
      </c>
      <c r="T28" s="47">
        <f>T27*'נתונים והנחות'!$F$10</f>
        <v/>
      </c>
      <c r="U28" s="47">
        <f>U27*'נתונים והנחות'!$F$10</f>
        <v/>
      </c>
      <c r="V28" s="47">
        <f>V27*'נתונים והנחות'!$F$10</f>
        <v/>
      </c>
      <c r="W28" s="47">
        <f>W27*'נתונים והנחות'!$F$10</f>
        <v/>
      </c>
      <c r="X28" s="47">
        <f>X27*'נתונים והנחות'!$F$10</f>
        <v/>
      </c>
      <c r="Y28" s="47">
        <f>Y27*'נתונים והנחות'!$F$10</f>
        <v/>
      </c>
      <c r="Z28" s="47">
        <f>Z27*'נתונים והנחות'!$F$10</f>
        <v/>
      </c>
    </row>
    <row r="29">
      <c r="B29" s="48" t="inlineStr">
        <is>
          <t>פחת מואץ — משאבות חום — 55 kW</t>
        </is>
      </c>
      <c r="C29" s="7" t="inlineStr">
        <is>
          <t>₪</t>
        </is>
      </c>
      <c r="D29" s="7" t="inlineStr">
        <is>
          <t>חישוב</t>
        </is>
      </c>
      <c r="F29" s="49" t="n">
        <v>0</v>
      </c>
      <c r="G29" s="49">
        <f>IF(ISNUMBER('נתונים והנחות'!$F$41),IF(1&lt;ROUND(1/(0.1*'נתונים והנחות'!$F$20),0),'נתונים והנחות'!$F$41*0.1*'נתונים והנחות'!$F$20,IF(1=ROUND(1/(0.1*'נתונים והנחות'!$F$20),0),'נתונים והנחות'!$F$41-('נתונים והנחות'!$F$41*0.1*'נתונים והנחות'!$F$20)*(ROUND(1/(0.1*'נתונים והנחות'!$F$20),0)-1),0)),0)</f>
        <v/>
      </c>
      <c r="H29" s="49">
        <f>IF(ISNUMBER('נתונים והנחות'!$F$41),IF(2&lt;ROUND(1/(0.1*'נתונים והנחות'!$F$20),0),'נתונים והנחות'!$F$41*0.1*'נתונים והנחות'!$F$20,IF(2=ROUND(1/(0.1*'נתונים והנחות'!$F$20),0),'נתונים והנחות'!$F$41-('נתונים והנחות'!$F$41*0.1*'נתונים והנחות'!$F$20)*(ROUND(1/(0.1*'נתונים והנחות'!$F$20),0)-1),0)),0)</f>
        <v/>
      </c>
      <c r="I29" s="49">
        <f>IF(ISNUMBER('נתונים והנחות'!$F$41),IF(3&lt;ROUND(1/(0.1*'נתונים והנחות'!$F$20),0),'נתונים והנחות'!$F$41*0.1*'נתונים והנחות'!$F$20,IF(3=ROUND(1/(0.1*'נתונים והנחות'!$F$20),0),'נתונים והנחות'!$F$41-('נתונים והנחות'!$F$41*0.1*'נתונים והנחות'!$F$20)*(ROUND(1/(0.1*'נתונים והנחות'!$F$20),0)-1),0)),0)</f>
        <v/>
      </c>
      <c r="J29" s="49">
        <f>IF(ISNUMBER('נתונים והנחות'!$F$41),IF(4&lt;ROUND(1/(0.1*'נתונים והנחות'!$F$20),0),'נתונים והנחות'!$F$41*0.1*'נתונים והנחות'!$F$20,IF(4=ROUND(1/(0.1*'נתונים והנחות'!$F$20),0),'נתונים והנחות'!$F$41-('נתונים והנחות'!$F$41*0.1*'נתונים והנחות'!$F$20)*(ROUND(1/(0.1*'נתונים והנחות'!$F$20),0)-1),0)),0)</f>
        <v/>
      </c>
      <c r="K29" s="49">
        <f>IF(ISNUMBER('נתונים והנחות'!$F$41),IF(5&lt;ROUND(1/(0.1*'נתונים והנחות'!$F$20),0),'נתונים והנחות'!$F$41*0.1*'נתונים והנחות'!$F$20,IF(5=ROUND(1/(0.1*'נתונים והנחות'!$F$20),0),'נתונים והנחות'!$F$41-('נתונים והנחות'!$F$41*0.1*'נתונים והנחות'!$F$20)*(ROUND(1/(0.1*'נתונים והנחות'!$F$20),0)-1),0)),0)</f>
        <v/>
      </c>
      <c r="L29" s="49">
        <f>IF(ISNUMBER('נתונים והנחות'!$F$41),IF(6&lt;ROUND(1/(0.1*'נתונים והנחות'!$F$20),0),'נתונים והנחות'!$F$41*0.1*'נתונים והנחות'!$F$20,IF(6=ROUND(1/(0.1*'נתונים והנחות'!$F$20),0),'נתונים והנחות'!$F$41-('נתונים והנחות'!$F$41*0.1*'נתונים והנחות'!$F$20)*(ROUND(1/(0.1*'נתונים והנחות'!$F$20),0)-1),0)),0)</f>
        <v/>
      </c>
      <c r="M29" s="49">
        <f>IF(ISNUMBER('נתונים והנחות'!$F$41),IF(7&lt;ROUND(1/(0.1*'נתונים והנחות'!$F$20),0),'נתונים והנחות'!$F$41*0.1*'נתונים והנחות'!$F$20,IF(7=ROUND(1/(0.1*'נתונים והנחות'!$F$20),0),'נתונים והנחות'!$F$41-('נתונים והנחות'!$F$41*0.1*'נתונים והנחות'!$F$20)*(ROUND(1/(0.1*'נתונים והנחות'!$F$20),0)-1),0)),0)</f>
        <v/>
      </c>
      <c r="N29" s="49">
        <f>IF(ISNUMBER('נתונים והנחות'!$F$41),IF(8&lt;ROUND(1/(0.1*'נתונים והנחות'!$F$20),0),'נתונים והנחות'!$F$41*0.1*'נתונים והנחות'!$F$20,IF(8=ROUND(1/(0.1*'נתונים והנחות'!$F$20),0),'נתונים והנחות'!$F$41-('נתונים והנחות'!$F$41*0.1*'נתונים והנחות'!$F$20)*(ROUND(1/(0.1*'נתונים והנחות'!$F$20),0)-1),0)),0)</f>
        <v/>
      </c>
      <c r="O29" s="49">
        <f>IF(ISNUMBER('נתונים והנחות'!$F$41),IF(9&lt;ROUND(1/(0.1*'נתונים והנחות'!$F$20),0),'נתונים והנחות'!$F$41*0.1*'נתונים והנחות'!$F$20,IF(9=ROUND(1/(0.1*'נתונים והנחות'!$F$20),0),'נתונים והנחות'!$F$41-('נתונים והנחות'!$F$41*0.1*'נתונים והנחות'!$F$20)*(ROUND(1/(0.1*'נתונים והנחות'!$F$20),0)-1),0)),0)</f>
        <v/>
      </c>
      <c r="P29" s="49">
        <f>IF(ISNUMBER('נתונים והנחות'!$F$41),IF(10&lt;ROUND(1/(0.1*'נתונים והנחות'!$F$20),0),'נתונים והנחות'!$F$41*0.1*'נתונים והנחות'!$F$20,IF(10=ROUND(1/(0.1*'נתונים והנחות'!$F$20),0),'נתונים והנחות'!$F$41-('נתונים והנחות'!$F$41*0.1*'נתונים והנחות'!$F$20)*(ROUND(1/(0.1*'נתונים והנחות'!$F$20),0)-1),0)),0)</f>
        <v/>
      </c>
      <c r="Q29" s="49">
        <f>IF(ISNUMBER('נתונים והנחות'!$F$41),IF(11&lt;ROUND(1/(0.1*'נתונים והנחות'!$F$20),0),'נתונים והנחות'!$F$41*0.1*'נתונים והנחות'!$F$20,IF(11=ROUND(1/(0.1*'נתונים והנחות'!$F$20),0),'נתונים והנחות'!$F$41-('נתונים והנחות'!$F$41*0.1*'נתונים והנחות'!$F$20)*(ROUND(1/(0.1*'נתונים והנחות'!$F$20),0)-1),0)),0)</f>
        <v/>
      </c>
      <c r="R29" s="49">
        <f>IF(ISNUMBER('נתונים והנחות'!$F$41),IF(12&lt;ROUND(1/(0.1*'נתונים והנחות'!$F$20),0),'נתונים והנחות'!$F$41*0.1*'נתונים והנחות'!$F$20,IF(12=ROUND(1/(0.1*'נתונים והנחות'!$F$20),0),'נתונים והנחות'!$F$41-('נתונים והנחות'!$F$41*0.1*'נתונים והנחות'!$F$20)*(ROUND(1/(0.1*'נתונים והנחות'!$F$20),0)-1),0)),0)</f>
        <v/>
      </c>
      <c r="S29" s="49">
        <f>IF(ISNUMBER('נתונים והנחות'!$F$41),IF(13&lt;ROUND(1/(0.1*'נתונים והנחות'!$F$20),0),'נתונים והנחות'!$F$41*0.1*'נתונים והנחות'!$F$20,IF(13=ROUND(1/(0.1*'נתונים והנחות'!$F$20),0),'נתונים והנחות'!$F$41-('נתונים והנחות'!$F$41*0.1*'נתונים והנחות'!$F$20)*(ROUND(1/(0.1*'נתונים והנחות'!$F$20),0)-1),0)),0)</f>
        <v/>
      </c>
      <c r="T29" s="49">
        <f>IF(ISNUMBER('נתונים והנחות'!$F$41),IF(14&lt;ROUND(1/(0.1*'נתונים והנחות'!$F$20),0),'נתונים והנחות'!$F$41*0.1*'נתונים והנחות'!$F$20,IF(14=ROUND(1/(0.1*'נתונים והנחות'!$F$20),0),'נתונים והנחות'!$F$41-('נתונים והנחות'!$F$41*0.1*'נתונים והנחות'!$F$20)*(ROUND(1/(0.1*'נתונים והנחות'!$F$20),0)-1),0)),0)</f>
        <v/>
      </c>
      <c r="U29" s="49">
        <f>IF(ISNUMBER('נתונים והנחות'!$F$41),IF(15&lt;ROUND(1/(0.1*'נתונים והנחות'!$F$20),0),'נתונים והנחות'!$F$41*0.1*'נתונים והנחות'!$F$20,IF(15=ROUND(1/(0.1*'נתונים והנחות'!$F$20),0),'נתונים והנחות'!$F$41-('נתונים והנחות'!$F$41*0.1*'נתונים והנחות'!$F$20)*(ROUND(1/(0.1*'נתונים והנחות'!$F$20),0)-1),0)),0)</f>
        <v/>
      </c>
      <c r="V29" s="49">
        <f>IF(ISNUMBER('נתונים והנחות'!$F$41),IF(16&lt;ROUND(1/(0.1*'נתונים והנחות'!$F$20),0),'נתונים והנחות'!$F$41*0.1*'נתונים והנחות'!$F$20,IF(16=ROUND(1/(0.1*'נתונים והנחות'!$F$20),0),'נתונים והנחות'!$F$41-('נתונים והנחות'!$F$41*0.1*'נתונים והנחות'!$F$20)*(ROUND(1/(0.1*'נתונים והנחות'!$F$20),0)-1),0)),0)</f>
        <v/>
      </c>
      <c r="W29" s="49">
        <f>IF(ISNUMBER('נתונים והנחות'!$F$41),IF(17&lt;ROUND(1/(0.1*'נתונים והנחות'!$F$20),0),'נתונים והנחות'!$F$41*0.1*'נתונים והנחות'!$F$20,IF(17=ROUND(1/(0.1*'נתונים והנחות'!$F$20),0),'נתונים והנחות'!$F$41-('נתונים והנחות'!$F$41*0.1*'נתונים והנחות'!$F$20)*(ROUND(1/(0.1*'נתונים והנחות'!$F$20),0)-1),0)),0)</f>
        <v/>
      </c>
      <c r="X29" s="49">
        <f>IF(ISNUMBER('נתונים והנחות'!$F$41),IF(18&lt;ROUND(1/(0.1*'נתונים והנחות'!$F$20),0),'נתונים והנחות'!$F$41*0.1*'נתונים והנחות'!$F$20,IF(18=ROUND(1/(0.1*'נתונים והנחות'!$F$20),0),'נתונים והנחות'!$F$41-('נתונים והנחות'!$F$41*0.1*'נתונים והנחות'!$F$20)*(ROUND(1/(0.1*'נתונים והנחות'!$F$20),0)-1),0)),0)</f>
        <v/>
      </c>
      <c r="Y29" s="49">
        <f>IF(ISNUMBER('נתונים והנחות'!$F$41),IF(19&lt;ROUND(1/(0.1*'נתונים והנחות'!$F$20),0),'נתונים והנחות'!$F$41*0.1*'נתונים והנחות'!$F$20,IF(19=ROUND(1/(0.1*'נתונים והנחות'!$F$20),0),'נתונים והנחות'!$F$41-('נתונים והנחות'!$F$41*0.1*'נתונים והנחות'!$F$20)*(ROUND(1/(0.1*'נתונים והנחות'!$F$20),0)-1),0)),0)</f>
        <v/>
      </c>
      <c r="Z29" s="49">
        <f>IF(ISNUMBER('נתונים והנחות'!$F$41),IF(20&lt;ROUND(1/(0.1*'נתונים והנחות'!$F$20),0),'נתונים והנחות'!$F$41*0.1*'נתונים והנחות'!$F$20,IF(20=ROUND(1/(0.1*'נתונים והנחות'!$F$20),0),'נתונים והנחות'!$F$41-('נתונים והנחות'!$F$41*0.1*'נתונים והנחות'!$F$20)*(ROUND(1/(0.1*'נתונים והנחות'!$F$20),0)-1),0)),0)</f>
        <v/>
      </c>
    </row>
    <row r="30">
      <c r="B30" s="48" t="inlineStr">
        <is>
          <t>מגן מס מואץ — משאבות חום — 55 kW</t>
        </is>
      </c>
      <c r="C30" s="7" t="inlineStr">
        <is>
          <t>₪</t>
        </is>
      </c>
      <c r="D30" s="7" t="inlineStr">
        <is>
          <t>חישוב</t>
        </is>
      </c>
      <c r="F30" s="49" t="n">
        <v>0</v>
      </c>
      <c r="G30" s="49">
        <f>G29*'נתונים והנחות'!$F$10</f>
        <v/>
      </c>
      <c r="H30" s="49">
        <f>H29*'נתונים והנחות'!$F$10</f>
        <v/>
      </c>
      <c r="I30" s="49">
        <f>I29*'נתונים והנחות'!$F$10</f>
        <v/>
      </c>
      <c r="J30" s="49">
        <f>J29*'נתונים והנחות'!$F$10</f>
        <v/>
      </c>
      <c r="K30" s="49">
        <f>K29*'נתונים והנחות'!$F$10</f>
        <v/>
      </c>
      <c r="L30" s="49">
        <f>L29*'נתונים והנחות'!$F$10</f>
        <v/>
      </c>
      <c r="M30" s="49">
        <f>M29*'נתונים והנחות'!$F$10</f>
        <v/>
      </c>
      <c r="N30" s="49">
        <f>N29*'נתונים והנחות'!$F$10</f>
        <v/>
      </c>
      <c r="O30" s="49">
        <f>O29*'נתונים והנחות'!$F$10</f>
        <v/>
      </c>
      <c r="P30" s="49">
        <f>P29*'נתונים והנחות'!$F$10</f>
        <v/>
      </c>
      <c r="Q30" s="49">
        <f>Q29*'נתונים והנחות'!$F$10</f>
        <v/>
      </c>
      <c r="R30" s="49">
        <f>R29*'נתונים והנחות'!$F$10</f>
        <v/>
      </c>
      <c r="S30" s="49">
        <f>S29*'נתונים והנחות'!$F$10</f>
        <v/>
      </c>
      <c r="T30" s="49">
        <f>T29*'נתונים והנחות'!$F$10</f>
        <v/>
      </c>
      <c r="U30" s="49">
        <f>U29*'נתונים והנחות'!$F$10</f>
        <v/>
      </c>
      <c r="V30" s="49">
        <f>V29*'נתונים והנחות'!$F$10</f>
        <v/>
      </c>
      <c r="W30" s="49">
        <f>W29*'נתונים והנחות'!$F$10</f>
        <v/>
      </c>
      <c r="X30" s="49">
        <f>X29*'נתונים והנחות'!$F$10</f>
        <v/>
      </c>
      <c r="Y30" s="49">
        <f>Y29*'נתונים והנחות'!$F$10</f>
        <v/>
      </c>
      <c r="Z30" s="49">
        <f>Z29*'נתונים והנחות'!$F$10</f>
        <v/>
      </c>
    </row>
    <row r="32">
      <c r="B32" s="43" t="inlineStr">
        <is>
          <t>ג. ניתוח תזרים מזומנים — שלושה תרחישים</t>
        </is>
      </c>
    </row>
    <row r="33">
      <c r="B33" s="23" t="inlineStr">
        <is>
          <t>פרמטר</t>
        </is>
      </c>
      <c r="C33" s="23" t="inlineStr">
        <is>
          <t>יחידות</t>
        </is>
      </c>
      <c r="D33" s="23" t="inlineStr">
        <is>
          <t>מקור</t>
        </is>
      </c>
      <c r="E33" s="23" t="inlineStr">
        <is>
          <t>הערות</t>
        </is>
      </c>
      <c r="F33" s="23" t="inlineStr">
        <is>
          <t>שנה 0 (השקעה)</t>
        </is>
      </c>
      <c r="G33" s="23" t="inlineStr">
        <is>
          <t>שנה 1</t>
        </is>
      </c>
      <c r="H33" s="23" t="inlineStr">
        <is>
          <t>שנה 2</t>
        </is>
      </c>
      <c r="I33" s="23" t="inlineStr">
        <is>
          <t>שנה 3</t>
        </is>
      </c>
      <c r="J33" s="23" t="inlineStr">
        <is>
          <t>שנה 4</t>
        </is>
      </c>
      <c r="K33" s="23" t="inlineStr">
        <is>
          <t>שנה 5</t>
        </is>
      </c>
      <c r="L33" s="23" t="inlineStr">
        <is>
          <t>שנה 6</t>
        </is>
      </c>
      <c r="M33" s="23" t="inlineStr">
        <is>
          <t>שנה 7</t>
        </is>
      </c>
      <c r="N33" s="23" t="inlineStr">
        <is>
          <t>שנה 8</t>
        </is>
      </c>
      <c r="O33" s="23" t="inlineStr">
        <is>
          <t>שנה 9</t>
        </is>
      </c>
      <c r="P33" s="23" t="inlineStr">
        <is>
          <t>שנה 10</t>
        </is>
      </c>
      <c r="Q33" s="23" t="inlineStr">
        <is>
          <t>שנה 11</t>
        </is>
      </c>
      <c r="R33" s="23" t="inlineStr">
        <is>
          <t>שנה 12</t>
        </is>
      </c>
      <c r="S33" s="23" t="inlineStr">
        <is>
          <t>שנה 13</t>
        </is>
      </c>
      <c r="T33" s="23" t="inlineStr">
        <is>
          <t>שנה 14</t>
        </is>
      </c>
      <c r="U33" s="23" t="inlineStr">
        <is>
          <t>שנה 15</t>
        </is>
      </c>
      <c r="V33" s="23" t="inlineStr">
        <is>
          <t>שנה 16</t>
        </is>
      </c>
      <c r="W33" s="23" t="inlineStr">
        <is>
          <t>שנה 17</t>
        </is>
      </c>
      <c r="X33" s="23" t="inlineStr">
        <is>
          <t>שנה 18</t>
        </is>
      </c>
      <c r="Y33" s="23" t="inlineStr">
        <is>
          <t>שנה 19</t>
        </is>
      </c>
      <c r="Z33" s="23" t="inlineStr">
        <is>
          <t>שנה 20</t>
        </is>
      </c>
    </row>
    <row r="34">
      <c r="B34" s="50" t="inlineStr">
        <is>
          <t>תרחיש A — רכישת משאבת חום סטנדרטית — 55 kW (ציוד קיים)</t>
        </is>
      </c>
    </row>
    <row r="35">
      <c r="B35" s="44" t="inlineStr">
        <is>
          <t>השקעה ראשונית</t>
        </is>
      </c>
      <c r="C35" s="7" t="inlineStr">
        <is>
          <t>₪</t>
        </is>
      </c>
      <c r="D35" s="7" t="inlineStr">
        <is>
          <t>חישוב</t>
        </is>
      </c>
      <c r="F35" s="45">
        <f>IF(ISNUMBER('נתונים והנחות'!$F$40),-'נתונים והנחות'!$F$40,"PENDING")</f>
        <v/>
      </c>
    </row>
    <row r="36">
      <c r="B36" s="44" t="inlineStr">
        <is>
          <t>OPEX אנרגיה</t>
        </is>
      </c>
      <c r="C36" s="7" t="inlineStr">
        <is>
          <t>₪</t>
        </is>
      </c>
      <c r="D36" s="7" t="inlineStr">
        <is>
          <t>חישוב</t>
        </is>
      </c>
      <c r="F36" s="45" t="n">
        <v>0</v>
      </c>
      <c r="G36" s="45">
        <f>IF(ISNUMBER('נתונים והנחות'!$F$46),-'נתונים והנחות'!$F$46,0)</f>
        <v/>
      </c>
      <c r="H36" s="45">
        <f>IF(ISNUMBER('נתונים והנחות'!$F$46),-'נתונים והנחות'!$F$46,0)</f>
        <v/>
      </c>
      <c r="I36" s="45">
        <f>IF(ISNUMBER('נתונים והנחות'!$F$46),-'נתונים והנחות'!$F$46,0)</f>
        <v/>
      </c>
      <c r="J36" s="45">
        <f>IF(ISNUMBER('נתונים והנחות'!$F$46),-'נתונים והנחות'!$F$46,0)</f>
        <v/>
      </c>
      <c r="K36" s="45">
        <f>IF(ISNUMBER('נתונים והנחות'!$F$46),-'נתונים והנחות'!$F$46,0)</f>
        <v/>
      </c>
      <c r="L36" s="45">
        <f>IF(ISNUMBER('נתונים והנחות'!$F$46),-'נתונים והנחות'!$F$46,0)</f>
        <v/>
      </c>
      <c r="M36" s="45">
        <f>IF(ISNUMBER('נתונים והנחות'!$F$46),-'נתונים והנחות'!$F$46,0)</f>
        <v/>
      </c>
      <c r="N36" s="45">
        <f>IF(ISNUMBER('נתונים והנחות'!$F$46),-'נתונים והנחות'!$F$46,0)</f>
        <v/>
      </c>
      <c r="O36" s="45">
        <f>IF(ISNUMBER('נתונים והנחות'!$F$46),-'נתונים והנחות'!$F$46,0)</f>
        <v/>
      </c>
      <c r="P36" s="45">
        <f>IF(ISNUMBER('נתונים והנחות'!$F$46),-'נתונים והנחות'!$F$46,0)</f>
        <v/>
      </c>
      <c r="Q36" s="45">
        <f>IF(ISNUMBER('נתונים והנחות'!$F$46),-'נתונים והנחות'!$F$46,0)</f>
        <v/>
      </c>
      <c r="R36" s="45">
        <f>IF(ISNUMBER('נתונים והנחות'!$F$46),-'נתונים והנחות'!$F$46,0)</f>
        <v/>
      </c>
      <c r="S36" s="45">
        <f>IF(ISNUMBER('נתונים והנחות'!$F$46),-'נתונים והנחות'!$F$46,0)</f>
        <v/>
      </c>
      <c r="T36" s="45">
        <f>IF(ISNUMBER('נתונים והנחות'!$F$46),-'נתונים והנחות'!$F$46,0)</f>
        <v/>
      </c>
      <c r="U36" s="45">
        <f>IF(ISNUMBER('נתונים והנחות'!$F$46),-'נתונים והנחות'!$F$46,0)</f>
        <v/>
      </c>
      <c r="V36" s="45">
        <f>0</f>
        <v/>
      </c>
      <c r="W36" s="45">
        <f>0</f>
        <v/>
      </c>
      <c r="X36" s="45">
        <f>0</f>
        <v/>
      </c>
      <c r="Y36" s="45">
        <f>0</f>
        <v/>
      </c>
      <c r="Z36" s="45">
        <f>0</f>
        <v/>
      </c>
    </row>
    <row r="37">
      <c r="B37" s="44" t="inlineStr">
        <is>
          <t>OPEX אחר</t>
        </is>
      </c>
      <c r="C37" s="7" t="inlineStr">
        <is>
          <t>₪</t>
        </is>
      </c>
      <c r="D37" s="7" t="inlineStr">
        <is>
          <t>חישוב</t>
        </is>
      </c>
      <c r="F37" s="45" t="n">
        <v>0</v>
      </c>
      <c r="G37" s="45" t="n">
        <v>0</v>
      </c>
      <c r="H37" s="45" t="n">
        <v>0</v>
      </c>
      <c r="I37" s="45" t="n">
        <v>0</v>
      </c>
      <c r="J37" s="45" t="n">
        <v>0</v>
      </c>
      <c r="K37" s="45" t="n">
        <v>0</v>
      </c>
      <c r="L37" s="45" t="n">
        <v>0</v>
      </c>
      <c r="M37" s="45" t="n">
        <v>0</v>
      </c>
      <c r="N37" s="45" t="n">
        <v>0</v>
      </c>
      <c r="O37" s="45" t="n">
        <v>0</v>
      </c>
      <c r="P37" s="45" t="n">
        <v>0</v>
      </c>
      <c r="Q37" s="45" t="n">
        <v>0</v>
      </c>
      <c r="R37" s="45" t="n">
        <v>0</v>
      </c>
      <c r="S37" s="45" t="n">
        <v>0</v>
      </c>
      <c r="T37" s="45" t="n">
        <v>0</v>
      </c>
      <c r="U37" s="45" t="n">
        <v>0</v>
      </c>
      <c r="V37" s="45" t="n">
        <v>0</v>
      </c>
      <c r="W37" s="45" t="n">
        <v>0</v>
      </c>
      <c r="X37" s="45" t="n">
        <v>0</v>
      </c>
      <c r="Y37" s="45" t="n">
        <v>0</v>
      </c>
      <c r="Z37" s="45" t="n">
        <v>0</v>
      </c>
    </row>
    <row r="38">
      <c r="B38" s="44" t="inlineStr">
        <is>
          <t>תזרים נקי — A</t>
        </is>
      </c>
      <c r="C38" s="7" t="inlineStr">
        <is>
          <t>₪</t>
        </is>
      </c>
      <c r="D38" s="7" t="inlineStr">
        <is>
          <t>חישוב</t>
        </is>
      </c>
      <c r="F38" s="45">
        <f>F35</f>
        <v/>
      </c>
      <c r="G38" s="45">
        <f>G36+G37+G26</f>
        <v/>
      </c>
      <c r="H38" s="45">
        <f>H36+H37+H26</f>
        <v/>
      </c>
      <c r="I38" s="45">
        <f>I36+I37+I26</f>
        <v/>
      </c>
      <c r="J38" s="45">
        <f>J36+J37+J26</f>
        <v/>
      </c>
      <c r="K38" s="45">
        <f>K36+K37+K26</f>
        <v/>
      </c>
      <c r="L38" s="45">
        <f>L36+L37+L26</f>
        <v/>
      </c>
      <c r="M38" s="45">
        <f>M36+M37+M26</f>
        <v/>
      </c>
      <c r="N38" s="45">
        <f>N36+N37+N26</f>
        <v/>
      </c>
      <c r="O38" s="45">
        <f>O36+O37+O26</f>
        <v/>
      </c>
      <c r="P38" s="45">
        <f>P36+P37+P26</f>
        <v/>
      </c>
      <c r="Q38" s="45">
        <f>Q36+Q37+Q26</f>
        <v/>
      </c>
      <c r="R38" s="45">
        <f>R36+R37+R26</f>
        <v/>
      </c>
      <c r="S38" s="45">
        <f>S36+S37+S26</f>
        <v/>
      </c>
      <c r="T38" s="45">
        <f>T36+T37+T26</f>
        <v/>
      </c>
      <c r="U38" s="45">
        <f>U36+U37+U26</f>
        <v/>
      </c>
      <c r="V38" s="45">
        <f>V36+V37+V26</f>
        <v/>
      </c>
      <c r="W38" s="45">
        <f>W36+W37+W26</f>
        <v/>
      </c>
      <c r="X38" s="45">
        <f>X36+X37+X26</f>
        <v/>
      </c>
      <c r="Y38" s="45">
        <f>Y36+Y37+Y26</f>
        <v/>
      </c>
      <c r="Z38" s="45">
        <f>Z36+Z37+Z26</f>
        <v/>
      </c>
    </row>
    <row r="39">
      <c r="B39" s="44" t="inlineStr">
        <is>
          <t>תזרים מהוון — A</t>
        </is>
      </c>
      <c r="C39" s="7" t="inlineStr">
        <is>
          <t>₪</t>
        </is>
      </c>
      <c r="D39" s="7" t="inlineStr">
        <is>
          <t>חישוב</t>
        </is>
      </c>
      <c r="F39" s="45">
        <f>F38</f>
        <v/>
      </c>
      <c r="G39" s="45">
        <f>G38/(1+'נתונים והנחות'!$F$11)^1</f>
        <v/>
      </c>
      <c r="H39" s="45">
        <f>H38/(1+'נתונים והנחות'!$F$11)^2</f>
        <v/>
      </c>
      <c r="I39" s="45">
        <f>I38/(1+'נתונים והנחות'!$F$11)^3</f>
        <v/>
      </c>
      <c r="J39" s="45">
        <f>J38/(1+'נתונים והנחות'!$F$11)^4</f>
        <v/>
      </c>
      <c r="K39" s="45">
        <f>K38/(1+'נתונים והנחות'!$F$11)^5</f>
        <v/>
      </c>
      <c r="L39" s="45">
        <f>L38/(1+'נתונים והנחות'!$F$11)^6</f>
        <v/>
      </c>
      <c r="M39" s="45">
        <f>M38/(1+'נתונים והנחות'!$F$11)^7</f>
        <v/>
      </c>
      <c r="N39" s="45">
        <f>N38/(1+'נתונים והנחות'!$F$11)^8</f>
        <v/>
      </c>
      <c r="O39" s="45">
        <f>O38/(1+'נתונים והנחות'!$F$11)^9</f>
        <v/>
      </c>
      <c r="P39" s="45">
        <f>P38/(1+'נתונים והנחות'!$F$11)^10</f>
        <v/>
      </c>
      <c r="Q39" s="45">
        <f>Q38/(1+'נתונים והנחות'!$F$11)^11</f>
        <v/>
      </c>
      <c r="R39" s="45">
        <f>R38/(1+'נתונים והנחות'!$F$11)^12</f>
        <v/>
      </c>
      <c r="S39" s="45">
        <f>S38/(1+'נתונים והנחות'!$F$11)^13</f>
        <v/>
      </c>
      <c r="T39" s="45">
        <f>T38/(1+'נתונים והנחות'!$F$11)^14</f>
        <v/>
      </c>
      <c r="U39" s="45">
        <f>U38/(1+'נתונים והנחות'!$F$11)^15</f>
        <v/>
      </c>
      <c r="V39" s="45">
        <f>V38/(1+'נתונים והנחות'!$F$11)^16</f>
        <v/>
      </c>
      <c r="W39" s="45">
        <f>W38/(1+'נתונים והנחות'!$F$11)^17</f>
        <v/>
      </c>
      <c r="X39" s="45">
        <f>X38/(1+'נתונים והנחות'!$F$11)^18</f>
        <v/>
      </c>
      <c r="Y39" s="45">
        <f>Y38/(1+'נתונים והנחות'!$F$11)^19</f>
        <v/>
      </c>
      <c r="Z39" s="45">
        <f>Z38/(1+'נתונים והנחות'!$F$11)^20</f>
        <v/>
      </c>
    </row>
    <row r="41">
      <c r="B41" s="51" t="inlineStr">
        <is>
          <t>תרחיש B — רכישת משאבות חום — 55 kW | פחת סטנדרטי (ללא תמריץ)</t>
        </is>
      </c>
    </row>
    <row r="42">
      <c r="B42" s="46" t="inlineStr">
        <is>
          <t>השקעה ראשונית</t>
        </is>
      </c>
      <c r="C42" s="7" t="inlineStr">
        <is>
          <t>₪</t>
        </is>
      </c>
      <c r="D42" s="7" t="inlineStr">
        <is>
          <t>חישוב</t>
        </is>
      </c>
      <c r="F42" s="47">
        <f>IF(ISNUMBER('נתונים והנחות'!$F$41),-'נתונים והנחות'!$F$41,"PENDING")</f>
        <v/>
      </c>
    </row>
    <row r="43">
      <c r="B43" s="46" t="inlineStr">
        <is>
          <t>OPEX אנרגיה (עם שחיקה)</t>
        </is>
      </c>
      <c r="C43" s="7" t="inlineStr">
        <is>
          <t>₪</t>
        </is>
      </c>
      <c r="D43" s="7" t="inlineStr">
        <is>
          <t>חישוב</t>
        </is>
      </c>
      <c r="F43" s="47" t="n">
        <v>0</v>
      </c>
      <c r="G43" s="47">
        <f>IF(ISNUMBER('נתונים והנחות'!$F$47),-'נתונים והנחות'!$F$47*(1+0.005)^0,0)</f>
        <v/>
      </c>
      <c r="H43" s="47">
        <f>IF(ISNUMBER('נתונים והנחות'!$F$47),-'נתונים והנחות'!$F$47*(1+0.005)^1,0)</f>
        <v/>
      </c>
      <c r="I43" s="47">
        <f>IF(ISNUMBER('נתונים והנחות'!$F$47),-'נתונים והנחות'!$F$47*(1+0.005)^2,0)</f>
        <v/>
      </c>
      <c r="J43" s="47">
        <f>IF(ISNUMBER('נתונים והנחות'!$F$47),-'נתונים והנחות'!$F$47*(1+0.005)^3,0)</f>
        <v/>
      </c>
      <c r="K43" s="47">
        <f>IF(ISNUMBER('נתונים והנחות'!$F$47),-'נתונים והנחות'!$F$47*(1+0.005)^4,0)</f>
        <v/>
      </c>
      <c r="L43" s="47">
        <f>IF(ISNUMBER('נתונים והנחות'!$F$47),-'נתונים והנחות'!$F$47*(1+0.005)^5,0)</f>
        <v/>
      </c>
      <c r="M43" s="47">
        <f>IF(ISNUMBER('נתונים והנחות'!$F$47),-'נתונים והנחות'!$F$47*(1+0.005)^6,0)</f>
        <v/>
      </c>
      <c r="N43" s="47">
        <f>IF(ISNUMBER('נתונים והנחות'!$F$47),-'נתונים והנחות'!$F$47*(1+0.005)^7,0)</f>
        <v/>
      </c>
      <c r="O43" s="47">
        <f>IF(ISNUMBER('נתונים והנחות'!$F$47),-'נתונים והנחות'!$F$47*(1+0.005)^8,0)</f>
        <v/>
      </c>
      <c r="P43" s="47">
        <f>IF(ISNUMBER('נתונים והנחות'!$F$47),-'נתונים והנחות'!$F$47*(1+0.005)^9,0)</f>
        <v/>
      </c>
      <c r="Q43" s="47">
        <f>0</f>
        <v/>
      </c>
      <c r="R43" s="47">
        <f>0</f>
        <v/>
      </c>
      <c r="S43" s="47">
        <f>0</f>
        <v/>
      </c>
      <c r="T43" s="47">
        <f>0</f>
        <v/>
      </c>
      <c r="U43" s="47">
        <f>0</f>
        <v/>
      </c>
      <c r="V43" s="47">
        <f>0</f>
        <v/>
      </c>
      <c r="W43" s="47">
        <f>0</f>
        <v/>
      </c>
      <c r="X43" s="47">
        <f>0</f>
        <v/>
      </c>
      <c r="Y43" s="47">
        <f>0</f>
        <v/>
      </c>
      <c r="Z43" s="47">
        <f>0</f>
        <v/>
      </c>
    </row>
    <row r="44">
      <c r="B44" s="46" t="inlineStr">
        <is>
          <t>OPEX אחר</t>
        </is>
      </c>
      <c r="C44" s="7" t="inlineStr">
        <is>
          <t>₪</t>
        </is>
      </c>
      <c r="D44" s="7" t="inlineStr">
        <is>
          <t>חישוב</t>
        </is>
      </c>
      <c r="F44" s="47" t="n">
        <v>0</v>
      </c>
      <c r="G44" s="47" t="n">
        <v>0</v>
      </c>
      <c r="H44" s="47" t="n">
        <v>0</v>
      </c>
      <c r="I44" s="47" t="n">
        <v>0</v>
      </c>
      <c r="J44" s="47" t="n">
        <v>0</v>
      </c>
      <c r="K44" s="47" t="n">
        <v>0</v>
      </c>
      <c r="L44" s="47" t="n">
        <v>0</v>
      </c>
      <c r="M44" s="47" t="n">
        <v>0</v>
      </c>
      <c r="N44" s="47" t="n">
        <v>0</v>
      </c>
      <c r="O44" s="47" t="n">
        <v>0</v>
      </c>
      <c r="P44" s="47" t="n">
        <v>0</v>
      </c>
      <c r="Q44" s="47" t="n">
        <v>0</v>
      </c>
      <c r="R44" s="47" t="n">
        <v>0</v>
      </c>
      <c r="S44" s="47" t="n">
        <v>0</v>
      </c>
      <c r="T44" s="47" t="n">
        <v>0</v>
      </c>
      <c r="U44" s="47" t="n">
        <v>0</v>
      </c>
      <c r="V44" s="47" t="n">
        <v>0</v>
      </c>
      <c r="W44" s="47" t="n">
        <v>0</v>
      </c>
      <c r="X44" s="47" t="n">
        <v>0</v>
      </c>
      <c r="Y44" s="47" t="n">
        <v>0</v>
      </c>
      <c r="Z44" s="47" t="n">
        <v>0</v>
      </c>
    </row>
    <row r="45">
      <c r="B45" s="46" t="inlineStr">
        <is>
          <t>תזרים נקי — B</t>
        </is>
      </c>
      <c r="C45" s="7" t="inlineStr">
        <is>
          <t>₪</t>
        </is>
      </c>
      <c r="D45" s="7" t="inlineStr">
        <is>
          <t>חישוב</t>
        </is>
      </c>
      <c r="F45" s="47">
        <f>F42</f>
        <v/>
      </c>
      <c r="G45" s="47">
        <f>G43+G44+G28</f>
        <v/>
      </c>
      <c r="H45" s="47">
        <f>H43+H44+H28</f>
        <v/>
      </c>
      <c r="I45" s="47">
        <f>I43+I44+I28</f>
        <v/>
      </c>
      <c r="J45" s="47">
        <f>J43+J44+J28</f>
        <v/>
      </c>
      <c r="K45" s="47">
        <f>K43+K44+K28</f>
        <v/>
      </c>
      <c r="L45" s="47">
        <f>L43+L44+L28</f>
        <v/>
      </c>
      <c r="M45" s="47">
        <f>M43+M44+M28</f>
        <v/>
      </c>
      <c r="N45" s="47">
        <f>N43+N44+N28</f>
        <v/>
      </c>
      <c r="O45" s="47">
        <f>O43+O44+O28</f>
        <v/>
      </c>
      <c r="P45" s="47">
        <f>P43+P44+P28</f>
        <v/>
      </c>
      <c r="Q45" s="47">
        <f>Q43+Q44+Q28</f>
        <v/>
      </c>
      <c r="R45" s="47">
        <f>R43+R44+R28</f>
        <v/>
      </c>
      <c r="S45" s="47">
        <f>S43+S44+S28</f>
        <v/>
      </c>
      <c r="T45" s="47">
        <f>T43+T44+T28</f>
        <v/>
      </c>
      <c r="U45" s="47">
        <f>U43+U44+U28</f>
        <v/>
      </c>
      <c r="V45" s="47">
        <f>V43+V44+V28</f>
        <v/>
      </c>
      <c r="W45" s="47">
        <f>W43+W44+W28</f>
        <v/>
      </c>
      <c r="X45" s="47">
        <f>X43+X44+X28</f>
        <v/>
      </c>
      <c r="Y45" s="47">
        <f>Y43+Y44+Y28</f>
        <v/>
      </c>
      <c r="Z45" s="47">
        <f>Z43+Z44+Z28</f>
        <v/>
      </c>
    </row>
    <row r="46">
      <c r="B46" s="46" t="inlineStr">
        <is>
          <t>תזרים מהוון — B</t>
        </is>
      </c>
      <c r="C46" s="7" t="inlineStr">
        <is>
          <t>₪</t>
        </is>
      </c>
      <c r="D46" s="7" t="inlineStr">
        <is>
          <t>חישוב</t>
        </is>
      </c>
      <c r="F46" s="47">
        <f>F45</f>
        <v/>
      </c>
      <c r="G46" s="47">
        <f>G45/(1+'נתונים והנחות'!$F$11)^1</f>
        <v/>
      </c>
      <c r="H46" s="47">
        <f>H45/(1+'נתונים והנחות'!$F$11)^2</f>
        <v/>
      </c>
      <c r="I46" s="47">
        <f>I45/(1+'נתונים והנחות'!$F$11)^3</f>
        <v/>
      </c>
      <c r="J46" s="47">
        <f>J45/(1+'נתונים והנחות'!$F$11)^4</f>
        <v/>
      </c>
      <c r="K46" s="47">
        <f>K45/(1+'נתונים והנחות'!$F$11)^5</f>
        <v/>
      </c>
      <c r="L46" s="47">
        <f>L45/(1+'נתונים והנחות'!$F$11)^6</f>
        <v/>
      </c>
      <c r="M46" s="47">
        <f>M45/(1+'נתונים והנחות'!$F$11)^7</f>
        <v/>
      </c>
      <c r="N46" s="47">
        <f>N45/(1+'נתונים והנחות'!$F$11)^8</f>
        <v/>
      </c>
      <c r="O46" s="47">
        <f>O45/(1+'נתונים והנחות'!$F$11)^9</f>
        <v/>
      </c>
      <c r="P46" s="47">
        <f>P45/(1+'נתונים והנחות'!$F$11)^10</f>
        <v/>
      </c>
      <c r="Q46" s="47">
        <f>Q45/(1+'נתונים והנחות'!$F$11)^11</f>
        <v/>
      </c>
      <c r="R46" s="47">
        <f>R45/(1+'נתונים והנחות'!$F$11)^12</f>
        <v/>
      </c>
      <c r="S46" s="47">
        <f>S45/(1+'נתונים והנחות'!$F$11)^13</f>
        <v/>
      </c>
      <c r="T46" s="47">
        <f>T45/(1+'נתונים והנחות'!$F$11)^14</f>
        <v/>
      </c>
      <c r="U46" s="47">
        <f>U45/(1+'נתונים והנחות'!$F$11)^15</f>
        <v/>
      </c>
      <c r="V46" s="47">
        <f>V45/(1+'נתונים והנחות'!$F$11)^16</f>
        <v/>
      </c>
      <c r="W46" s="47">
        <f>W45/(1+'נתונים והנחות'!$F$11)^17</f>
        <v/>
      </c>
      <c r="X46" s="47">
        <f>X45/(1+'נתונים והנחות'!$F$11)^18</f>
        <v/>
      </c>
      <c r="Y46" s="47">
        <f>Y45/(1+'נתונים והנחות'!$F$11)^19</f>
        <v/>
      </c>
      <c r="Z46" s="47">
        <f>Z45/(1+'נתונים והנחות'!$F$11)^20</f>
        <v/>
      </c>
    </row>
    <row r="48">
      <c r="B48" s="52" t="inlineStr">
        <is>
          <t>תרחיש C — רכישת משאבות חום — 55 kW | פחת מואץ (עם תמריץ)</t>
        </is>
      </c>
    </row>
    <row r="49">
      <c r="B49" s="12" t="inlineStr">
        <is>
          <t>* OPEX זהה ל-B — ההבדל הוא מגן המס המואץ בלבד</t>
        </is>
      </c>
    </row>
    <row r="50">
      <c r="B50" s="48" t="inlineStr">
        <is>
          <t>תזרים נקי — C</t>
        </is>
      </c>
      <c r="C50" s="7" t="inlineStr">
        <is>
          <t>₪</t>
        </is>
      </c>
      <c r="D50" s="7" t="inlineStr">
        <is>
          <t>חישוב</t>
        </is>
      </c>
      <c r="F50" s="49">
        <f>F42</f>
        <v/>
      </c>
      <c r="G50" s="49">
        <f>G43+G44+G30</f>
        <v/>
      </c>
      <c r="H50" s="49">
        <f>H43+H44+H30</f>
        <v/>
      </c>
      <c r="I50" s="49">
        <f>I43+I44+I30</f>
        <v/>
      </c>
      <c r="J50" s="49">
        <f>J43+J44+J30</f>
        <v/>
      </c>
      <c r="K50" s="49">
        <f>K43+K44+K30</f>
        <v/>
      </c>
      <c r="L50" s="49">
        <f>L43+L44+L30</f>
        <v/>
      </c>
      <c r="M50" s="49">
        <f>M43+M44+M30</f>
        <v/>
      </c>
      <c r="N50" s="49">
        <f>N43+N44+N30</f>
        <v/>
      </c>
      <c r="O50" s="49">
        <f>O43+O44+O30</f>
        <v/>
      </c>
      <c r="P50" s="49">
        <f>P43+P44+P30</f>
        <v/>
      </c>
      <c r="Q50" s="49">
        <f>Q43+Q44+Q30</f>
        <v/>
      </c>
      <c r="R50" s="49">
        <f>R43+R44+R30</f>
        <v/>
      </c>
      <c r="S50" s="49">
        <f>S43+S44+S30</f>
        <v/>
      </c>
      <c r="T50" s="49">
        <f>T43+T44+T30</f>
        <v/>
      </c>
      <c r="U50" s="49">
        <f>U43+U44+U30</f>
        <v/>
      </c>
      <c r="V50" s="49">
        <f>V43+V44+V30</f>
        <v/>
      </c>
      <c r="W50" s="49">
        <f>W43+W44+W30</f>
        <v/>
      </c>
      <c r="X50" s="49">
        <f>X43+X44+X30</f>
        <v/>
      </c>
      <c r="Y50" s="49">
        <f>Y43+Y44+Y30</f>
        <v/>
      </c>
      <c r="Z50" s="49">
        <f>Z43+Z44+Z30</f>
        <v/>
      </c>
    </row>
    <row r="51">
      <c r="B51" s="48" t="inlineStr">
        <is>
          <t>תזרים מהוון — C</t>
        </is>
      </c>
      <c r="C51" s="7" t="inlineStr">
        <is>
          <t>₪</t>
        </is>
      </c>
      <c r="D51" s="7" t="inlineStr">
        <is>
          <t>חישוב</t>
        </is>
      </c>
      <c r="F51" s="49">
        <f>F50</f>
        <v/>
      </c>
      <c r="G51" s="49">
        <f>G50/(1+'נתונים והנחות'!$F$11)^1</f>
        <v/>
      </c>
      <c r="H51" s="49">
        <f>H50/(1+'נתונים והנחות'!$F$11)^2</f>
        <v/>
      </c>
      <c r="I51" s="49">
        <f>I50/(1+'נתונים והנחות'!$F$11)^3</f>
        <v/>
      </c>
      <c r="J51" s="49">
        <f>J50/(1+'נתונים והנחות'!$F$11)^4</f>
        <v/>
      </c>
      <c r="K51" s="49">
        <f>K50/(1+'נתונים והנחות'!$F$11)^5</f>
        <v/>
      </c>
      <c r="L51" s="49">
        <f>L50/(1+'נתונים והנחות'!$F$11)^6</f>
        <v/>
      </c>
      <c r="M51" s="49">
        <f>M50/(1+'נתונים והנחות'!$F$11)^7</f>
        <v/>
      </c>
      <c r="N51" s="49">
        <f>N50/(1+'נתונים והנחות'!$F$11)^8</f>
        <v/>
      </c>
      <c r="O51" s="49">
        <f>O50/(1+'נתונים והנחות'!$F$11)^9</f>
        <v/>
      </c>
      <c r="P51" s="49">
        <f>P50/(1+'נתונים והנחות'!$F$11)^10</f>
        <v/>
      </c>
      <c r="Q51" s="49">
        <f>Q50/(1+'נתונים והנחות'!$F$11)^11</f>
        <v/>
      </c>
      <c r="R51" s="49">
        <f>R50/(1+'נתונים והנחות'!$F$11)^12</f>
        <v/>
      </c>
      <c r="S51" s="49">
        <f>S50/(1+'נתונים והנחות'!$F$11)^13</f>
        <v/>
      </c>
      <c r="T51" s="49">
        <f>T50/(1+'נתונים והנחות'!$F$11)^14</f>
        <v/>
      </c>
      <c r="U51" s="49">
        <f>U50/(1+'נתונים והנחות'!$F$11)^15</f>
        <v/>
      </c>
      <c r="V51" s="49">
        <f>V50/(1+'נתונים והנחות'!$F$11)^16</f>
        <v/>
      </c>
      <c r="W51" s="49">
        <f>W50/(1+'נתונים והנחות'!$F$11)^17</f>
        <v/>
      </c>
      <c r="X51" s="49">
        <f>X50/(1+'נתונים והנחות'!$F$11)^18</f>
        <v/>
      </c>
      <c r="Y51" s="49">
        <f>Y50/(1+'נתונים והנחות'!$F$11)^19</f>
        <v/>
      </c>
      <c r="Z51" s="49">
        <f>Z50/(1+'נתונים והנחות'!$F$11)^20</f>
        <v/>
      </c>
    </row>
    <row r="53">
      <c r="B53" s="43" t="inlineStr">
        <is>
          <t>ד. תוצאות — NPV, החזר השקעה, עלות פיסקלית</t>
        </is>
      </c>
    </row>
    <row r="54">
      <c r="B54" s="53" t="inlineStr">
        <is>
          <t>NPV — תרחיש A (משאבת חום סטנדרטית — 55 kW)</t>
        </is>
      </c>
      <c r="C54" s="7" t="inlineStr">
        <is>
          <t>ש"ח</t>
        </is>
      </c>
      <c r="F54" s="45">
        <f>SUM(F39:Z39)</f>
        <v/>
      </c>
    </row>
    <row r="55">
      <c r="B55" s="54" t="inlineStr">
        <is>
          <t>NPV — תרחיש B (משאבות חום — 55 kW, ללא תמריץ)</t>
        </is>
      </c>
      <c r="C55" s="7" t="inlineStr">
        <is>
          <t>ש"ח</t>
        </is>
      </c>
      <c r="F55" s="47">
        <f>SUM(F46:Z46)</f>
        <v/>
      </c>
    </row>
    <row r="56">
      <c r="B56" s="55" t="inlineStr">
        <is>
          <t>NPV — תרחיש C (משאבות חום — 55 kW, עם תמריץ)</t>
        </is>
      </c>
      <c r="C56" s="7" t="inlineStr">
        <is>
          <t>ש"ח</t>
        </is>
      </c>
      <c r="F56" s="49">
        <f>SUM(F51:Z51)</f>
        <v/>
      </c>
    </row>
    <row r="58">
      <c r="B58" s="56" t="inlineStr">
        <is>
          <t>NPV מצטבר — הצדקת השדרוג (B−A)</t>
        </is>
      </c>
      <c r="C58" s="7" t="inlineStr">
        <is>
          <t>ש"ח</t>
        </is>
      </c>
      <c r="F58" s="57">
        <f>F55-F54</f>
        <v/>
      </c>
    </row>
    <row r="59">
      <c r="B59" s="58" t="inlineStr">
        <is>
          <t>ערך התמריץ — תועלת הפחת המואץ (C−B)</t>
        </is>
      </c>
      <c r="C59" s="7" t="inlineStr">
        <is>
          <t>ש"ח</t>
        </is>
      </c>
      <c r="F59" s="59">
        <f>F56-F55</f>
        <v/>
      </c>
    </row>
    <row r="60">
      <c r="B60" s="46" t="inlineStr">
        <is>
          <t>תקופת החזר מהוון — B (ללא תמריץ)</t>
        </is>
      </c>
      <c r="C60" s="7" t="inlineStr">
        <is>
          <t>שנים</t>
        </is>
      </c>
      <c r="F60" s="60">
        <f t="array" ref="F60">_xlfn.LET(_xlpm.diffs, F46:Z46-F39:Z39, _xlpm.n, COLUMNS(_xlpm.diffs), _xlpm.cum, MMULT(_xlpm.diffs, N(_xlfn.SEQUENCE(_xlpm.n,1)&lt;=_xlfn.SEQUENCE(1,_xlpm.n))), _xlpm.idx, MATCH(TRUE, _xlpm.cum&gt;=0, 0), IF(ISNA(_xlpm.idx), "לא מוחזר בטווח", IF(_xlpm.idx=1, 0, (_xlpm.idx-2) + (-INDEX(_xlpm.cum,_xlpm.idx-1)/INDEX(_xlpm.diffs,_xlpm.idx)))))</f>
        <v/>
      </c>
    </row>
    <row r="61">
      <c r="B61" s="48" t="inlineStr">
        <is>
          <t>תקופת החזר מהוון — C (עם תמריץ)</t>
        </is>
      </c>
      <c r="C61" s="7" t="inlineStr">
        <is>
          <t>שנים</t>
        </is>
      </c>
      <c r="F61" s="61">
        <f t="array" ref="F61">_xlfn.LET(_xlpm.diffs, F51:Z51-F39:Z39, _xlpm.n, COLUMNS(_xlpm.diffs), _xlpm.cum, MMULT(_xlpm.diffs, N(_xlfn.SEQUENCE(_xlpm.n,1)&lt;=_xlfn.SEQUENCE(1,_xlpm.n))), _xlpm.idx, MATCH(TRUE, _xlpm.cum&gt;=0, 0), IF(ISNA(_xlpm.idx), "לא מוחזר בטווח", IF(_xlpm.idx=1, 0, (_xlpm.idx-2) + (-INDEX(_xlpm.cum,_xlpm.idx-1)/INDEX(_xlpm.diffs,_xlpm.idx)))))</f>
        <v/>
      </c>
    </row>
    <row r="62">
      <c r="B62" s="21" t="inlineStr">
        <is>
          <t>הכרעה — מבחן סף החזר ההשקעה</t>
        </is>
      </c>
      <c r="C62" s="7" t="inlineStr">
        <is>
          <t>הערכה</t>
        </is>
      </c>
      <c r="D62" s="7" t="inlineStr">
        <is>
          <t>חישוב</t>
        </is>
      </c>
      <c r="F62" s="38">
        <f>IF(AND(ISNUMBER(F60),F60&lt;='נתונים והנחות'!$F$21),"כדאי גם ללא תמריץ",IF(AND(ISNUMBER(F61),F61&lt;='נתונים והנחות'!$F$21),"התמריץ הפך את ההחלטה","לא כדאי גם עם תמריץ"))</f>
        <v/>
      </c>
    </row>
    <row r="63">
      <c r="B63" s="56" t="inlineStr">
        <is>
          <t>NPV מצטבר — ערך ההשקעה המתומרצת מול הנוהג הקיים (C−A)</t>
        </is>
      </c>
      <c r="C63" s="7" t="inlineStr">
        <is>
          <t>ש"ח</t>
        </is>
      </c>
      <c r="F63" s="57">
        <f>F56-F54</f>
        <v/>
      </c>
    </row>
    <row r="64">
      <c r="B64" s="62" t="inlineStr">
        <is>
          <t>עלות פיסקלית של התמריץ למדינה (NPV)</t>
        </is>
      </c>
      <c r="C64" s="7" t="inlineStr">
        <is>
          <t>ש"ח</t>
        </is>
      </c>
      <c r="D64" s="7" t="inlineStr">
        <is>
          <t>חישוב</t>
        </is>
      </c>
      <c r="F64" s="59">
        <f>F59</f>
        <v/>
      </c>
    </row>
    <row r="68">
      <c r="B68" s="6" t="inlineStr">
        <is>
          <t>3.2  צ'ילרים — 300 RT</t>
        </is>
      </c>
    </row>
    <row r="69">
      <c r="B69" s="12" t="inlineStr">
        <is>
          <t>* מול מערכת קירור קונבנציונלית — 300 RT | נתונים: גיליון 'נתונים והנחות' סעיף 4</t>
        </is>
      </c>
    </row>
    <row r="70">
      <c r="B70" s="43" t="inlineStr">
        <is>
          <t>ב. לוחות פחת (ציוד בסיסי vs. יעיל)</t>
        </is>
      </c>
    </row>
    <row r="71">
      <c r="B71" s="23" t="inlineStr">
        <is>
          <t>פרמטר</t>
        </is>
      </c>
      <c r="C71" s="23" t="inlineStr">
        <is>
          <t>יחידות</t>
        </is>
      </c>
      <c r="D71" s="23" t="inlineStr">
        <is>
          <t>מקור</t>
        </is>
      </c>
      <c r="E71" s="23" t="inlineStr">
        <is>
          <t>הערות</t>
        </is>
      </c>
      <c r="F71" s="23" t="inlineStr">
        <is>
          <t>שנה 0 (השקעה)</t>
        </is>
      </c>
      <c r="G71" s="23" t="inlineStr">
        <is>
          <t>שנה 1</t>
        </is>
      </c>
      <c r="H71" s="23" t="inlineStr">
        <is>
          <t>שנה 2</t>
        </is>
      </c>
      <c r="I71" s="23" t="inlineStr">
        <is>
          <t>שנה 3</t>
        </is>
      </c>
      <c r="J71" s="23" t="inlineStr">
        <is>
          <t>שנה 4</t>
        </is>
      </c>
      <c r="K71" s="23" t="inlineStr">
        <is>
          <t>שנה 5</t>
        </is>
      </c>
      <c r="L71" s="23" t="inlineStr">
        <is>
          <t>שנה 6</t>
        </is>
      </c>
      <c r="M71" s="23" t="inlineStr">
        <is>
          <t>שנה 7</t>
        </is>
      </c>
      <c r="N71" s="23" t="inlineStr">
        <is>
          <t>שנה 8</t>
        </is>
      </c>
      <c r="O71" s="23" t="inlineStr">
        <is>
          <t>שנה 9</t>
        </is>
      </c>
      <c r="P71" s="23" t="inlineStr">
        <is>
          <t>שנה 10</t>
        </is>
      </c>
      <c r="Q71" s="23" t="inlineStr">
        <is>
          <t>שנה 11</t>
        </is>
      </c>
      <c r="R71" s="23" t="inlineStr">
        <is>
          <t>שנה 12</t>
        </is>
      </c>
      <c r="S71" s="23" t="inlineStr">
        <is>
          <t>שנה 13</t>
        </is>
      </c>
      <c r="T71" s="23" t="inlineStr">
        <is>
          <t>שנה 14</t>
        </is>
      </c>
      <c r="U71" s="23" t="inlineStr">
        <is>
          <t>שנה 15</t>
        </is>
      </c>
      <c r="V71" s="23" t="inlineStr">
        <is>
          <t>שנה 16</t>
        </is>
      </c>
      <c r="W71" s="23" t="inlineStr">
        <is>
          <t>שנה 17</t>
        </is>
      </c>
      <c r="X71" s="23" t="inlineStr">
        <is>
          <t>שנה 18</t>
        </is>
      </c>
      <c r="Y71" s="23" t="inlineStr">
        <is>
          <t>שנה 19</t>
        </is>
      </c>
      <c r="Z71" s="23" t="inlineStr">
        <is>
          <t>שנה 20</t>
        </is>
      </c>
    </row>
    <row r="72">
      <c r="B72" s="44" t="inlineStr">
        <is>
          <t>פחת סטנדרטי — מערכת קירור קונבנציונלית — 300 RT</t>
        </is>
      </c>
      <c r="C72" s="7" t="inlineStr">
        <is>
          <t>₪</t>
        </is>
      </c>
      <c r="D72" s="7" t="inlineStr">
        <is>
          <t>חישוב</t>
        </is>
      </c>
      <c r="F72" s="45" t="n">
        <v>0</v>
      </c>
      <c r="G72" s="45">
        <f>IF(ISNUMBER('נתונים והנחות'!$G$40),'נתונים והנחות'!$G$40*0.1,0)</f>
        <v/>
      </c>
      <c r="H72" s="45">
        <f>IF(ISNUMBER('נתונים והנחות'!$G$40),'נתונים והנחות'!$G$40*0.1,0)</f>
        <v/>
      </c>
      <c r="I72" s="45">
        <f>IF(ISNUMBER('נתונים והנחות'!$G$40),'נתונים והנחות'!$G$40*0.1,0)</f>
        <v/>
      </c>
      <c r="J72" s="45">
        <f>IF(ISNUMBER('נתונים והנחות'!$G$40),'נתונים והנחות'!$G$40*0.1,0)</f>
        <v/>
      </c>
      <c r="K72" s="45">
        <f>IF(ISNUMBER('נתונים והנחות'!$G$40),'נתונים והנחות'!$G$40*0.1,0)</f>
        <v/>
      </c>
      <c r="L72" s="45">
        <f>IF(ISNUMBER('נתונים והנחות'!$G$40),'נתונים והנחות'!$G$40*0.1,0)</f>
        <v/>
      </c>
      <c r="M72" s="45">
        <f>IF(ISNUMBER('נתונים והנחות'!$G$40),'נתונים והנחות'!$G$40*0.1,0)</f>
        <v/>
      </c>
      <c r="N72" s="45">
        <f>IF(ISNUMBER('נתונים והנחות'!$G$40),'נתונים והנחות'!$G$40*0.1,0)</f>
        <v/>
      </c>
      <c r="O72" s="45">
        <f>IF(ISNUMBER('נתונים והנחות'!$G$40),'נתונים והנחות'!$G$40*0.1,0)</f>
        <v/>
      </c>
      <c r="P72" s="45">
        <f>IF(ISNUMBER('נתונים והנחות'!$G$40),'נתונים והנחות'!$G$40*0.1,0)</f>
        <v/>
      </c>
      <c r="Q72" s="45">
        <f>0</f>
        <v/>
      </c>
      <c r="R72" s="45">
        <f>0</f>
        <v/>
      </c>
      <c r="S72" s="45">
        <f>0</f>
        <v/>
      </c>
      <c r="T72" s="45">
        <f>0</f>
        <v/>
      </c>
      <c r="U72" s="45">
        <f>0</f>
        <v/>
      </c>
      <c r="V72" s="45">
        <f>0</f>
        <v/>
      </c>
      <c r="W72" s="45">
        <f>0</f>
        <v/>
      </c>
      <c r="X72" s="45">
        <f>0</f>
        <v/>
      </c>
      <c r="Y72" s="45">
        <f>0</f>
        <v/>
      </c>
      <c r="Z72" s="45">
        <f>0</f>
        <v/>
      </c>
    </row>
    <row r="73">
      <c r="B73" s="44" t="inlineStr">
        <is>
          <t>מגן מס — מערכת קירור קונבנציונלית — 300 RT</t>
        </is>
      </c>
      <c r="C73" s="7" t="inlineStr">
        <is>
          <t>₪</t>
        </is>
      </c>
      <c r="D73" s="7" t="inlineStr">
        <is>
          <t>חישוב</t>
        </is>
      </c>
      <c r="F73" s="45" t="n">
        <v>0</v>
      </c>
      <c r="G73" s="45">
        <f>G72*'נתונים והנחות'!$F$10</f>
        <v/>
      </c>
      <c r="H73" s="45">
        <f>H72*'נתונים והנחות'!$F$10</f>
        <v/>
      </c>
      <c r="I73" s="45">
        <f>I72*'נתונים והנחות'!$F$10</f>
        <v/>
      </c>
      <c r="J73" s="45">
        <f>J72*'נתונים והנחות'!$F$10</f>
        <v/>
      </c>
      <c r="K73" s="45">
        <f>K72*'נתונים והנחות'!$F$10</f>
        <v/>
      </c>
      <c r="L73" s="45">
        <f>L72*'נתונים והנחות'!$F$10</f>
        <v/>
      </c>
      <c r="M73" s="45">
        <f>M72*'נתונים והנחות'!$F$10</f>
        <v/>
      </c>
      <c r="N73" s="45">
        <f>N72*'נתונים והנחות'!$F$10</f>
        <v/>
      </c>
      <c r="O73" s="45">
        <f>O72*'נתונים והנחות'!$F$10</f>
        <v/>
      </c>
      <c r="P73" s="45">
        <f>P72*'נתונים והנחות'!$F$10</f>
        <v/>
      </c>
      <c r="Q73" s="45">
        <f>Q72*'נתונים והנחות'!$F$10</f>
        <v/>
      </c>
      <c r="R73" s="45">
        <f>R72*'נתונים והנחות'!$F$10</f>
        <v/>
      </c>
      <c r="S73" s="45">
        <f>S72*'נתונים והנחות'!$F$10</f>
        <v/>
      </c>
      <c r="T73" s="45">
        <f>T72*'נתונים והנחות'!$F$10</f>
        <v/>
      </c>
      <c r="U73" s="45">
        <f>U72*'נתונים והנחות'!$F$10</f>
        <v/>
      </c>
      <c r="V73" s="45">
        <f>V72*'נתונים והנחות'!$F$10</f>
        <v/>
      </c>
      <c r="W73" s="45">
        <f>W72*'נתונים והנחות'!$F$10</f>
        <v/>
      </c>
      <c r="X73" s="45">
        <f>X72*'נתונים והנחות'!$F$10</f>
        <v/>
      </c>
      <c r="Y73" s="45">
        <f>Y72*'נתונים והנחות'!$F$10</f>
        <v/>
      </c>
      <c r="Z73" s="45">
        <f>Z72*'נתונים והנחות'!$F$10</f>
        <v/>
      </c>
    </row>
    <row r="74">
      <c r="B74" s="46" t="inlineStr">
        <is>
          <t>פחת סטנדרטי — צ'ילרים — 300 RT</t>
        </is>
      </c>
      <c r="C74" s="7" t="inlineStr">
        <is>
          <t>₪</t>
        </is>
      </c>
      <c r="D74" s="7" t="inlineStr">
        <is>
          <t>חישוב</t>
        </is>
      </c>
      <c r="F74" s="47" t="n">
        <v>0</v>
      </c>
      <c r="G74" s="47">
        <f>IF(ISNUMBER('נתונים והנחות'!$G$41),'נתונים והנחות'!$G$41*0.1,0)</f>
        <v/>
      </c>
      <c r="H74" s="47">
        <f>IF(ISNUMBER('נתונים והנחות'!$G$41),'נתונים והנחות'!$G$41*0.1,0)</f>
        <v/>
      </c>
      <c r="I74" s="47">
        <f>IF(ISNUMBER('נתונים והנחות'!$G$41),'נתונים והנחות'!$G$41*0.1,0)</f>
        <v/>
      </c>
      <c r="J74" s="47">
        <f>IF(ISNUMBER('נתונים והנחות'!$G$41),'נתונים והנחות'!$G$41*0.1,0)</f>
        <v/>
      </c>
      <c r="K74" s="47">
        <f>IF(ISNUMBER('נתונים והנחות'!$G$41),'נתונים והנחות'!$G$41*0.1,0)</f>
        <v/>
      </c>
      <c r="L74" s="47">
        <f>IF(ISNUMBER('נתונים והנחות'!$G$41),'נתונים והנחות'!$G$41*0.1,0)</f>
        <v/>
      </c>
      <c r="M74" s="47">
        <f>IF(ISNUMBER('נתונים והנחות'!$G$41),'נתונים והנחות'!$G$41*0.1,0)</f>
        <v/>
      </c>
      <c r="N74" s="47">
        <f>IF(ISNUMBER('נתונים והנחות'!$G$41),'נתונים והנחות'!$G$41*0.1,0)</f>
        <v/>
      </c>
      <c r="O74" s="47">
        <f>IF(ISNUMBER('נתונים והנחות'!$G$41),'נתונים והנחות'!$G$41*0.1,0)</f>
        <v/>
      </c>
      <c r="P74" s="47">
        <f>IF(ISNUMBER('נתונים והנחות'!$G$41),'נתונים והנחות'!$G$41*0.1,0)</f>
        <v/>
      </c>
      <c r="Q74" s="47">
        <f>0</f>
        <v/>
      </c>
      <c r="R74" s="47">
        <f>0</f>
        <v/>
      </c>
      <c r="S74" s="47">
        <f>0</f>
        <v/>
      </c>
      <c r="T74" s="47">
        <f>0</f>
        <v/>
      </c>
      <c r="U74" s="47">
        <f>0</f>
        <v/>
      </c>
      <c r="V74" s="47">
        <f>0</f>
        <v/>
      </c>
      <c r="W74" s="47">
        <f>0</f>
        <v/>
      </c>
      <c r="X74" s="47">
        <f>0</f>
        <v/>
      </c>
      <c r="Y74" s="47">
        <f>0</f>
        <v/>
      </c>
      <c r="Z74" s="47">
        <f>0</f>
        <v/>
      </c>
    </row>
    <row r="75">
      <c r="B75" s="46" t="inlineStr">
        <is>
          <t>מגן מס סטנדרטי — צ'ילרים — 300 RT</t>
        </is>
      </c>
      <c r="C75" s="7" t="inlineStr">
        <is>
          <t>₪</t>
        </is>
      </c>
      <c r="D75" s="7" t="inlineStr">
        <is>
          <t>חישוב</t>
        </is>
      </c>
      <c r="F75" s="47" t="n">
        <v>0</v>
      </c>
      <c r="G75" s="47">
        <f>G74*'נתונים והנחות'!$F$10</f>
        <v/>
      </c>
      <c r="H75" s="47">
        <f>H74*'נתונים והנחות'!$F$10</f>
        <v/>
      </c>
      <c r="I75" s="47">
        <f>I74*'נתונים והנחות'!$F$10</f>
        <v/>
      </c>
      <c r="J75" s="47">
        <f>J74*'נתונים והנחות'!$F$10</f>
        <v/>
      </c>
      <c r="K75" s="47">
        <f>K74*'נתונים והנחות'!$F$10</f>
        <v/>
      </c>
      <c r="L75" s="47">
        <f>L74*'נתונים והנחות'!$F$10</f>
        <v/>
      </c>
      <c r="M75" s="47">
        <f>M74*'נתונים והנחות'!$F$10</f>
        <v/>
      </c>
      <c r="N75" s="47">
        <f>N74*'נתונים והנחות'!$F$10</f>
        <v/>
      </c>
      <c r="O75" s="47">
        <f>O74*'נתונים והנחות'!$F$10</f>
        <v/>
      </c>
      <c r="P75" s="47">
        <f>P74*'נתונים והנחות'!$F$10</f>
        <v/>
      </c>
      <c r="Q75" s="47">
        <f>Q74*'נתונים והנחות'!$F$10</f>
        <v/>
      </c>
      <c r="R75" s="47">
        <f>R74*'נתונים והנחות'!$F$10</f>
        <v/>
      </c>
      <c r="S75" s="47">
        <f>S74*'נתונים והנחות'!$F$10</f>
        <v/>
      </c>
      <c r="T75" s="47">
        <f>T74*'נתונים והנחות'!$F$10</f>
        <v/>
      </c>
      <c r="U75" s="47">
        <f>U74*'נתונים והנחות'!$F$10</f>
        <v/>
      </c>
      <c r="V75" s="47">
        <f>V74*'נתונים והנחות'!$F$10</f>
        <v/>
      </c>
      <c r="W75" s="47">
        <f>W74*'נתונים והנחות'!$F$10</f>
        <v/>
      </c>
      <c r="X75" s="47">
        <f>X74*'נתונים והנחות'!$F$10</f>
        <v/>
      </c>
      <c r="Y75" s="47">
        <f>Y74*'נתונים והנחות'!$F$10</f>
        <v/>
      </c>
      <c r="Z75" s="47">
        <f>Z74*'נתונים והנחות'!$F$10</f>
        <v/>
      </c>
    </row>
    <row r="76">
      <c r="B76" s="48" t="inlineStr">
        <is>
          <t>פחת מואץ — צ'ילרים — 300 RT</t>
        </is>
      </c>
      <c r="C76" s="7" t="inlineStr">
        <is>
          <t>₪</t>
        </is>
      </c>
      <c r="D76" s="7" t="inlineStr">
        <is>
          <t>חישוב</t>
        </is>
      </c>
      <c r="F76" s="49" t="n">
        <v>0</v>
      </c>
      <c r="G76" s="49">
        <f>IF(ISNUMBER('נתונים והנחות'!$G$41),IF(1&lt;ROUND(1/(0.1*'נתונים והנחות'!$F$20),0),'נתונים והנחות'!$G$41*0.1*'נתונים והנחות'!$F$20,IF(1=ROUND(1/(0.1*'נתונים והנחות'!$F$20),0),'נתונים והנחות'!$G$41-('נתונים והנחות'!$G$41*0.1*'נתונים והנחות'!$F$20)*(ROUND(1/(0.1*'נתונים והנחות'!$F$20),0)-1),0)),0)</f>
        <v/>
      </c>
      <c r="H76" s="49">
        <f>IF(ISNUMBER('נתונים והנחות'!$G$41),IF(2&lt;ROUND(1/(0.1*'נתונים והנחות'!$F$20),0),'נתונים והנחות'!$G$41*0.1*'נתונים והנחות'!$F$20,IF(2=ROUND(1/(0.1*'נתונים והנחות'!$F$20),0),'נתונים והנחות'!$G$41-('נתונים והנחות'!$G$41*0.1*'נתונים והנחות'!$F$20)*(ROUND(1/(0.1*'נתונים והנחות'!$F$20),0)-1),0)),0)</f>
        <v/>
      </c>
      <c r="I76" s="49">
        <f>IF(ISNUMBER('נתונים והנחות'!$G$41),IF(3&lt;ROUND(1/(0.1*'נתונים והנחות'!$F$20),0),'נתונים והנחות'!$G$41*0.1*'נתונים והנחות'!$F$20,IF(3=ROUND(1/(0.1*'נתונים והנחות'!$F$20),0),'נתונים והנחות'!$G$41-('נתונים והנחות'!$G$41*0.1*'נתונים והנחות'!$F$20)*(ROUND(1/(0.1*'נתונים והנחות'!$F$20),0)-1),0)),0)</f>
        <v/>
      </c>
      <c r="J76" s="49">
        <f>IF(ISNUMBER('נתונים והנחות'!$G$41),IF(4&lt;ROUND(1/(0.1*'נתונים והנחות'!$F$20),0),'נתונים והנחות'!$G$41*0.1*'נתונים והנחות'!$F$20,IF(4=ROUND(1/(0.1*'נתונים והנחות'!$F$20),0),'נתונים והנחות'!$G$41-('נתונים והנחות'!$G$41*0.1*'נתונים והנחות'!$F$20)*(ROUND(1/(0.1*'נתונים והנחות'!$F$20),0)-1),0)),0)</f>
        <v/>
      </c>
      <c r="K76" s="49">
        <f>IF(ISNUMBER('נתונים והנחות'!$G$41),IF(5&lt;ROUND(1/(0.1*'נתונים והנחות'!$F$20),0),'נתונים והנחות'!$G$41*0.1*'נתונים והנחות'!$F$20,IF(5=ROUND(1/(0.1*'נתונים והנחות'!$F$20),0),'נתונים והנחות'!$G$41-('נתונים והנחות'!$G$41*0.1*'נתונים והנחות'!$F$20)*(ROUND(1/(0.1*'נתונים והנחות'!$F$20),0)-1),0)),0)</f>
        <v/>
      </c>
      <c r="L76" s="49">
        <f>IF(ISNUMBER('נתונים והנחות'!$G$41),IF(6&lt;ROUND(1/(0.1*'נתונים והנחות'!$F$20),0),'נתונים והנחות'!$G$41*0.1*'נתונים והנחות'!$F$20,IF(6=ROUND(1/(0.1*'נתונים והנחות'!$F$20),0),'נתונים והנחות'!$G$41-('נתונים והנחות'!$G$41*0.1*'נתונים והנחות'!$F$20)*(ROUND(1/(0.1*'נתונים והנחות'!$F$20),0)-1),0)),0)</f>
        <v/>
      </c>
      <c r="M76" s="49">
        <f>IF(ISNUMBER('נתונים והנחות'!$G$41),IF(7&lt;ROUND(1/(0.1*'נתונים והנחות'!$F$20),0),'נתונים והנחות'!$G$41*0.1*'נתונים והנחות'!$F$20,IF(7=ROUND(1/(0.1*'נתונים והנחות'!$F$20),0),'נתונים והנחות'!$G$41-('נתונים והנחות'!$G$41*0.1*'נתונים והנחות'!$F$20)*(ROUND(1/(0.1*'נתונים והנחות'!$F$20),0)-1),0)),0)</f>
        <v/>
      </c>
      <c r="N76" s="49">
        <f>IF(ISNUMBER('נתונים והנחות'!$G$41),IF(8&lt;ROUND(1/(0.1*'נתונים והנחות'!$F$20),0),'נתונים והנחות'!$G$41*0.1*'נתונים והנחות'!$F$20,IF(8=ROUND(1/(0.1*'נתונים והנחות'!$F$20),0),'נתונים והנחות'!$G$41-('נתונים והנחות'!$G$41*0.1*'נתונים והנחות'!$F$20)*(ROUND(1/(0.1*'נתונים והנחות'!$F$20),0)-1),0)),0)</f>
        <v/>
      </c>
      <c r="O76" s="49">
        <f>IF(ISNUMBER('נתונים והנחות'!$G$41),IF(9&lt;ROUND(1/(0.1*'נתונים והנחות'!$F$20),0),'נתונים והנחות'!$G$41*0.1*'נתונים והנחות'!$F$20,IF(9=ROUND(1/(0.1*'נתונים והנחות'!$F$20),0),'נתונים והנחות'!$G$41-('נתונים והנחות'!$G$41*0.1*'נתונים והנחות'!$F$20)*(ROUND(1/(0.1*'נתונים והנחות'!$F$20),0)-1),0)),0)</f>
        <v/>
      </c>
      <c r="P76" s="49">
        <f>IF(ISNUMBER('נתונים והנחות'!$G$41),IF(10&lt;ROUND(1/(0.1*'נתונים והנחות'!$F$20),0),'נתונים והנחות'!$G$41*0.1*'נתונים והנחות'!$F$20,IF(10=ROUND(1/(0.1*'נתונים והנחות'!$F$20),0),'נתונים והנחות'!$G$41-('נתונים והנחות'!$G$41*0.1*'נתונים והנחות'!$F$20)*(ROUND(1/(0.1*'נתונים והנחות'!$F$20),0)-1),0)),0)</f>
        <v/>
      </c>
      <c r="Q76" s="49">
        <f>IF(ISNUMBER('נתונים והנחות'!$G$41),IF(11&lt;ROUND(1/(0.1*'נתונים והנחות'!$F$20),0),'נתונים והנחות'!$G$41*0.1*'נתונים והנחות'!$F$20,IF(11=ROUND(1/(0.1*'נתונים והנחות'!$F$20),0),'נתונים והנחות'!$G$41-('נתונים והנחות'!$G$41*0.1*'נתונים והנחות'!$F$20)*(ROUND(1/(0.1*'נתונים והנחות'!$F$20),0)-1),0)),0)</f>
        <v/>
      </c>
      <c r="R76" s="49">
        <f>IF(ISNUMBER('נתונים והנחות'!$G$41),IF(12&lt;ROUND(1/(0.1*'נתונים והנחות'!$F$20),0),'נתונים והנחות'!$G$41*0.1*'נתונים והנחות'!$F$20,IF(12=ROUND(1/(0.1*'נתונים והנחות'!$F$20),0),'נתונים והנחות'!$G$41-('נתונים והנחות'!$G$41*0.1*'נתונים והנחות'!$F$20)*(ROUND(1/(0.1*'נתונים והנחות'!$F$20),0)-1),0)),0)</f>
        <v/>
      </c>
      <c r="S76" s="49">
        <f>IF(ISNUMBER('נתונים והנחות'!$G$41),IF(13&lt;ROUND(1/(0.1*'נתונים והנחות'!$F$20),0),'נתונים והנחות'!$G$41*0.1*'נתונים והנחות'!$F$20,IF(13=ROUND(1/(0.1*'נתונים והנחות'!$F$20),0),'נתונים והנחות'!$G$41-('נתונים והנחות'!$G$41*0.1*'נתונים והנחות'!$F$20)*(ROUND(1/(0.1*'נתונים והנחות'!$F$20),0)-1),0)),0)</f>
        <v/>
      </c>
      <c r="T76" s="49">
        <f>IF(ISNUMBER('נתונים והנחות'!$G$41),IF(14&lt;ROUND(1/(0.1*'נתונים והנחות'!$F$20),0),'נתונים והנחות'!$G$41*0.1*'נתונים והנחות'!$F$20,IF(14=ROUND(1/(0.1*'נתונים והנחות'!$F$20),0),'נתונים והנחות'!$G$41-('נתונים והנחות'!$G$41*0.1*'נתונים והנחות'!$F$20)*(ROUND(1/(0.1*'נתונים והנחות'!$F$20),0)-1),0)),0)</f>
        <v/>
      </c>
      <c r="U76" s="49">
        <f>IF(ISNUMBER('נתונים והנחות'!$G$41),IF(15&lt;ROUND(1/(0.1*'נתונים והנחות'!$F$20),0),'נתונים והנחות'!$G$41*0.1*'נתונים והנחות'!$F$20,IF(15=ROUND(1/(0.1*'נתונים והנחות'!$F$20),0),'נתונים והנחות'!$G$41-('נתונים והנחות'!$G$41*0.1*'נתונים והנחות'!$F$20)*(ROUND(1/(0.1*'נתונים והנחות'!$F$20),0)-1),0)),0)</f>
        <v/>
      </c>
      <c r="V76" s="49">
        <f>IF(ISNUMBER('נתונים והנחות'!$G$41),IF(16&lt;ROUND(1/(0.1*'נתונים והנחות'!$F$20),0),'נתונים והנחות'!$G$41*0.1*'נתונים והנחות'!$F$20,IF(16=ROUND(1/(0.1*'נתונים והנחות'!$F$20),0),'נתונים והנחות'!$G$41-('נתונים והנחות'!$G$41*0.1*'נתונים והנחות'!$F$20)*(ROUND(1/(0.1*'נתונים והנחות'!$F$20),0)-1),0)),0)</f>
        <v/>
      </c>
      <c r="W76" s="49">
        <f>IF(ISNUMBER('נתונים והנחות'!$G$41),IF(17&lt;ROUND(1/(0.1*'נתונים והנחות'!$F$20),0),'נתונים והנחות'!$G$41*0.1*'נתונים והנחות'!$F$20,IF(17=ROUND(1/(0.1*'נתונים והנחות'!$F$20),0),'נתונים והנחות'!$G$41-('נתונים והנחות'!$G$41*0.1*'נתונים והנחות'!$F$20)*(ROUND(1/(0.1*'נתונים והנחות'!$F$20),0)-1),0)),0)</f>
        <v/>
      </c>
      <c r="X76" s="49">
        <f>IF(ISNUMBER('נתונים והנחות'!$G$41),IF(18&lt;ROUND(1/(0.1*'נתונים והנחות'!$F$20),0),'נתונים והנחות'!$G$41*0.1*'נתונים והנחות'!$F$20,IF(18=ROUND(1/(0.1*'נתונים והנחות'!$F$20),0),'נתונים והנחות'!$G$41-('נתונים והנחות'!$G$41*0.1*'נתונים והנחות'!$F$20)*(ROUND(1/(0.1*'נתונים והנחות'!$F$20),0)-1),0)),0)</f>
        <v/>
      </c>
      <c r="Y76" s="49">
        <f>IF(ISNUMBER('נתונים והנחות'!$G$41),IF(19&lt;ROUND(1/(0.1*'נתונים והנחות'!$F$20),0),'נתונים והנחות'!$G$41*0.1*'נתונים והנחות'!$F$20,IF(19=ROUND(1/(0.1*'נתונים והנחות'!$F$20),0),'נתונים והנחות'!$G$41-('נתונים והנחות'!$G$41*0.1*'נתונים והנחות'!$F$20)*(ROUND(1/(0.1*'נתונים והנחות'!$F$20),0)-1),0)),0)</f>
        <v/>
      </c>
      <c r="Z76" s="49">
        <f>IF(ISNUMBER('נתונים והנחות'!$G$41),IF(20&lt;ROUND(1/(0.1*'נתונים והנחות'!$F$20),0),'נתונים והנחות'!$G$41*0.1*'נתונים והנחות'!$F$20,IF(20=ROUND(1/(0.1*'נתונים והנחות'!$F$20),0),'נתונים והנחות'!$G$41-('נתונים והנחות'!$G$41*0.1*'נתונים והנחות'!$F$20)*(ROUND(1/(0.1*'נתונים והנחות'!$F$20),0)-1),0)),0)</f>
        <v/>
      </c>
    </row>
    <row r="77">
      <c r="B77" s="48" t="inlineStr">
        <is>
          <t>מגן מס מואץ — צ'ילרים — 300 RT</t>
        </is>
      </c>
      <c r="C77" s="7" t="inlineStr">
        <is>
          <t>₪</t>
        </is>
      </c>
      <c r="D77" s="7" t="inlineStr">
        <is>
          <t>חישוב</t>
        </is>
      </c>
      <c r="F77" s="49" t="n">
        <v>0</v>
      </c>
      <c r="G77" s="49">
        <f>G76*'נתונים והנחות'!$F$10</f>
        <v/>
      </c>
      <c r="H77" s="49">
        <f>H76*'נתונים והנחות'!$F$10</f>
        <v/>
      </c>
      <c r="I77" s="49">
        <f>I76*'נתונים והנחות'!$F$10</f>
        <v/>
      </c>
      <c r="J77" s="49">
        <f>J76*'נתונים והנחות'!$F$10</f>
        <v/>
      </c>
      <c r="K77" s="49">
        <f>K76*'נתונים והנחות'!$F$10</f>
        <v/>
      </c>
      <c r="L77" s="49">
        <f>L76*'נתונים והנחות'!$F$10</f>
        <v/>
      </c>
      <c r="M77" s="49">
        <f>M76*'נתונים והנחות'!$F$10</f>
        <v/>
      </c>
      <c r="N77" s="49">
        <f>N76*'נתונים והנחות'!$F$10</f>
        <v/>
      </c>
      <c r="O77" s="49">
        <f>O76*'נתונים והנחות'!$F$10</f>
        <v/>
      </c>
      <c r="P77" s="49">
        <f>P76*'נתונים והנחות'!$F$10</f>
        <v/>
      </c>
      <c r="Q77" s="49">
        <f>Q76*'נתונים והנחות'!$F$10</f>
        <v/>
      </c>
      <c r="R77" s="49">
        <f>R76*'נתונים והנחות'!$F$10</f>
        <v/>
      </c>
      <c r="S77" s="49">
        <f>S76*'נתונים והנחות'!$F$10</f>
        <v/>
      </c>
      <c r="T77" s="49">
        <f>T76*'נתונים והנחות'!$F$10</f>
        <v/>
      </c>
      <c r="U77" s="49">
        <f>U76*'נתונים והנחות'!$F$10</f>
        <v/>
      </c>
      <c r="V77" s="49">
        <f>V76*'נתונים והנחות'!$F$10</f>
        <v/>
      </c>
      <c r="W77" s="49">
        <f>W76*'נתונים והנחות'!$F$10</f>
        <v/>
      </c>
      <c r="X77" s="49">
        <f>X76*'נתונים והנחות'!$F$10</f>
        <v/>
      </c>
      <c r="Y77" s="49">
        <f>Y76*'נתונים והנחות'!$F$10</f>
        <v/>
      </c>
      <c r="Z77" s="49">
        <f>Z76*'נתונים והנחות'!$F$10</f>
        <v/>
      </c>
    </row>
    <row r="79">
      <c r="B79" s="43" t="inlineStr">
        <is>
          <t>ג. ניתוח תזרים מזומנים — שלושה תרחישים</t>
        </is>
      </c>
    </row>
    <row r="80">
      <c r="B80" s="23" t="inlineStr">
        <is>
          <t>פרמטר</t>
        </is>
      </c>
      <c r="C80" s="23" t="inlineStr">
        <is>
          <t>יחידות</t>
        </is>
      </c>
      <c r="D80" s="23" t="inlineStr">
        <is>
          <t>מקור</t>
        </is>
      </c>
      <c r="E80" s="23" t="inlineStr">
        <is>
          <t>הערות</t>
        </is>
      </c>
      <c r="F80" s="23" t="inlineStr">
        <is>
          <t>שנה 0 (השקעה)</t>
        </is>
      </c>
      <c r="G80" s="23" t="inlineStr">
        <is>
          <t>שנה 1</t>
        </is>
      </c>
      <c r="H80" s="23" t="inlineStr">
        <is>
          <t>שנה 2</t>
        </is>
      </c>
      <c r="I80" s="23" t="inlineStr">
        <is>
          <t>שנה 3</t>
        </is>
      </c>
      <c r="J80" s="23" t="inlineStr">
        <is>
          <t>שנה 4</t>
        </is>
      </c>
      <c r="K80" s="23" t="inlineStr">
        <is>
          <t>שנה 5</t>
        </is>
      </c>
      <c r="L80" s="23" t="inlineStr">
        <is>
          <t>שנה 6</t>
        </is>
      </c>
      <c r="M80" s="23" t="inlineStr">
        <is>
          <t>שנה 7</t>
        </is>
      </c>
      <c r="N80" s="23" t="inlineStr">
        <is>
          <t>שנה 8</t>
        </is>
      </c>
      <c r="O80" s="23" t="inlineStr">
        <is>
          <t>שנה 9</t>
        </is>
      </c>
      <c r="P80" s="23" t="inlineStr">
        <is>
          <t>שנה 10</t>
        </is>
      </c>
      <c r="Q80" s="23" t="inlineStr">
        <is>
          <t>שנה 11</t>
        </is>
      </c>
      <c r="R80" s="23" t="inlineStr">
        <is>
          <t>שנה 12</t>
        </is>
      </c>
      <c r="S80" s="23" t="inlineStr">
        <is>
          <t>שנה 13</t>
        </is>
      </c>
      <c r="T80" s="23" t="inlineStr">
        <is>
          <t>שנה 14</t>
        </is>
      </c>
      <c r="U80" s="23" t="inlineStr">
        <is>
          <t>שנה 15</t>
        </is>
      </c>
      <c r="V80" s="23" t="inlineStr">
        <is>
          <t>שנה 16</t>
        </is>
      </c>
      <c r="W80" s="23" t="inlineStr">
        <is>
          <t>שנה 17</t>
        </is>
      </c>
      <c r="X80" s="23" t="inlineStr">
        <is>
          <t>שנה 18</t>
        </is>
      </c>
      <c r="Y80" s="23" t="inlineStr">
        <is>
          <t>שנה 19</t>
        </is>
      </c>
      <c r="Z80" s="23" t="inlineStr">
        <is>
          <t>שנה 20</t>
        </is>
      </c>
    </row>
    <row r="81">
      <c r="B81" s="50" t="inlineStr">
        <is>
          <t>תרחיש A — רכישת מערכת קירור קונבנציונלית — 300 RT (ציוד קיים)</t>
        </is>
      </c>
    </row>
    <row r="82">
      <c r="B82" s="44" t="inlineStr">
        <is>
          <t>השקעה ראשונית</t>
        </is>
      </c>
      <c r="C82" s="7" t="inlineStr">
        <is>
          <t>₪</t>
        </is>
      </c>
      <c r="D82" s="7" t="inlineStr">
        <is>
          <t>חישוב</t>
        </is>
      </c>
      <c r="F82" s="45">
        <f>IF(ISNUMBER('נתונים והנחות'!$G$40),-'נתונים והנחות'!$G$40,"PENDING")</f>
        <v/>
      </c>
    </row>
    <row r="83">
      <c r="B83" s="44" t="inlineStr">
        <is>
          <t>OPEX אנרגיה</t>
        </is>
      </c>
      <c r="C83" s="7" t="inlineStr">
        <is>
          <t>₪</t>
        </is>
      </c>
      <c r="D83" s="7" t="inlineStr">
        <is>
          <t>חישוב</t>
        </is>
      </c>
      <c r="F83" s="45" t="n">
        <v>0</v>
      </c>
      <c r="G83" s="45">
        <f>IF(ISNUMBER('נתונים והנחות'!$G$46),-'נתונים והנחות'!$G$46,0)</f>
        <v/>
      </c>
      <c r="H83" s="45">
        <f>IF(ISNUMBER('נתונים והנחות'!$G$46),-'נתונים והנחות'!$G$46,0)</f>
        <v/>
      </c>
      <c r="I83" s="45">
        <f>IF(ISNUMBER('נתונים והנחות'!$G$46),-'נתונים והנחות'!$G$46,0)</f>
        <v/>
      </c>
      <c r="J83" s="45">
        <f>IF(ISNUMBER('נתונים והנחות'!$G$46),-'נתונים והנחות'!$G$46,0)</f>
        <v/>
      </c>
      <c r="K83" s="45">
        <f>IF(ISNUMBER('נתונים והנחות'!$G$46),-'נתונים והנחות'!$G$46,0)</f>
        <v/>
      </c>
      <c r="L83" s="45">
        <f>IF(ISNUMBER('נתונים והנחות'!$G$46),-'נתונים והנחות'!$G$46,0)</f>
        <v/>
      </c>
      <c r="M83" s="45">
        <f>IF(ISNUMBER('נתונים והנחות'!$G$46),-'נתונים והנחות'!$G$46,0)</f>
        <v/>
      </c>
      <c r="N83" s="45">
        <f>IF(ISNUMBER('נתונים והנחות'!$G$46),-'נתונים והנחות'!$G$46,0)</f>
        <v/>
      </c>
      <c r="O83" s="45">
        <f>IF(ISNUMBER('נתונים והנחות'!$G$46),-'נתונים והנחות'!$G$46,0)</f>
        <v/>
      </c>
      <c r="P83" s="45">
        <f>IF(ISNUMBER('נתונים והנחות'!$G$46),-'נתונים והנחות'!$G$46,0)</f>
        <v/>
      </c>
      <c r="Q83" s="45">
        <f>IF(ISNUMBER('נתונים והנחות'!$G$46),-'נתונים והנחות'!$G$46,0)</f>
        <v/>
      </c>
      <c r="R83" s="45">
        <f>IF(ISNUMBER('נתונים והנחות'!$G$46),-'נתונים והנחות'!$G$46,0)</f>
        <v/>
      </c>
      <c r="S83" s="45">
        <f>IF(ISNUMBER('נתונים והנחות'!$G$46),-'נתונים והנחות'!$G$46,0)</f>
        <v/>
      </c>
      <c r="T83" s="45">
        <f>IF(ISNUMBER('נתונים והנחות'!$G$46),-'נתונים והנחות'!$G$46,0)</f>
        <v/>
      </c>
      <c r="U83" s="45">
        <f>IF(ISNUMBER('נתונים והנחות'!$G$46),-'נתונים והנחות'!$G$46,0)</f>
        <v/>
      </c>
      <c r="V83" s="45">
        <f>0</f>
        <v/>
      </c>
      <c r="W83" s="45">
        <f>0</f>
        <v/>
      </c>
      <c r="X83" s="45">
        <f>0</f>
        <v/>
      </c>
      <c r="Y83" s="45">
        <f>0</f>
        <v/>
      </c>
      <c r="Z83" s="45">
        <f>0</f>
        <v/>
      </c>
    </row>
    <row r="84">
      <c r="B84" s="44" t="inlineStr">
        <is>
          <t>OPEX אחר</t>
        </is>
      </c>
      <c r="C84" s="7" t="inlineStr">
        <is>
          <t>₪</t>
        </is>
      </c>
      <c r="D84" s="7" t="inlineStr">
        <is>
          <t>חישוב</t>
        </is>
      </c>
      <c r="F84" s="45" t="n">
        <v>0</v>
      </c>
      <c r="G84" s="45" t="n">
        <v>0</v>
      </c>
      <c r="H84" s="45" t="n">
        <v>0</v>
      </c>
      <c r="I84" s="45" t="n">
        <v>0</v>
      </c>
      <c r="J84" s="45" t="n">
        <v>0</v>
      </c>
      <c r="K84" s="45" t="n">
        <v>0</v>
      </c>
      <c r="L84" s="45" t="n">
        <v>0</v>
      </c>
      <c r="M84" s="45" t="n">
        <v>0</v>
      </c>
      <c r="N84" s="45" t="n">
        <v>0</v>
      </c>
      <c r="O84" s="45" t="n">
        <v>0</v>
      </c>
      <c r="P84" s="45" t="n">
        <v>0</v>
      </c>
      <c r="Q84" s="45" t="n">
        <v>0</v>
      </c>
      <c r="R84" s="45" t="n">
        <v>0</v>
      </c>
      <c r="S84" s="45" t="n">
        <v>0</v>
      </c>
      <c r="T84" s="45" t="n">
        <v>0</v>
      </c>
      <c r="U84" s="45" t="n">
        <v>0</v>
      </c>
      <c r="V84" s="45" t="n">
        <v>0</v>
      </c>
      <c r="W84" s="45" t="n">
        <v>0</v>
      </c>
      <c r="X84" s="45" t="n">
        <v>0</v>
      </c>
      <c r="Y84" s="45" t="n">
        <v>0</v>
      </c>
      <c r="Z84" s="45" t="n">
        <v>0</v>
      </c>
    </row>
    <row r="85">
      <c r="B85" s="44" t="inlineStr">
        <is>
          <t>תזרים נקי — A</t>
        </is>
      </c>
      <c r="C85" s="7" t="inlineStr">
        <is>
          <t>₪</t>
        </is>
      </c>
      <c r="D85" s="7" t="inlineStr">
        <is>
          <t>חישוב</t>
        </is>
      </c>
      <c r="F85" s="45">
        <f>F82</f>
        <v/>
      </c>
      <c r="G85" s="45">
        <f>G83+G84+G73</f>
        <v/>
      </c>
      <c r="H85" s="45">
        <f>H83+H84+H73</f>
        <v/>
      </c>
      <c r="I85" s="45">
        <f>I83+I84+I73</f>
        <v/>
      </c>
      <c r="J85" s="45">
        <f>J83+J84+J73</f>
        <v/>
      </c>
      <c r="K85" s="45">
        <f>K83+K84+K73</f>
        <v/>
      </c>
      <c r="L85" s="45">
        <f>L83+L84+L73</f>
        <v/>
      </c>
      <c r="M85" s="45">
        <f>M83+M84+M73</f>
        <v/>
      </c>
      <c r="N85" s="45">
        <f>N83+N84+N73</f>
        <v/>
      </c>
      <c r="O85" s="45">
        <f>O83+O84+O73</f>
        <v/>
      </c>
      <c r="P85" s="45">
        <f>P83+P84+P73</f>
        <v/>
      </c>
      <c r="Q85" s="45">
        <f>Q83+Q84+Q73</f>
        <v/>
      </c>
      <c r="R85" s="45">
        <f>R83+R84+R73</f>
        <v/>
      </c>
      <c r="S85" s="45">
        <f>S83+S84+S73</f>
        <v/>
      </c>
      <c r="T85" s="45">
        <f>T83+T84+T73</f>
        <v/>
      </c>
      <c r="U85" s="45">
        <f>U83+U84+U73</f>
        <v/>
      </c>
      <c r="V85" s="45">
        <f>V83+V84+V73</f>
        <v/>
      </c>
      <c r="W85" s="45">
        <f>W83+W84+W73</f>
        <v/>
      </c>
      <c r="X85" s="45">
        <f>X83+X84+X73</f>
        <v/>
      </c>
      <c r="Y85" s="45">
        <f>Y83+Y84+Y73</f>
        <v/>
      </c>
      <c r="Z85" s="45">
        <f>Z83+Z84+Z73</f>
        <v/>
      </c>
    </row>
    <row r="86">
      <c r="B86" s="44" t="inlineStr">
        <is>
          <t>תזרים מהוון — A</t>
        </is>
      </c>
      <c r="C86" s="7" t="inlineStr">
        <is>
          <t>₪</t>
        </is>
      </c>
      <c r="D86" s="7" t="inlineStr">
        <is>
          <t>חישוב</t>
        </is>
      </c>
      <c r="F86" s="45">
        <f>F85</f>
        <v/>
      </c>
      <c r="G86" s="45">
        <f>G85/(1+'נתונים והנחות'!$F$11)^1</f>
        <v/>
      </c>
      <c r="H86" s="45">
        <f>H85/(1+'נתונים והנחות'!$F$11)^2</f>
        <v/>
      </c>
      <c r="I86" s="45">
        <f>I85/(1+'נתונים והנחות'!$F$11)^3</f>
        <v/>
      </c>
      <c r="J86" s="45">
        <f>J85/(1+'נתונים והנחות'!$F$11)^4</f>
        <v/>
      </c>
      <c r="K86" s="45">
        <f>K85/(1+'נתונים והנחות'!$F$11)^5</f>
        <v/>
      </c>
      <c r="L86" s="45">
        <f>L85/(1+'נתונים והנחות'!$F$11)^6</f>
        <v/>
      </c>
      <c r="M86" s="45">
        <f>M85/(1+'נתונים והנחות'!$F$11)^7</f>
        <v/>
      </c>
      <c r="N86" s="45">
        <f>N85/(1+'נתונים והנחות'!$F$11)^8</f>
        <v/>
      </c>
      <c r="O86" s="45">
        <f>O85/(1+'נתונים והנחות'!$F$11)^9</f>
        <v/>
      </c>
      <c r="P86" s="45">
        <f>P85/(1+'נתונים והנחות'!$F$11)^10</f>
        <v/>
      </c>
      <c r="Q86" s="45">
        <f>Q85/(1+'נתונים והנחות'!$F$11)^11</f>
        <v/>
      </c>
      <c r="R86" s="45">
        <f>R85/(1+'נתונים והנחות'!$F$11)^12</f>
        <v/>
      </c>
      <c r="S86" s="45">
        <f>S85/(1+'נתונים והנחות'!$F$11)^13</f>
        <v/>
      </c>
      <c r="T86" s="45">
        <f>T85/(1+'נתונים והנחות'!$F$11)^14</f>
        <v/>
      </c>
      <c r="U86" s="45">
        <f>U85/(1+'נתונים והנחות'!$F$11)^15</f>
        <v/>
      </c>
      <c r="V86" s="45">
        <f>V85/(1+'נתונים והנחות'!$F$11)^16</f>
        <v/>
      </c>
      <c r="W86" s="45">
        <f>W85/(1+'נתונים והנחות'!$F$11)^17</f>
        <v/>
      </c>
      <c r="X86" s="45">
        <f>X85/(1+'נתונים והנחות'!$F$11)^18</f>
        <v/>
      </c>
      <c r="Y86" s="45">
        <f>Y85/(1+'נתונים והנחות'!$F$11)^19</f>
        <v/>
      </c>
      <c r="Z86" s="45">
        <f>Z85/(1+'נתונים והנחות'!$F$11)^20</f>
        <v/>
      </c>
    </row>
    <row r="88">
      <c r="B88" s="51" t="inlineStr">
        <is>
          <t>תרחיש B — רכישת צ'ילרים — 300 RT | פחת סטנדרטי (ללא תמריץ)</t>
        </is>
      </c>
    </row>
    <row r="89">
      <c r="B89" s="46" t="inlineStr">
        <is>
          <t>השקעה ראשונית</t>
        </is>
      </c>
      <c r="C89" s="7" t="inlineStr">
        <is>
          <t>₪</t>
        </is>
      </c>
      <c r="D89" s="7" t="inlineStr">
        <is>
          <t>חישוב</t>
        </is>
      </c>
      <c r="F89" s="47">
        <f>IF(ISNUMBER('נתונים והנחות'!$G$41),-'נתונים והנחות'!$G$41,"PENDING")</f>
        <v/>
      </c>
    </row>
    <row r="90">
      <c r="B90" s="46" t="inlineStr">
        <is>
          <t>OPEX אנרגיה (עם שחיקה)</t>
        </is>
      </c>
      <c r="C90" s="7" t="inlineStr">
        <is>
          <t>₪</t>
        </is>
      </c>
      <c r="D90" s="7" t="inlineStr">
        <is>
          <t>חישוב</t>
        </is>
      </c>
      <c r="F90" s="47" t="n">
        <v>0</v>
      </c>
      <c r="G90" s="47">
        <f>IF(ISNUMBER('נתונים והנחות'!$G$47),-'נתונים והנחות'!$G$47*(1+0.005)^0,0)</f>
        <v/>
      </c>
      <c r="H90" s="47">
        <f>IF(ISNUMBER('נתונים והנחות'!$G$47),-'נתונים והנחות'!$G$47*(1+0.005)^1,0)</f>
        <v/>
      </c>
      <c r="I90" s="47">
        <f>IF(ISNUMBER('נתונים והנחות'!$G$47),-'נתונים והנחות'!$G$47*(1+0.005)^2,0)</f>
        <v/>
      </c>
      <c r="J90" s="47">
        <f>IF(ISNUMBER('נתונים והנחות'!$G$47),-'נתונים והנחות'!$G$47*(1+0.005)^3,0)</f>
        <v/>
      </c>
      <c r="K90" s="47">
        <f>IF(ISNUMBER('נתונים והנחות'!$G$47),-'נתונים והנחות'!$G$47*(1+0.005)^4,0)</f>
        <v/>
      </c>
      <c r="L90" s="47">
        <f>IF(ISNUMBER('נתונים והנחות'!$G$47),-'נתונים והנחות'!$G$47*(1+0.005)^5,0)</f>
        <v/>
      </c>
      <c r="M90" s="47">
        <f>IF(ISNUMBER('נתונים והנחות'!$G$47),-'נתונים והנחות'!$G$47*(1+0.005)^6,0)</f>
        <v/>
      </c>
      <c r="N90" s="47">
        <f>IF(ISNUMBER('נתונים והנחות'!$G$47),-'נתונים והנחות'!$G$47*(1+0.005)^7,0)</f>
        <v/>
      </c>
      <c r="O90" s="47">
        <f>IF(ISNUMBER('נתונים והנחות'!$G$47),-'נתונים והנחות'!$G$47*(1+0.005)^8,0)</f>
        <v/>
      </c>
      <c r="P90" s="47">
        <f>IF(ISNUMBER('נתונים והנחות'!$G$47),-'נתונים והנחות'!$G$47*(1+0.005)^9,0)</f>
        <v/>
      </c>
      <c r="Q90" s="47">
        <f>IF(ISNUMBER('נתונים והנחות'!$G$47),-'נתונים והנחות'!$G$47*(1+0.005)^10,0)</f>
        <v/>
      </c>
      <c r="R90" s="47">
        <f>IF(ISNUMBER('נתונים והנחות'!$G$47),-'נתונים והנחות'!$G$47*(1+0.005)^11,0)</f>
        <v/>
      </c>
      <c r="S90" s="47">
        <f>IF(ISNUMBER('נתונים והנחות'!$G$47),-'נתונים והנחות'!$G$47*(1+0.005)^12,0)</f>
        <v/>
      </c>
      <c r="T90" s="47">
        <f>IF(ISNUMBER('נתונים והנחות'!$G$47),-'נתונים והנחות'!$G$47*(1+0.005)^13,0)</f>
        <v/>
      </c>
      <c r="U90" s="47">
        <f>IF(ISNUMBER('נתונים והנחות'!$G$47),-'נתונים והנחות'!$G$47*(1+0.005)^14,0)</f>
        <v/>
      </c>
      <c r="V90" s="47">
        <f>IF(ISNUMBER('נתונים והנחות'!$G$47),-'נתונים והנחות'!$G$47*(1+0.005)^15,0)</f>
        <v/>
      </c>
      <c r="W90" s="47">
        <f>IF(ISNUMBER('נתונים והנחות'!$G$47),-'נתונים והנחות'!$G$47*(1+0.005)^16,0)</f>
        <v/>
      </c>
      <c r="X90" s="47">
        <f>0</f>
        <v/>
      </c>
      <c r="Y90" s="47">
        <f>0</f>
        <v/>
      </c>
      <c r="Z90" s="47">
        <f>0</f>
        <v/>
      </c>
    </row>
    <row r="91">
      <c r="B91" s="46" t="inlineStr">
        <is>
          <t>OPEX אחר</t>
        </is>
      </c>
      <c r="C91" s="7" t="inlineStr">
        <is>
          <t>₪</t>
        </is>
      </c>
      <c r="D91" s="7" t="inlineStr">
        <is>
          <t>חישוב</t>
        </is>
      </c>
      <c r="F91" s="47" t="n">
        <v>0</v>
      </c>
      <c r="G91" s="47" t="n">
        <v>0</v>
      </c>
      <c r="H91" s="47" t="n">
        <v>0</v>
      </c>
      <c r="I91" s="47" t="n">
        <v>0</v>
      </c>
      <c r="J91" s="47" t="n">
        <v>0</v>
      </c>
      <c r="K91" s="47" t="n">
        <v>0</v>
      </c>
      <c r="L91" s="47" t="n">
        <v>0</v>
      </c>
      <c r="M91" s="47" t="n">
        <v>0</v>
      </c>
      <c r="N91" s="47" t="n">
        <v>0</v>
      </c>
      <c r="O91" s="47" t="n">
        <v>0</v>
      </c>
      <c r="P91" s="47" t="n">
        <v>0</v>
      </c>
      <c r="Q91" s="47" t="n">
        <v>0</v>
      </c>
      <c r="R91" s="47" t="n">
        <v>0</v>
      </c>
      <c r="S91" s="47" t="n">
        <v>0</v>
      </c>
      <c r="T91" s="47" t="n">
        <v>0</v>
      </c>
      <c r="U91" s="47" t="n">
        <v>0</v>
      </c>
      <c r="V91" s="47" t="n">
        <v>0</v>
      </c>
      <c r="W91" s="47" t="n">
        <v>0</v>
      </c>
      <c r="X91" s="47" t="n">
        <v>0</v>
      </c>
      <c r="Y91" s="47" t="n">
        <v>0</v>
      </c>
      <c r="Z91" s="47" t="n">
        <v>0</v>
      </c>
    </row>
    <row r="92">
      <c r="B92" s="46" t="inlineStr">
        <is>
          <t>תזרים נקי — B</t>
        </is>
      </c>
      <c r="C92" s="7" t="inlineStr">
        <is>
          <t>₪</t>
        </is>
      </c>
      <c r="D92" s="7" t="inlineStr">
        <is>
          <t>חישוב</t>
        </is>
      </c>
      <c r="F92" s="47">
        <f>F89</f>
        <v/>
      </c>
      <c r="G92" s="47">
        <f>G90+G91+G75</f>
        <v/>
      </c>
      <c r="H92" s="47">
        <f>H90+H91+H75</f>
        <v/>
      </c>
      <c r="I92" s="47">
        <f>I90+I91+I75</f>
        <v/>
      </c>
      <c r="J92" s="47">
        <f>J90+J91+J75</f>
        <v/>
      </c>
      <c r="K92" s="47">
        <f>K90+K91+K75</f>
        <v/>
      </c>
      <c r="L92" s="47">
        <f>L90+L91+L75</f>
        <v/>
      </c>
      <c r="M92" s="47">
        <f>M90+M91+M75</f>
        <v/>
      </c>
      <c r="N92" s="47">
        <f>N90+N91+N75</f>
        <v/>
      </c>
      <c r="O92" s="47">
        <f>O90+O91+O75</f>
        <v/>
      </c>
      <c r="P92" s="47">
        <f>P90+P91+P75</f>
        <v/>
      </c>
      <c r="Q92" s="47">
        <f>Q90+Q91+Q75</f>
        <v/>
      </c>
      <c r="R92" s="47">
        <f>R90+R91+R75</f>
        <v/>
      </c>
      <c r="S92" s="47">
        <f>S90+S91+S75</f>
        <v/>
      </c>
      <c r="T92" s="47">
        <f>T90+T91+T75</f>
        <v/>
      </c>
      <c r="U92" s="47">
        <f>U90+U91+U75</f>
        <v/>
      </c>
      <c r="V92" s="47">
        <f>V90+V91+V75</f>
        <v/>
      </c>
      <c r="W92" s="47">
        <f>W90+W91+W75</f>
        <v/>
      </c>
      <c r="X92" s="47">
        <f>X90+X91+X75</f>
        <v/>
      </c>
      <c r="Y92" s="47">
        <f>Y90+Y91+Y75</f>
        <v/>
      </c>
      <c r="Z92" s="47">
        <f>Z90+Z91+Z75</f>
        <v/>
      </c>
    </row>
    <row r="93">
      <c r="B93" s="46" t="inlineStr">
        <is>
          <t>תזרים מהוון — B</t>
        </is>
      </c>
      <c r="C93" s="7" t="inlineStr">
        <is>
          <t>₪</t>
        </is>
      </c>
      <c r="D93" s="7" t="inlineStr">
        <is>
          <t>חישוב</t>
        </is>
      </c>
      <c r="F93" s="47">
        <f>F92</f>
        <v/>
      </c>
      <c r="G93" s="47">
        <f>G92/(1+'נתונים והנחות'!$F$11)^1</f>
        <v/>
      </c>
      <c r="H93" s="47">
        <f>H92/(1+'נתונים והנחות'!$F$11)^2</f>
        <v/>
      </c>
      <c r="I93" s="47">
        <f>I92/(1+'נתונים והנחות'!$F$11)^3</f>
        <v/>
      </c>
      <c r="J93" s="47">
        <f>J92/(1+'נתונים והנחות'!$F$11)^4</f>
        <v/>
      </c>
      <c r="K93" s="47">
        <f>K92/(1+'נתונים והנחות'!$F$11)^5</f>
        <v/>
      </c>
      <c r="L93" s="47">
        <f>L92/(1+'נתונים והנחות'!$F$11)^6</f>
        <v/>
      </c>
      <c r="M93" s="47">
        <f>M92/(1+'נתונים והנחות'!$F$11)^7</f>
        <v/>
      </c>
      <c r="N93" s="47">
        <f>N92/(1+'נתונים והנחות'!$F$11)^8</f>
        <v/>
      </c>
      <c r="O93" s="47">
        <f>O92/(1+'נתונים והנחות'!$F$11)^9</f>
        <v/>
      </c>
      <c r="P93" s="47">
        <f>P92/(1+'נתונים והנחות'!$F$11)^10</f>
        <v/>
      </c>
      <c r="Q93" s="47">
        <f>Q92/(1+'נתונים והנחות'!$F$11)^11</f>
        <v/>
      </c>
      <c r="R93" s="47">
        <f>R92/(1+'נתונים והנחות'!$F$11)^12</f>
        <v/>
      </c>
      <c r="S93" s="47">
        <f>S92/(1+'נתונים והנחות'!$F$11)^13</f>
        <v/>
      </c>
      <c r="T93" s="47">
        <f>T92/(1+'נתונים והנחות'!$F$11)^14</f>
        <v/>
      </c>
      <c r="U93" s="47">
        <f>U92/(1+'נתונים והנחות'!$F$11)^15</f>
        <v/>
      </c>
      <c r="V93" s="47">
        <f>V92/(1+'נתונים והנחות'!$F$11)^16</f>
        <v/>
      </c>
      <c r="W93" s="47">
        <f>W92/(1+'נתונים והנחות'!$F$11)^17</f>
        <v/>
      </c>
      <c r="X93" s="47">
        <f>X92/(1+'נתונים והנחות'!$F$11)^18</f>
        <v/>
      </c>
      <c r="Y93" s="47">
        <f>Y92/(1+'נתונים והנחות'!$F$11)^19</f>
        <v/>
      </c>
      <c r="Z93" s="47">
        <f>Z92/(1+'נתונים והנחות'!$F$11)^20</f>
        <v/>
      </c>
    </row>
    <row r="95">
      <c r="B95" s="52" t="inlineStr">
        <is>
          <t>תרחיש C — רכישת צ'ילרים — 300 RT | פחת מואץ (עם תמריץ)</t>
        </is>
      </c>
    </row>
    <row r="96">
      <c r="B96" s="12" t="inlineStr">
        <is>
          <t>* OPEX זהה ל-B — ההבדל הוא מגן המס המואץ בלבד</t>
        </is>
      </c>
    </row>
    <row r="97">
      <c r="B97" s="48" t="inlineStr">
        <is>
          <t>תזרים נקי — C</t>
        </is>
      </c>
      <c r="C97" s="7" t="inlineStr">
        <is>
          <t>₪</t>
        </is>
      </c>
      <c r="D97" s="7" t="inlineStr">
        <is>
          <t>חישוב</t>
        </is>
      </c>
      <c r="F97" s="49">
        <f>F89</f>
        <v/>
      </c>
      <c r="G97" s="49">
        <f>G90+G91+G77</f>
        <v/>
      </c>
      <c r="H97" s="49">
        <f>H90+H91+H77</f>
        <v/>
      </c>
      <c r="I97" s="49">
        <f>I90+I91+I77</f>
        <v/>
      </c>
      <c r="J97" s="49">
        <f>J90+J91+J77</f>
        <v/>
      </c>
      <c r="K97" s="49">
        <f>K90+K91+K77</f>
        <v/>
      </c>
      <c r="L97" s="49">
        <f>L90+L91+L77</f>
        <v/>
      </c>
      <c r="M97" s="49">
        <f>M90+M91+M77</f>
        <v/>
      </c>
      <c r="N97" s="49">
        <f>N90+N91+N77</f>
        <v/>
      </c>
      <c r="O97" s="49">
        <f>O90+O91+O77</f>
        <v/>
      </c>
      <c r="P97" s="49">
        <f>P90+P91+P77</f>
        <v/>
      </c>
      <c r="Q97" s="49">
        <f>Q90+Q91+Q77</f>
        <v/>
      </c>
      <c r="R97" s="49">
        <f>R90+R91+R77</f>
        <v/>
      </c>
      <c r="S97" s="49">
        <f>S90+S91+S77</f>
        <v/>
      </c>
      <c r="T97" s="49">
        <f>T90+T91+T77</f>
        <v/>
      </c>
      <c r="U97" s="49">
        <f>U90+U91+U77</f>
        <v/>
      </c>
      <c r="V97" s="49">
        <f>V90+V91+V77</f>
        <v/>
      </c>
      <c r="W97" s="49">
        <f>W90+W91+W77</f>
        <v/>
      </c>
      <c r="X97" s="49">
        <f>X90+X91+X77</f>
        <v/>
      </c>
      <c r="Y97" s="49">
        <f>Y90+Y91+Y77</f>
        <v/>
      </c>
      <c r="Z97" s="49">
        <f>Z90+Z91+Z77</f>
        <v/>
      </c>
    </row>
    <row r="98">
      <c r="B98" s="48" t="inlineStr">
        <is>
          <t>תזרים מהוון — C</t>
        </is>
      </c>
      <c r="C98" s="7" t="inlineStr">
        <is>
          <t>₪</t>
        </is>
      </c>
      <c r="D98" s="7" t="inlineStr">
        <is>
          <t>חישוב</t>
        </is>
      </c>
      <c r="F98" s="49">
        <f>F97</f>
        <v/>
      </c>
      <c r="G98" s="49">
        <f>G97/(1+'נתונים והנחות'!$F$11)^1</f>
        <v/>
      </c>
      <c r="H98" s="49">
        <f>H97/(1+'נתונים והנחות'!$F$11)^2</f>
        <v/>
      </c>
      <c r="I98" s="49">
        <f>I97/(1+'נתונים והנחות'!$F$11)^3</f>
        <v/>
      </c>
      <c r="J98" s="49">
        <f>J97/(1+'נתונים והנחות'!$F$11)^4</f>
        <v/>
      </c>
      <c r="K98" s="49">
        <f>K97/(1+'נתונים והנחות'!$F$11)^5</f>
        <v/>
      </c>
      <c r="L98" s="49">
        <f>L97/(1+'נתונים והנחות'!$F$11)^6</f>
        <v/>
      </c>
      <c r="M98" s="49">
        <f>M97/(1+'נתונים והנחות'!$F$11)^7</f>
        <v/>
      </c>
      <c r="N98" s="49">
        <f>N97/(1+'נתונים והנחות'!$F$11)^8</f>
        <v/>
      </c>
      <c r="O98" s="49">
        <f>O97/(1+'נתונים והנחות'!$F$11)^9</f>
        <v/>
      </c>
      <c r="P98" s="49">
        <f>P97/(1+'נתונים והנחות'!$F$11)^10</f>
        <v/>
      </c>
      <c r="Q98" s="49">
        <f>Q97/(1+'נתונים והנחות'!$F$11)^11</f>
        <v/>
      </c>
      <c r="R98" s="49">
        <f>R97/(1+'נתונים והנחות'!$F$11)^12</f>
        <v/>
      </c>
      <c r="S98" s="49">
        <f>S97/(1+'נתונים והנחות'!$F$11)^13</f>
        <v/>
      </c>
      <c r="T98" s="49">
        <f>T97/(1+'נתונים והנחות'!$F$11)^14</f>
        <v/>
      </c>
      <c r="U98" s="49">
        <f>U97/(1+'נתונים והנחות'!$F$11)^15</f>
        <v/>
      </c>
      <c r="V98" s="49">
        <f>V97/(1+'נתונים והנחות'!$F$11)^16</f>
        <v/>
      </c>
      <c r="W98" s="49">
        <f>W97/(1+'נתונים והנחות'!$F$11)^17</f>
        <v/>
      </c>
      <c r="X98" s="49">
        <f>X97/(1+'נתונים והנחות'!$F$11)^18</f>
        <v/>
      </c>
      <c r="Y98" s="49">
        <f>Y97/(1+'נתונים והנחות'!$F$11)^19</f>
        <v/>
      </c>
      <c r="Z98" s="49">
        <f>Z97/(1+'נתונים והנחות'!$F$11)^20</f>
        <v/>
      </c>
    </row>
    <row r="100">
      <c r="B100" s="43" t="inlineStr">
        <is>
          <t>ד. תוצאות — NPV, החזר השקעה, עלות פיסקלית</t>
        </is>
      </c>
    </row>
    <row r="101">
      <c r="B101" s="53" t="inlineStr">
        <is>
          <t>NPV — תרחיש A (מערכת קירור קונבנציונלית — 300 RT)</t>
        </is>
      </c>
      <c r="C101" s="7" t="inlineStr">
        <is>
          <t>ש"ח</t>
        </is>
      </c>
      <c r="F101" s="45">
        <f>SUM(F86:Z86)</f>
        <v/>
      </c>
    </row>
    <row r="102">
      <c r="B102" s="54" t="inlineStr">
        <is>
          <t>NPV — תרחיש B (צ'ילרים — 300 RT, ללא תמריץ)</t>
        </is>
      </c>
      <c r="C102" s="7" t="inlineStr">
        <is>
          <t>ש"ח</t>
        </is>
      </c>
      <c r="F102" s="47">
        <f>SUM(F93:Z93)</f>
        <v/>
      </c>
    </row>
    <row r="103">
      <c r="B103" s="55" t="inlineStr">
        <is>
          <t>NPV — תרחיש C (צ'ילרים — 300 RT, עם תמריץ)</t>
        </is>
      </c>
      <c r="C103" s="7" t="inlineStr">
        <is>
          <t>ש"ח</t>
        </is>
      </c>
      <c r="F103" s="49">
        <f>SUM(F98:Z98)</f>
        <v/>
      </c>
    </row>
    <row r="105">
      <c r="B105" s="56" t="inlineStr">
        <is>
          <t>NPV מצטבר — הצדקת השדרוג (B−A)</t>
        </is>
      </c>
      <c r="C105" s="7" t="inlineStr">
        <is>
          <t>ש"ח</t>
        </is>
      </c>
      <c r="F105" s="57">
        <f>F102-F101</f>
        <v/>
      </c>
    </row>
    <row r="106">
      <c r="B106" s="58" t="inlineStr">
        <is>
          <t>ערך התמריץ — תועלת הפחת המואץ (C−B)</t>
        </is>
      </c>
      <c r="C106" s="7" t="inlineStr">
        <is>
          <t>ש"ח</t>
        </is>
      </c>
      <c r="F106" s="59">
        <f>F103-F102</f>
        <v/>
      </c>
    </row>
    <row r="107">
      <c r="B107" s="46" t="inlineStr">
        <is>
          <t>תקופת החזר מהוון — B (ללא תמריץ)</t>
        </is>
      </c>
      <c r="C107" s="7" t="inlineStr">
        <is>
          <t>שנים</t>
        </is>
      </c>
      <c r="F107" s="60">
        <f t="array" ref="F107">_xlfn.LET(_xlpm.diffs, F93:Z93-F86:Z86, _xlpm.n, COLUMNS(_xlpm.diffs), _xlpm.cum, MMULT(_xlpm.diffs, N(_xlfn.SEQUENCE(_xlpm.n,1)&lt;=_xlfn.SEQUENCE(1,_xlpm.n))), _xlpm.idx, MATCH(TRUE, _xlpm.cum&gt;=0, 0), IF(ISNA(_xlpm.idx), "לא מוחזר בטווח", IF(_xlpm.idx=1, 0, (_xlpm.idx-2) + (-INDEX(_xlpm.cum,_xlpm.idx-1)/INDEX(_xlpm.diffs,_xlpm.idx)))))</f>
        <v/>
      </c>
    </row>
    <row r="108">
      <c r="B108" s="48" t="inlineStr">
        <is>
          <t>תקופת החזר מהוון — C (עם תמריץ)</t>
        </is>
      </c>
      <c r="C108" s="7" t="inlineStr">
        <is>
          <t>שנים</t>
        </is>
      </c>
      <c r="F108" s="61">
        <f t="array" ref="F108">_xlfn.LET(_xlpm.diffs, F98:Z98-F86:Z86, _xlpm.n, COLUMNS(_xlpm.diffs), _xlpm.cum, MMULT(_xlpm.diffs, N(_xlfn.SEQUENCE(_xlpm.n,1)&lt;=_xlfn.SEQUENCE(1,_xlpm.n))), _xlpm.idx, MATCH(TRUE, _xlpm.cum&gt;=0, 0), IF(ISNA(_xlpm.idx), "לא מוחזר בטווח", IF(_xlpm.idx=1, 0, (_xlpm.idx-2) + (-INDEX(_xlpm.cum,_xlpm.idx-1)/INDEX(_xlpm.diffs,_xlpm.idx)))))</f>
        <v/>
      </c>
    </row>
    <row r="109">
      <c r="B109" s="21" t="inlineStr">
        <is>
          <t>הכרעה — מבחן סף החזר ההשקעה</t>
        </is>
      </c>
      <c r="C109" s="7" t="inlineStr">
        <is>
          <t>הערכה</t>
        </is>
      </c>
      <c r="D109" s="7" t="inlineStr">
        <is>
          <t>חישוב</t>
        </is>
      </c>
      <c r="F109" s="38">
        <f>IF(AND(ISNUMBER(F107),F107&lt;='נתונים והנחות'!$F$21),"כדאי גם ללא תמריץ",IF(AND(ISNUMBER(F108),F108&lt;='נתונים והנחות'!$F$21),"התמריץ הפך את ההחלטה","לא כדאי גם עם תמריץ"))</f>
        <v/>
      </c>
    </row>
    <row r="110">
      <c r="B110" s="56" t="inlineStr">
        <is>
          <t>NPV מצטבר — ערך ההשקעה המתומרצת מול הנוהג הקיים (C−A)</t>
        </is>
      </c>
      <c r="C110" s="7" t="inlineStr">
        <is>
          <t>ש"ח</t>
        </is>
      </c>
      <c r="F110" s="57">
        <f>F103-F101</f>
        <v/>
      </c>
    </row>
    <row r="111">
      <c r="B111" s="62" t="inlineStr">
        <is>
          <t>עלות פיסקלית של התמריץ למדינה (NPV)</t>
        </is>
      </c>
      <c r="C111" s="7" t="inlineStr">
        <is>
          <t>ש"ח</t>
        </is>
      </c>
      <c r="D111" s="7" t="inlineStr">
        <is>
          <t>חישוב</t>
        </is>
      </c>
      <c r="F111" s="59">
        <f>F106</f>
        <v/>
      </c>
    </row>
    <row r="115">
      <c r="B115" s="6" t="inlineStr">
        <is>
          <t>3.3  מדחסי VSD — 97.5 kW</t>
        </is>
      </c>
    </row>
    <row r="116">
      <c r="B116" s="12" t="inlineStr">
        <is>
          <t>* מול מדחס מהירות קבועה — 97.5 kW | נתונים: גיליון 'נתונים והנחות' סעיף 4</t>
        </is>
      </c>
    </row>
    <row r="117">
      <c r="B117" s="43" t="inlineStr">
        <is>
          <t>ב. לוחות פחת (ציוד בסיסי vs. יעיל)</t>
        </is>
      </c>
    </row>
    <row r="118">
      <c r="B118" s="23" t="inlineStr">
        <is>
          <t>פרמטר</t>
        </is>
      </c>
      <c r="C118" s="23" t="inlineStr">
        <is>
          <t>יחידות</t>
        </is>
      </c>
      <c r="D118" s="23" t="inlineStr">
        <is>
          <t>מקור</t>
        </is>
      </c>
      <c r="E118" s="23" t="inlineStr">
        <is>
          <t>הערות</t>
        </is>
      </c>
      <c r="F118" s="23" t="inlineStr">
        <is>
          <t>שנה 0 (השקעה)</t>
        </is>
      </c>
      <c r="G118" s="23" t="inlineStr">
        <is>
          <t>שנה 1</t>
        </is>
      </c>
      <c r="H118" s="23" t="inlineStr">
        <is>
          <t>שנה 2</t>
        </is>
      </c>
      <c r="I118" s="23" t="inlineStr">
        <is>
          <t>שנה 3</t>
        </is>
      </c>
      <c r="J118" s="23" t="inlineStr">
        <is>
          <t>שנה 4</t>
        </is>
      </c>
      <c r="K118" s="23" t="inlineStr">
        <is>
          <t>שנה 5</t>
        </is>
      </c>
      <c r="L118" s="23" t="inlineStr">
        <is>
          <t>שנה 6</t>
        </is>
      </c>
      <c r="M118" s="23" t="inlineStr">
        <is>
          <t>שנה 7</t>
        </is>
      </c>
      <c r="N118" s="23" t="inlineStr">
        <is>
          <t>שנה 8</t>
        </is>
      </c>
      <c r="O118" s="23" t="inlineStr">
        <is>
          <t>שנה 9</t>
        </is>
      </c>
      <c r="P118" s="23" t="inlineStr">
        <is>
          <t>שנה 10</t>
        </is>
      </c>
      <c r="Q118" s="23" t="inlineStr">
        <is>
          <t>שנה 11</t>
        </is>
      </c>
      <c r="R118" s="23" t="inlineStr">
        <is>
          <t>שנה 12</t>
        </is>
      </c>
      <c r="S118" s="23" t="inlineStr">
        <is>
          <t>שנה 13</t>
        </is>
      </c>
      <c r="T118" s="23" t="inlineStr">
        <is>
          <t>שנה 14</t>
        </is>
      </c>
      <c r="U118" s="23" t="inlineStr">
        <is>
          <t>שנה 15</t>
        </is>
      </c>
      <c r="V118" s="23" t="inlineStr">
        <is>
          <t>שנה 16</t>
        </is>
      </c>
      <c r="W118" s="23" t="inlineStr">
        <is>
          <t>שנה 17</t>
        </is>
      </c>
      <c r="X118" s="23" t="inlineStr">
        <is>
          <t>שנה 18</t>
        </is>
      </c>
      <c r="Y118" s="23" t="inlineStr">
        <is>
          <t>שנה 19</t>
        </is>
      </c>
      <c r="Z118" s="23" t="inlineStr">
        <is>
          <t>שנה 20</t>
        </is>
      </c>
    </row>
    <row r="119">
      <c r="B119" s="44" t="inlineStr">
        <is>
          <t>פחת סטנדרטי — מדחס מהירות קבועה — 97.5 kW</t>
        </is>
      </c>
      <c r="C119" s="7" t="inlineStr">
        <is>
          <t>₪</t>
        </is>
      </c>
      <c r="D119" s="7" t="inlineStr">
        <is>
          <t>חישוב</t>
        </is>
      </c>
      <c r="F119" s="45" t="n">
        <v>0</v>
      </c>
      <c r="G119" s="45">
        <f>IF(ISNUMBER('נתונים והנחות'!$H$40),'נתונים והנחות'!$H$40*0.1,0)</f>
        <v/>
      </c>
      <c r="H119" s="45">
        <f>IF(ISNUMBER('נתונים והנחות'!$H$40),'נתונים והנחות'!$H$40*0.1,0)</f>
        <v/>
      </c>
      <c r="I119" s="45">
        <f>IF(ISNUMBER('נתונים והנחות'!$H$40),'נתונים והנחות'!$H$40*0.1,0)</f>
        <v/>
      </c>
      <c r="J119" s="45">
        <f>IF(ISNUMBER('נתונים והנחות'!$H$40),'נתונים והנחות'!$H$40*0.1,0)</f>
        <v/>
      </c>
      <c r="K119" s="45">
        <f>IF(ISNUMBER('נתונים והנחות'!$H$40),'נתונים והנחות'!$H$40*0.1,0)</f>
        <v/>
      </c>
      <c r="L119" s="45">
        <f>IF(ISNUMBER('נתונים והנחות'!$H$40),'נתונים והנחות'!$H$40*0.1,0)</f>
        <v/>
      </c>
      <c r="M119" s="45">
        <f>IF(ISNUMBER('נתונים והנחות'!$H$40),'נתונים והנחות'!$H$40*0.1,0)</f>
        <v/>
      </c>
      <c r="N119" s="45">
        <f>IF(ISNUMBER('נתונים והנחות'!$H$40),'נתונים והנחות'!$H$40*0.1,0)</f>
        <v/>
      </c>
      <c r="O119" s="45">
        <f>IF(ISNUMBER('נתונים והנחות'!$H$40),'נתונים והנחות'!$H$40*0.1,0)</f>
        <v/>
      </c>
      <c r="P119" s="45">
        <f>IF(ISNUMBER('נתונים והנחות'!$H$40),'נתונים והנחות'!$H$40*0.1,0)</f>
        <v/>
      </c>
      <c r="Q119" s="45">
        <f>0</f>
        <v/>
      </c>
      <c r="R119" s="45">
        <f>0</f>
        <v/>
      </c>
      <c r="S119" s="45">
        <f>0</f>
        <v/>
      </c>
      <c r="T119" s="45">
        <f>0</f>
        <v/>
      </c>
      <c r="U119" s="45">
        <f>0</f>
        <v/>
      </c>
      <c r="V119" s="45">
        <f>0</f>
        <v/>
      </c>
      <c r="W119" s="45">
        <f>0</f>
        <v/>
      </c>
      <c r="X119" s="45">
        <f>0</f>
        <v/>
      </c>
      <c r="Y119" s="45">
        <f>0</f>
        <v/>
      </c>
      <c r="Z119" s="45">
        <f>0</f>
        <v/>
      </c>
    </row>
    <row r="120">
      <c r="B120" s="44" t="inlineStr">
        <is>
          <t>מגן מס — מדחס מהירות קבועה — 97.5 kW</t>
        </is>
      </c>
      <c r="C120" s="7" t="inlineStr">
        <is>
          <t>₪</t>
        </is>
      </c>
      <c r="D120" s="7" t="inlineStr">
        <is>
          <t>חישוב</t>
        </is>
      </c>
      <c r="F120" s="45" t="n">
        <v>0</v>
      </c>
      <c r="G120" s="45">
        <f>G119*'נתונים והנחות'!$F$10</f>
        <v/>
      </c>
      <c r="H120" s="45">
        <f>H119*'נתונים והנחות'!$F$10</f>
        <v/>
      </c>
      <c r="I120" s="45">
        <f>I119*'נתונים והנחות'!$F$10</f>
        <v/>
      </c>
      <c r="J120" s="45">
        <f>J119*'נתונים והנחות'!$F$10</f>
        <v/>
      </c>
      <c r="K120" s="45">
        <f>K119*'נתונים והנחות'!$F$10</f>
        <v/>
      </c>
      <c r="L120" s="45">
        <f>L119*'נתונים והנחות'!$F$10</f>
        <v/>
      </c>
      <c r="M120" s="45">
        <f>M119*'נתונים והנחות'!$F$10</f>
        <v/>
      </c>
      <c r="N120" s="45">
        <f>N119*'נתונים והנחות'!$F$10</f>
        <v/>
      </c>
      <c r="O120" s="45">
        <f>O119*'נתונים והנחות'!$F$10</f>
        <v/>
      </c>
      <c r="P120" s="45">
        <f>P119*'נתונים והנחות'!$F$10</f>
        <v/>
      </c>
      <c r="Q120" s="45">
        <f>Q119*'נתונים והנחות'!$F$10</f>
        <v/>
      </c>
      <c r="R120" s="45">
        <f>R119*'נתונים והנחות'!$F$10</f>
        <v/>
      </c>
      <c r="S120" s="45">
        <f>S119*'נתונים והנחות'!$F$10</f>
        <v/>
      </c>
      <c r="T120" s="45">
        <f>T119*'נתונים והנחות'!$F$10</f>
        <v/>
      </c>
      <c r="U120" s="45">
        <f>U119*'נתונים והנחות'!$F$10</f>
        <v/>
      </c>
      <c r="V120" s="45">
        <f>V119*'נתונים והנחות'!$F$10</f>
        <v/>
      </c>
      <c r="W120" s="45">
        <f>W119*'נתונים והנחות'!$F$10</f>
        <v/>
      </c>
      <c r="X120" s="45">
        <f>X119*'נתונים והנחות'!$F$10</f>
        <v/>
      </c>
      <c r="Y120" s="45">
        <f>Y119*'נתונים והנחות'!$F$10</f>
        <v/>
      </c>
      <c r="Z120" s="45">
        <f>Z119*'נתונים והנחות'!$F$10</f>
        <v/>
      </c>
    </row>
    <row r="121">
      <c r="B121" s="46" t="inlineStr">
        <is>
          <t>פחת סטנדרטי — מדחסי VSD — 97.5 kW</t>
        </is>
      </c>
      <c r="C121" s="7" t="inlineStr">
        <is>
          <t>₪</t>
        </is>
      </c>
      <c r="D121" s="7" t="inlineStr">
        <is>
          <t>חישוב</t>
        </is>
      </c>
      <c r="F121" s="47" t="n">
        <v>0</v>
      </c>
      <c r="G121" s="47">
        <f>IF(ISNUMBER('נתונים והנחות'!$H$41),'נתונים והנחות'!$H$41*0.1,0)</f>
        <v/>
      </c>
      <c r="H121" s="47">
        <f>IF(ISNUMBER('נתונים והנחות'!$H$41),'נתונים והנחות'!$H$41*0.1,0)</f>
        <v/>
      </c>
      <c r="I121" s="47">
        <f>IF(ISNUMBER('נתונים והנחות'!$H$41),'נתונים והנחות'!$H$41*0.1,0)</f>
        <v/>
      </c>
      <c r="J121" s="47">
        <f>IF(ISNUMBER('נתונים והנחות'!$H$41),'נתונים והנחות'!$H$41*0.1,0)</f>
        <v/>
      </c>
      <c r="K121" s="47">
        <f>IF(ISNUMBER('נתונים והנחות'!$H$41),'נתונים והנחות'!$H$41*0.1,0)</f>
        <v/>
      </c>
      <c r="L121" s="47">
        <f>IF(ISNUMBER('נתונים והנחות'!$H$41),'נתונים והנחות'!$H$41*0.1,0)</f>
        <v/>
      </c>
      <c r="M121" s="47">
        <f>IF(ISNUMBER('נתונים והנחות'!$H$41),'נתונים והנחות'!$H$41*0.1,0)</f>
        <v/>
      </c>
      <c r="N121" s="47">
        <f>IF(ISNUMBER('נתונים והנחות'!$H$41),'נתונים והנחות'!$H$41*0.1,0)</f>
        <v/>
      </c>
      <c r="O121" s="47">
        <f>IF(ISNUMBER('נתונים והנחות'!$H$41),'נתונים והנחות'!$H$41*0.1,0)</f>
        <v/>
      </c>
      <c r="P121" s="47">
        <f>IF(ISNUMBER('נתונים והנחות'!$H$41),'נתונים והנחות'!$H$41*0.1,0)</f>
        <v/>
      </c>
      <c r="Q121" s="47">
        <f>0</f>
        <v/>
      </c>
      <c r="R121" s="47">
        <f>0</f>
        <v/>
      </c>
      <c r="S121" s="47">
        <f>0</f>
        <v/>
      </c>
      <c r="T121" s="47">
        <f>0</f>
        <v/>
      </c>
      <c r="U121" s="47">
        <f>0</f>
        <v/>
      </c>
      <c r="V121" s="47">
        <f>0</f>
        <v/>
      </c>
      <c r="W121" s="47">
        <f>0</f>
        <v/>
      </c>
      <c r="X121" s="47">
        <f>0</f>
        <v/>
      </c>
      <c r="Y121" s="47">
        <f>0</f>
        <v/>
      </c>
      <c r="Z121" s="47">
        <f>0</f>
        <v/>
      </c>
    </row>
    <row r="122">
      <c r="B122" s="46" t="inlineStr">
        <is>
          <t>מגן מס סטנדרטי — מדחסי VSD — 97.5 kW</t>
        </is>
      </c>
      <c r="C122" s="7" t="inlineStr">
        <is>
          <t>₪</t>
        </is>
      </c>
      <c r="D122" s="7" t="inlineStr">
        <is>
          <t>חישוב</t>
        </is>
      </c>
      <c r="F122" s="47" t="n">
        <v>0</v>
      </c>
      <c r="G122" s="47">
        <f>G121*'נתונים והנחות'!$F$10</f>
        <v/>
      </c>
      <c r="H122" s="47">
        <f>H121*'נתונים והנחות'!$F$10</f>
        <v/>
      </c>
      <c r="I122" s="47">
        <f>I121*'נתונים והנחות'!$F$10</f>
        <v/>
      </c>
      <c r="J122" s="47">
        <f>J121*'נתונים והנחות'!$F$10</f>
        <v/>
      </c>
      <c r="K122" s="47">
        <f>K121*'נתונים והנחות'!$F$10</f>
        <v/>
      </c>
      <c r="L122" s="47">
        <f>L121*'נתונים והנחות'!$F$10</f>
        <v/>
      </c>
      <c r="M122" s="47">
        <f>M121*'נתונים והנחות'!$F$10</f>
        <v/>
      </c>
      <c r="N122" s="47">
        <f>N121*'נתונים והנחות'!$F$10</f>
        <v/>
      </c>
      <c r="O122" s="47">
        <f>O121*'נתונים והנחות'!$F$10</f>
        <v/>
      </c>
      <c r="P122" s="47">
        <f>P121*'נתונים והנחות'!$F$10</f>
        <v/>
      </c>
      <c r="Q122" s="47">
        <f>Q121*'נתונים והנחות'!$F$10</f>
        <v/>
      </c>
      <c r="R122" s="47">
        <f>R121*'נתונים והנחות'!$F$10</f>
        <v/>
      </c>
      <c r="S122" s="47">
        <f>S121*'נתונים והנחות'!$F$10</f>
        <v/>
      </c>
      <c r="T122" s="47">
        <f>T121*'נתונים והנחות'!$F$10</f>
        <v/>
      </c>
      <c r="U122" s="47">
        <f>U121*'נתונים והנחות'!$F$10</f>
        <v/>
      </c>
      <c r="V122" s="47">
        <f>V121*'נתונים והנחות'!$F$10</f>
        <v/>
      </c>
      <c r="W122" s="47">
        <f>W121*'נתונים והנחות'!$F$10</f>
        <v/>
      </c>
      <c r="X122" s="47">
        <f>X121*'נתונים והנחות'!$F$10</f>
        <v/>
      </c>
      <c r="Y122" s="47">
        <f>Y121*'נתונים והנחות'!$F$10</f>
        <v/>
      </c>
      <c r="Z122" s="47">
        <f>Z121*'נתונים והנחות'!$F$10</f>
        <v/>
      </c>
    </row>
    <row r="123">
      <c r="B123" s="48" t="inlineStr">
        <is>
          <t>פחת מואץ — מדחסי VSD — 97.5 kW</t>
        </is>
      </c>
      <c r="C123" s="7" t="inlineStr">
        <is>
          <t>₪</t>
        </is>
      </c>
      <c r="D123" s="7" t="inlineStr">
        <is>
          <t>חישוב</t>
        </is>
      </c>
      <c r="F123" s="49" t="n">
        <v>0</v>
      </c>
      <c r="G123" s="49">
        <f>IF(ISNUMBER('נתונים והנחות'!$H$41),IF(1&lt;ROUND(1/(0.1*'נתונים והנחות'!$F$20),0),'נתונים והנחות'!$H$41*0.1*'נתונים והנחות'!$F$20,IF(1=ROUND(1/(0.1*'נתונים והנחות'!$F$20),0),'נתונים והנחות'!$H$41-('נתונים והנחות'!$H$41*0.1*'נתונים והנחות'!$F$20)*(ROUND(1/(0.1*'נתונים והנחות'!$F$20),0)-1),0)),0)</f>
        <v/>
      </c>
      <c r="H123" s="49">
        <f>IF(ISNUMBER('נתונים והנחות'!$H$41),IF(2&lt;ROUND(1/(0.1*'נתונים והנחות'!$F$20),0),'נתונים והנחות'!$H$41*0.1*'נתונים והנחות'!$F$20,IF(2=ROUND(1/(0.1*'נתונים והנחות'!$F$20),0),'נתונים והנחות'!$H$41-('נתונים והנחות'!$H$41*0.1*'נתונים והנחות'!$F$20)*(ROUND(1/(0.1*'נתונים והנחות'!$F$20),0)-1),0)),0)</f>
        <v/>
      </c>
      <c r="I123" s="49">
        <f>IF(ISNUMBER('נתונים והנחות'!$H$41),IF(3&lt;ROUND(1/(0.1*'נתונים והנחות'!$F$20),0),'נתונים והנחות'!$H$41*0.1*'נתונים והנחות'!$F$20,IF(3=ROUND(1/(0.1*'נתונים והנחות'!$F$20),0),'נתונים והנחות'!$H$41-('נתונים והנחות'!$H$41*0.1*'נתונים והנחות'!$F$20)*(ROUND(1/(0.1*'נתונים והנחות'!$F$20),0)-1),0)),0)</f>
        <v/>
      </c>
      <c r="J123" s="49">
        <f>IF(ISNUMBER('נתונים והנחות'!$H$41),IF(4&lt;ROUND(1/(0.1*'נתונים והנחות'!$F$20),0),'נתונים והנחות'!$H$41*0.1*'נתונים והנחות'!$F$20,IF(4=ROUND(1/(0.1*'נתונים והנחות'!$F$20),0),'נתונים והנחות'!$H$41-('נתונים והנחות'!$H$41*0.1*'נתונים והנחות'!$F$20)*(ROUND(1/(0.1*'נתונים והנחות'!$F$20),0)-1),0)),0)</f>
        <v/>
      </c>
      <c r="K123" s="49">
        <f>IF(ISNUMBER('נתונים והנחות'!$H$41),IF(5&lt;ROUND(1/(0.1*'נתונים והנחות'!$F$20),0),'נתונים והנחות'!$H$41*0.1*'נתונים והנחות'!$F$20,IF(5=ROUND(1/(0.1*'נתונים והנחות'!$F$20),0),'נתונים והנחות'!$H$41-('נתונים והנחות'!$H$41*0.1*'נתונים והנחות'!$F$20)*(ROUND(1/(0.1*'נתונים והנחות'!$F$20),0)-1),0)),0)</f>
        <v/>
      </c>
      <c r="L123" s="49">
        <f>IF(ISNUMBER('נתונים והנחות'!$H$41),IF(6&lt;ROUND(1/(0.1*'נתונים והנחות'!$F$20),0),'נתונים והנחות'!$H$41*0.1*'נתונים והנחות'!$F$20,IF(6=ROUND(1/(0.1*'נתונים והנחות'!$F$20),0),'נתונים והנחות'!$H$41-('נתונים והנחות'!$H$41*0.1*'נתונים והנחות'!$F$20)*(ROUND(1/(0.1*'נתונים והנחות'!$F$20),0)-1),0)),0)</f>
        <v/>
      </c>
      <c r="M123" s="49">
        <f>IF(ISNUMBER('נתונים והנחות'!$H$41),IF(7&lt;ROUND(1/(0.1*'נתונים והנחות'!$F$20),0),'נתונים והנחות'!$H$41*0.1*'נתונים והנחות'!$F$20,IF(7=ROUND(1/(0.1*'נתונים והנחות'!$F$20),0),'נתונים והנחות'!$H$41-('נתונים והנחות'!$H$41*0.1*'נתונים והנחות'!$F$20)*(ROUND(1/(0.1*'נתונים והנחות'!$F$20),0)-1),0)),0)</f>
        <v/>
      </c>
      <c r="N123" s="49">
        <f>IF(ISNUMBER('נתונים והנחות'!$H$41),IF(8&lt;ROUND(1/(0.1*'נתונים והנחות'!$F$20),0),'נתונים והנחות'!$H$41*0.1*'נתונים והנחות'!$F$20,IF(8=ROUND(1/(0.1*'נתונים והנחות'!$F$20),0),'נתונים והנחות'!$H$41-('נתונים והנחות'!$H$41*0.1*'נתונים והנחות'!$F$20)*(ROUND(1/(0.1*'נתונים והנחות'!$F$20),0)-1),0)),0)</f>
        <v/>
      </c>
      <c r="O123" s="49">
        <f>IF(ISNUMBER('נתונים והנחות'!$H$41),IF(9&lt;ROUND(1/(0.1*'נתונים והנחות'!$F$20),0),'נתונים והנחות'!$H$41*0.1*'נתונים והנחות'!$F$20,IF(9=ROUND(1/(0.1*'נתונים והנחות'!$F$20),0),'נתונים והנחות'!$H$41-('נתונים והנחות'!$H$41*0.1*'נתונים והנחות'!$F$20)*(ROUND(1/(0.1*'נתונים והנחות'!$F$20),0)-1),0)),0)</f>
        <v/>
      </c>
      <c r="P123" s="49">
        <f>IF(ISNUMBER('נתונים והנחות'!$H$41),IF(10&lt;ROUND(1/(0.1*'נתונים והנחות'!$F$20),0),'נתונים והנחות'!$H$41*0.1*'נתונים והנחות'!$F$20,IF(10=ROUND(1/(0.1*'נתונים והנחות'!$F$20),0),'נתונים והנחות'!$H$41-('נתונים והנחות'!$H$41*0.1*'נתונים והנחות'!$F$20)*(ROUND(1/(0.1*'נתונים והנחות'!$F$20),0)-1),0)),0)</f>
        <v/>
      </c>
      <c r="Q123" s="49">
        <f>IF(ISNUMBER('נתונים והנחות'!$H$41),IF(11&lt;ROUND(1/(0.1*'נתונים והנחות'!$F$20),0),'נתונים והנחות'!$H$41*0.1*'נתונים והנחות'!$F$20,IF(11=ROUND(1/(0.1*'נתונים והנחות'!$F$20),0),'נתונים והנחות'!$H$41-('נתונים והנחות'!$H$41*0.1*'נתונים והנחות'!$F$20)*(ROUND(1/(0.1*'נתונים והנחות'!$F$20),0)-1),0)),0)</f>
        <v/>
      </c>
      <c r="R123" s="49">
        <f>IF(ISNUMBER('נתונים והנחות'!$H$41),IF(12&lt;ROUND(1/(0.1*'נתונים והנחות'!$F$20),0),'נתונים והנחות'!$H$41*0.1*'נתונים והנחות'!$F$20,IF(12=ROUND(1/(0.1*'נתונים והנחות'!$F$20),0),'נתונים והנחות'!$H$41-('נתונים והנחות'!$H$41*0.1*'נתונים והנחות'!$F$20)*(ROUND(1/(0.1*'נתונים והנחות'!$F$20),0)-1),0)),0)</f>
        <v/>
      </c>
      <c r="S123" s="49">
        <f>IF(ISNUMBER('נתונים והנחות'!$H$41),IF(13&lt;ROUND(1/(0.1*'נתונים והנחות'!$F$20),0),'נתונים והנחות'!$H$41*0.1*'נתונים והנחות'!$F$20,IF(13=ROUND(1/(0.1*'נתונים והנחות'!$F$20),0),'נתונים והנחות'!$H$41-('נתונים והנחות'!$H$41*0.1*'נתונים והנחות'!$F$20)*(ROUND(1/(0.1*'נתונים והנחות'!$F$20),0)-1),0)),0)</f>
        <v/>
      </c>
      <c r="T123" s="49">
        <f>IF(ISNUMBER('נתונים והנחות'!$H$41),IF(14&lt;ROUND(1/(0.1*'נתונים והנחות'!$F$20),0),'נתונים והנחות'!$H$41*0.1*'נתונים והנחות'!$F$20,IF(14=ROUND(1/(0.1*'נתונים והנחות'!$F$20),0),'נתונים והנחות'!$H$41-('נתונים והנחות'!$H$41*0.1*'נתונים והנחות'!$F$20)*(ROUND(1/(0.1*'נתונים והנחות'!$F$20),0)-1),0)),0)</f>
        <v/>
      </c>
      <c r="U123" s="49">
        <f>IF(ISNUMBER('נתונים והנחות'!$H$41),IF(15&lt;ROUND(1/(0.1*'נתונים והנחות'!$F$20),0),'נתונים והנחות'!$H$41*0.1*'נתונים והנחות'!$F$20,IF(15=ROUND(1/(0.1*'נתונים והנחות'!$F$20),0),'נתונים והנחות'!$H$41-('נתונים והנחות'!$H$41*0.1*'נתונים והנחות'!$F$20)*(ROUND(1/(0.1*'נתונים והנחות'!$F$20),0)-1),0)),0)</f>
        <v/>
      </c>
      <c r="V123" s="49">
        <f>IF(ISNUMBER('נתונים והנחות'!$H$41),IF(16&lt;ROUND(1/(0.1*'נתונים והנחות'!$F$20),0),'נתונים והנחות'!$H$41*0.1*'נתונים והנחות'!$F$20,IF(16=ROUND(1/(0.1*'נתונים והנחות'!$F$20),0),'נתונים והנחות'!$H$41-('נתונים והנחות'!$H$41*0.1*'נתונים והנחות'!$F$20)*(ROUND(1/(0.1*'נתונים והנחות'!$F$20),0)-1),0)),0)</f>
        <v/>
      </c>
      <c r="W123" s="49">
        <f>IF(ISNUMBER('נתונים והנחות'!$H$41),IF(17&lt;ROUND(1/(0.1*'נתונים והנחות'!$F$20),0),'נתונים והנחות'!$H$41*0.1*'נתונים והנחות'!$F$20,IF(17=ROUND(1/(0.1*'נתונים והנחות'!$F$20),0),'נתונים והנחות'!$H$41-('נתונים והנחות'!$H$41*0.1*'נתונים והנחות'!$F$20)*(ROUND(1/(0.1*'נתונים והנחות'!$F$20),0)-1),0)),0)</f>
        <v/>
      </c>
      <c r="X123" s="49">
        <f>IF(ISNUMBER('נתונים והנחות'!$H$41),IF(18&lt;ROUND(1/(0.1*'נתונים והנחות'!$F$20),0),'נתונים והנחות'!$H$41*0.1*'נתונים והנחות'!$F$20,IF(18=ROUND(1/(0.1*'נתונים והנחות'!$F$20),0),'נתונים והנחות'!$H$41-('נתונים והנחות'!$H$41*0.1*'נתונים והנחות'!$F$20)*(ROUND(1/(0.1*'נתונים והנחות'!$F$20),0)-1),0)),0)</f>
        <v/>
      </c>
      <c r="Y123" s="49">
        <f>IF(ISNUMBER('נתונים והנחות'!$H$41),IF(19&lt;ROUND(1/(0.1*'נתונים והנחות'!$F$20),0),'נתונים והנחות'!$H$41*0.1*'נתונים והנחות'!$F$20,IF(19=ROUND(1/(0.1*'נתונים והנחות'!$F$20),0),'נתונים והנחות'!$H$41-('נתונים והנחות'!$H$41*0.1*'נתונים והנחות'!$F$20)*(ROUND(1/(0.1*'נתונים והנחות'!$F$20),0)-1),0)),0)</f>
        <v/>
      </c>
      <c r="Z123" s="49">
        <f>IF(ISNUMBER('נתונים והנחות'!$H$41),IF(20&lt;ROUND(1/(0.1*'נתונים והנחות'!$F$20),0),'נתונים והנחות'!$H$41*0.1*'נתונים והנחות'!$F$20,IF(20=ROUND(1/(0.1*'נתונים והנחות'!$F$20),0),'נתונים והנחות'!$H$41-('נתונים והנחות'!$H$41*0.1*'נתונים והנחות'!$F$20)*(ROUND(1/(0.1*'נתונים והנחות'!$F$20),0)-1),0)),0)</f>
        <v/>
      </c>
    </row>
    <row r="124">
      <c r="B124" s="48" t="inlineStr">
        <is>
          <t>מגן מס מואץ — מדחסי VSD — 97.5 kW</t>
        </is>
      </c>
      <c r="C124" s="7" t="inlineStr">
        <is>
          <t>₪</t>
        </is>
      </c>
      <c r="D124" s="7" t="inlineStr">
        <is>
          <t>חישוב</t>
        </is>
      </c>
      <c r="F124" s="49" t="n">
        <v>0</v>
      </c>
      <c r="G124" s="49">
        <f>G123*'נתונים והנחות'!$F$10</f>
        <v/>
      </c>
      <c r="H124" s="49">
        <f>H123*'נתונים והנחות'!$F$10</f>
        <v/>
      </c>
      <c r="I124" s="49">
        <f>I123*'נתונים והנחות'!$F$10</f>
        <v/>
      </c>
      <c r="J124" s="49">
        <f>J123*'נתונים והנחות'!$F$10</f>
        <v/>
      </c>
      <c r="K124" s="49">
        <f>K123*'נתונים והנחות'!$F$10</f>
        <v/>
      </c>
      <c r="L124" s="49">
        <f>L123*'נתונים והנחות'!$F$10</f>
        <v/>
      </c>
      <c r="M124" s="49">
        <f>M123*'נתונים והנחות'!$F$10</f>
        <v/>
      </c>
      <c r="N124" s="49">
        <f>N123*'נתונים והנחות'!$F$10</f>
        <v/>
      </c>
      <c r="O124" s="49">
        <f>O123*'נתונים והנחות'!$F$10</f>
        <v/>
      </c>
      <c r="P124" s="49">
        <f>P123*'נתונים והנחות'!$F$10</f>
        <v/>
      </c>
      <c r="Q124" s="49">
        <f>Q123*'נתונים והנחות'!$F$10</f>
        <v/>
      </c>
      <c r="R124" s="49">
        <f>R123*'נתונים והנחות'!$F$10</f>
        <v/>
      </c>
      <c r="S124" s="49">
        <f>S123*'נתונים והנחות'!$F$10</f>
        <v/>
      </c>
      <c r="T124" s="49">
        <f>T123*'נתונים והנחות'!$F$10</f>
        <v/>
      </c>
      <c r="U124" s="49">
        <f>U123*'נתונים והנחות'!$F$10</f>
        <v/>
      </c>
      <c r="V124" s="49">
        <f>V123*'נתונים והנחות'!$F$10</f>
        <v/>
      </c>
      <c r="W124" s="49">
        <f>W123*'נתונים והנחות'!$F$10</f>
        <v/>
      </c>
      <c r="X124" s="49">
        <f>X123*'נתונים והנחות'!$F$10</f>
        <v/>
      </c>
      <c r="Y124" s="49">
        <f>Y123*'נתונים והנחות'!$F$10</f>
        <v/>
      </c>
      <c r="Z124" s="49">
        <f>Z123*'נתונים והנחות'!$F$10</f>
        <v/>
      </c>
    </row>
    <row r="126">
      <c r="B126" s="43" t="inlineStr">
        <is>
          <t>ג. ניתוח תזרים מזומנים — שלושה תרחישים</t>
        </is>
      </c>
    </row>
    <row r="127">
      <c r="B127" s="23" t="inlineStr">
        <is>
          <t>פרמטר</t>
        </is>
      </c>
      <c r="C127" s="23" t="inlineStr">
        <is>
          <t>יחידות</t>
        </is>
      </c>
      <c r="D127" s="23" t="inlineStr">
        <is>
          <t>מקור</t>
        </is>
      </c>
      <c r="E127" s="23" t="inlineStr">
        <is>
          <t>הערות</t>
        </is>
      </c>
      <c r="F127" s="23" t="inlineStr">
        <is>
          <t>שנה 0 (השקעה)</t>
        </is>
      </c>
      <c r="G127" s="23" t="inlineStr">
        <is>
          <t>שנה 1</t>
        </is>
      </c>
      <c r="H127" s="23" t="inlineStr">
        <is>
          <t>שנה 2</t>
        </is>
      </c>
      <c r="I127" s="23" t="inlineStr">
        <is>
          <t>שנה 3</t>
        </is>
      </c>
      <c r="J127" s="23" t="inlineStr">
        <is>
          <t>שנה 4</t>
        </is>
      </c>
      <c r="K127" s="23" t="inlineStr">
        <is>
          <t>שנה 5</t>
        </is>
      </c>
      <c r="L127" s="23" t="inlineStr">
        <is>
          <t>שנה 6</t>
        </is>
      </c>
      <c r="M127" s="23" t="inlineStr">
        <is>
          <t>שנה 7</t>
        </is>
      </c>
      <c r="N127" s="23" t="inlineStr">
        <is>
          <t>שנה 8</t>
        </is>
      </c>
      <c r="O127" s="23" t="inlineStr">
        <is>
          <t>שנה 9</t>
        </is>
      </c>
      <c r="P127" s="23" t="inlineStr">
        <is>
          <t>שנה 10</t>
        </is>
      </c>
      <c r="Q127" s="23" t="inlineStr">
        <is>
          <t>שנה 11</t>
        </is>
      </c>
      <c r="R127" s="23" t="inlineStr">
        <is>
          <t>שנה 12</t>
        </is>
      </c>
      <c r="S127" s="23" t="inlineStr">
        <is>
          <t>שנה 13</t>
        </is>
      </c>
      <c r="T127" s="23" t="inlineStr">
        <is>
          <t>שנה 14</t>
        </is>
      </c>
      <c r="U127" s="23" t="inlineStr">
        <is>
          <t>שנה 15</t>
        </is>
      </c>
      <c r="V127" s="23" t="inlineStr">
        <is>
          <t>שנה 16</t>
        </is>
      </c>
      <c r="W127" s="23" t="inlineStr">
        <is>
          <t>שנה 17</t>
        </is>
      </c>
      <c r="X127" s="23" t="inlineStr">
        <is>
          <t>שנה 18</t>
        </is>
      </c>
      <c r="Y127" s="23" t="inlineStr">
        <is>
          <t>שנה 19</t>
        </is>
      </c>
      <c r="Z127" s="23" t="inlineStr">
        <is>
          <t>שנה 20</t>
        </is>
      </c>
    </row>
    <row r="128">
      <c r="B128" s="50" t="inlineStr">
        <is>
          <t>תרחיש A — רכישת מדחס מהירות קבועה — 97.5 kW (ציוד קיים)</t>
        </is>
      </c>
    </row>
    <row r="129">
      <c r="B129" s="44" t="inlineStr">
        <is>
          <t>השקעה ראשונית</t>
        </is>
      </c>
      <c r="C129" s="7" t="inlineStr">
        <is>
          <t>₪</t>
        </is>
      </c>
      <c r="D129" s="7" t="inlineStr">
        <is>
          <t>חישוב</t>
        </is>
      </c>
      <c r="F129" s="45">
        <f>IF(ISNUMBER('נתונים והנחות'!$H$40),-'נתונים והנחות'!$H$40,"PENDING")</f>
        <v/>
      </c>
    </row>
    <row r="130">
      <c r="B130" s="44" t="inlineStr">
        <is>
          <t>OPEX אנרגיה</t>
        </is>
      </c>
      <c r="C130" s="7" t="inlineStr">
        <is>
          <t>₪</t>
        </is>
      </c>
      <c r="D130" s="7" t="inlineStr">
        <is>
          <t>חישוב</t>
        </is>
      </c>
      <c r="F130" s="45" t="n">
        <v>0</v>
      </c>
      <c r="G130" s="45">
        <f>IF(ISNUMBER('נתונים והנחות'!$H$46),-'נתונים והנחות'!$H$46,0)</f>
        <v/>
      </c>
      <c r="H130" s="45">
        <f>IF(ISNUMBER('נתונים והנחות'!$H$46),-'נתונים והנחות'!$H$46,0)</f>
        <v/>
      </c>
      <c r="I130" s="45">
        <f>IF(ISNUMBER('נתונים והנחות'!$H$46),-'נתונים והנחות'!$H$46,0)</f>
        <v/>
      </c>
      <c r="J130" s="45">
        <f>IF(ISNUMBER('נתונים והנחות'!$H$46),-'נתונים והנחות'!$H$46,0)</f>
        <v/>
      </c>
      <c r="K130" s="45">
        <f>IF(ISNUMBER('נתונים והנחות'!$H$46),-'נתונים והנחות'!$H$46,0)</f>
        <v/>
      </c>
      <c r="L130" s="45">
        <f>IF(ISNUMBER('נתונים והנחות'!$H$46),-'נתונים והנחות'!$H$46,0)</f>
        <v/>
      </c>
      <c r="M130" s="45">
        <f>IF(ISNUMBER('נתונים והנחות'!$H$46),-'נתונים והנחות'!$H$46,0)</f>
        <v/>
      </c>
      <c r="N130" s="45">
        <f>IF(ISNUMBER('נתונים והנחות'!$H$46),-'נתונים והנחות'!$H$46,0)</f>
        <v/>
      </c>
      <c r="O130" s="45">
        <f>IF(ISNUMBER('נתונים והנחות'!$H$46),-'נתונים והנחות'!$H$46,0)</f>
        <v/>
      </c>
      <c r="P130" s="45">
        <f>IF(ISNUMBER('נתונים והנחות'!$H$46),-'נתונים והנחות'!$H$46,0)</f>
        <v/>
      </c>
      <c r="Q130" s="45">
        <f>IF(ISNUMBER('נתונים והנחות'!$H$46),-'נתונים והנחות'!$H$46,0)</f>
        <v/>
      </c>
      <c r="R130" s="45">
        <f>IF(ISNUMBER('נתונים והנחות'!$H$46),-'נתונים והנחות'!$H$46,0)</f>
        <v/>
      </c>
      <c r="S130" s="45">
        <f>0</f>
        <v/>
      </c>
      <c r="T130" s="45">
        <f>0</f>
        <v/>
      </c>
      <c r="U130" s="45">
        <f>0</f>
        <v/>
      </c>
      <c r="V130" s="45">
        <f>0</f>
        <v/>
      </c>
      <c r="W130" s="45">
        <f>0</f>
        <v/>
      </c>
      <c r="X130" s="45">
        <f>0</f>
        <v/>
      </c>
      <c r="Y130" s="45">
        <f>0</f>
        <v/>
      </c>
      <c r="Z130" s="45">
        <f>0</f>
        <v/>
      </c>
    </row>
    <row r="131">
      <c r="B131" s="44" t="inlineStr">
        <is>
          <t>OPEX אחר</t>
        </is>
      </c>
      <c r="C131" s="7" t="inlineStr">
        <is>
          <t>₪</t>
        </is>
      </c>
      <c r="D131" s="7" t="inlineStr">
        <is>
          <t>חישוב</t>
        </is>
      </c>
      <c r="F131" s="45" t="n">
        <v>0</v>
      </c>
      <c r="G131" s="45" t="n">
        <v>0</v>
      </c>
      <c r="H131" s="45" t="n">
        <v>0</v>
      </c>
      <c r="I131" s="45" t="n">
        <v>0</v>
      </c>
      <c r="J131" s="45" t="n">
        <v>0</v>
      </c>
      <c r="K131" s="45" t="n">
        <v>0</v>
      </c>
      <c r="L131" s="45" t="n">
        <v>0</v>
      </c>
      <c r="M131" s="45" t="n">
        <v>0</v>
      </c>
      <c r="N131" s="45" t="n">
        <v>0</v>
      </c>
      <c r="O131" s="45" t="n">
        <v>0</v>
      </c>
      <c r="P131" s="45" t="n">
        <v>0</v>
      </c>
      <c r="Q131" s="45" t="n">
        <v>0</v>
      </c>
      <c r="R131" s="45" t="n">
        <v>0</v>
      </c>
      <c r="S131" s="45" t="n">
        <v>0</v>
      </c>
      <c r="T131" s="45" t="n">
        <v>0</v>
      </c>
      <c r="U131" s="45" t="n">
        <v>0</v>
      </c>
      <c r="V131" s="45" t="n">
        <v>0</v>
      </c>
      <c r="W131" s="45" t="n">
        <v>0</v>
      </c>
      <c r="X131" s="45" t="n">
        <v>0</v>
      </c>
      <c r="Y131" s="45" t="n">
        <v>0</v>
      </c>
      <c r="Z131" s="45" t="n">
        <v>0</v>
      </c>
    </row>
    <row r="132">
      <c r="B132" s="44" t="inlineStr">
        <is>
          <t>תזרים נקי — A</t>
        </is>
      </c>
      <c r="C132" s="7" t="inlineStr">
        <is>
          <t>₪</t>
        </is>
      </c>
      <c r="D132" s="7" t="inlineStr">
        <is>
          <t>חישוב</t>
        </is>
      </c>
      <c r="F132" s="45">
        <f>F129</f>
        <v/>
      </c>
      <c r="G132" s="45">
        <f>G130+G131+G120</f>
        <v/>
      </c>
      <c r="H132" s="45">
        <f>H130+H131+H120</f>
        <v/>
      </c>
      <c r="I132" s="45">
        <f>I130+I131+I120</f>
        <v/>
      </c>
      <c r="J132" s="45">
        <f>J130+J131+J120</f>
        <v/>
      </c>
      <c r="K132" s="45">
        <f>K130+K131+K120</f>
        <v/>
      </c>
      <c r="L132" s="45">
        <f>L130+L131+L120</f>
        <v/>
      </c>
      <c r="M132" s="45">
        <f>M130+M131+M120</f>
        <v/>
      </c>
      <c r="N132" s="45">
        <f>N130+N131+N120</f>
        <v/>
      </c>
      <c r="O132" s="45">
        <f>O130+O131+O120</f>
        <v/>
      </c>
      <c r="P132" s="45">
        <f>P130+P131+P120</f>
        <v/>
      </c>
      <c r="Q132" s="45">
        <f>Q130+Q131+Q120</f>
        <v/>
      </c>
      <c r="R132" s="45">
        <f>R130+R131+R120</f>
        <v/>
      </c>
      <c r="S132" s="45">
        <f>S130+S131+S120</f>
        <v/>
      </c>
      <c r="T132" s="45">
        <f>T130+T131+T120</f>
        <v/>
      </c>
      <c r="U132" s="45">
        <f>U130+U131+U120</f>
        <v/>
      </c>
      <c r="V132" s="45">
        <f>V130+V131+V120</f>
        <v/>
      </c>
      <c r="W132" s="45">
        <f>W130+W131+W120</f>
        <v/>
      </c>
      <c r="X132" s="45">
        <f>X130+X131+X120</f>
        <v/>
      </c>
      <c r="Y132" s="45">
        <f>Y130+Y131+Y120</f>
        <v/>
      </c>
      <c r="Z132" s="45">
        <f>Z130+Z131+Z120</f>
        <v/>
      </c>
    </row>
    <row r="133">
      <c r="B133" s="44" t="inlineStr">
        <is>
          <t>תזרים מהוון — A</t>
        </is>
      </c>
      <c r="C133" s="7" t="inlineStr">
        <is>
          <t>₪</t>
        </is>
      </c>
      <c r="D133" s="7" t="inlineStr">
        <is>
          <t>חישוב</t>
        </is>
      </c>
      <c r="F133" s="45">
        <f>F132</f>
        <v/>
      </c>
      <c r="G133" s="45">
        <f>G132/(1+'נתונים והנחות'!$F$11)^1</f>
        <v/>
      </c>
      <c r="H133" s="45">
        <f>H132/(1+'נתונים והנחות'!$F$11)^2</f>
        <v/>
      </c>
      <c r="I133" s="45">
        <f>I132/(1+'נתונים והנחות'!$F$11)^3</f>
        <v/>
      </c>
      <c r="J133" s="45">
        <f>J132/(1+'נתונים והנחות'!$F$11)^4</f>
        <v/>
      </c>
      <c r="K133" s="45">
        <f>K132/(1+'נתונים והנחות'!$F$11)^5</f>
        <v/>
      </c>
      <c r="L133" s="45">
        <f>L132/(1+'נתונים והנחות'!$F$11)^6</f>
        <v/>
      </c>
      <c r="M133" s="45">
        <f>M132/(1+'נתונים והנחות'!$F$11)^7</f>
        <v/>
      </c>
      <c r="N133" s="45">
        <f>N132/(1+'נתונים והנחות'!$F$11)^8</f>
        <v/>
      </c>
      <c r="O133" s="45">
        <f>O132/(1+'נתונים והנחות'!$F$11)^9</f>
        <v/>
      </c>
      <c r="P133" s="45">
        <f>P132/(1+'נתונים והנחות'!$F$11)^10</f>
        <v/>
      </c>
      <c r="Q133" s="45">
        <f>Q132/(1+'נתונים והנחות'!$F$11)^11</f>
        <v/>
      </c>
      <c r="R133" s="45">
        <f>R132/(1+'נתונים והנחות'!$F$11)^12</f>
        <v/>
      </c>
      <c r="S133" s="45">
        <f>S132/(1+'נתונים והנחות'!$F$11)^13</f>
        <v/>
      </c>
      <c r="T133" s="45">
        <f>T132/(1+'נתונים והנחות'!$F$11)^14</f>
        <v/>
      </c>
      <c r="U133" s="45">
        <f>U132/(1+'נתונים והנחות'!$F$11)^15</f>
        <v/>
      </c>
      <c r="V133" s="45">
        <f>V132/(1+'נתונים והנחות'!$F$11)^16</f>
        <v/>
      </c>
      <c r="W133" s="45">
        <f>W132/(1+'נתונים והנחות'!$F$11)^17</f>
        <v/>
      </c>
      <c r="X133" s="45">
        <f>X132/(1+'נתונים והנחות'!$F$11)^18</f>
        <v/>
      </c>
      <c r="Y133" s="45">
        <f>Y132/(1+'נתונים והנחות'!$F$11)^19</f>
        <v/>
      </c>
      <c r="Z133" s="45">
        <f>Z132/(1+'נתונים והנחות'!$F$11)^20</f>
        <v/>
      </c>
    </row>
    <row r="135">
      <c r="B135" s="51" t="inlineStr">
        <is>
          <t>תרחיש B — רכישת מדחסי VSD — 97.5 kW | פחת סטנדרטי (ללא תמריץ)</t>
        </is>
      </c>
    </row>
    <row r="136">
      <c r="B136" s="46" t="inlineStr">
        <is>
          <t>השקעה ראשונית</t>
        </is>
      </c>
      <c r="C136" s="7" t="inlineStr">
        <is>
          <t>₪</t>
        </is>
      </c>
      <c r="D136" s="7" t="inlineStr">
        <is>
          <t>חישוב</t>
        </is>
      </c>
      <c r="F136" s="47">
        <f>IF(ISNUMBER('נתונים והנחות'!$H$41),-'נתונים והנחות'!$H$41,"PENDING")</f>
        <v/>
      </c>
    </row>
    <row r="137">
      <c r="B137" s="46" t="inlineStr">
        <is>
          <t>OPEX אנרגיה (עם שחיקה)</t>
        </is>
      </c>
      <c r="C137" s="7" t="inlineStr">
        <is>
          <t>₪</t>
        </is>
      </c>
      <c r="D137" s="7" t="inlineStr">
        <is>
          <t>חישוב</t>
        </is>
      </c>
      <c r="F137" s="47" t="n">
        <v>0</v>
      </c>
      <c r="G137" s="47">
        <f>IF(ISNUMBER('נתונים והנחות'!$H$47),-'נתונים והנחות'!$H$47*(1+0)^0,0)</f>
        <v/>
      </c>
      <c r="H137" s="47">
        <f>IF(ISNUMBER('נתונים והנחות'!$H$47),-'נתונים והנחות'!$H$47*(1+0)^1,0)</f>
        <v/>
      </c>
      <c r="I137" s="47">
        <f>IF(ISNUMBER('נתונים והנחות'!$H$47),-'נתונים והנחות'!$H$47*(1+0)^2,0)</f>
        <v/>
      </c>
      <c r="J137" s="47">
        <f>IF(ISNUMBER('נתונים והנחות'!$H$47),-'נתונים והנחות'!$H$47*(1+0)^3,0)</f>
        <v/>
      </c>
      <c r="K137" s="47">
        <f>IF(ISNUMBER('נתונים והנחות'!$H$47),-'נתונים והנחות'!$H$47*(1+0)^4,0)</f>
        <v/>
      </c>
      <c r="L137" s="47">
        <f>IF(ISNUMBER('נתונים והנחות'!$H$47),-'נתונים והנחות'!$H$47*(1+0)^5,0)</f>
        <v/>
      </c>
      <c r="M137" s="47">
        <f>IF(ISNUMBER('נתונים והנחות'!$H$47),-'נתונים והנחות'!$H$47*(1+0)^6,0)</f>
        <v/>
      </c>
      <c r="N137" s="47">
        <f>IF(ISNUMBER('נתונים והנחות'!$H$47),-'נתונים והנחות'!$H$47*(1+0)^7,0)</f>
        <v/>
      </c>
      <c r="O137" s="47">
        <f>IF(ISNUMBER('נתונים והנחות'!$H$47),-'נתונים והנחות'!$H$47*(1+0)^8,0)</f>
        <v/>
      </c>
      <c r="P137" s="47">
        <f>IF(ISNUMBER('נתונים והנחות'!$H$47),-'נתונים והנחות'!$H$47*(1+0)^9,0)</f>
        <v/>
      </c>
      <c r="Q137" s="47">
        <f>IF(ISNUMBER('נתונים והנחות'!$H$47),-'נתונים והנחות'!$H$47*(1+0)^10,0)</f>
        <v/>
      </c>
      <c r="R137" s="47">
        <f>IF(ISNUMBER('נתונים והנחות'!$H$47),-'נתונים והנחות'!$H$47*(1+0)^11,0)</f>
        <v/>
      </c>
      <c r="S137" s="47">
        <f>0</f>
        <v/>
      </c>
      <c r="T137" s="47">
        <f>0</f>
        <v/>
      </c>
      <c r="U137" s="47">
        <f>0</f>
        <v/>
      </c>
      <c r="V137" s="47">
        <f>0</f>
        <v/>
      </c>
      <c r="W137" s="47">
        <f>0</f>
        <v/>
      </c>
      <c r="X137" s="47">
        <f>0</f>
        <v/>
      </c>
      <c r="Y137" s="47">
        <f>0</f>
        <v/>
      </c>
      <c r="Z137" s="47">
        <f>0</f>
        <v/>
      </c>
    </row>
    <row r="138">
      <c r="B138" s="46" t="inlineStr">
        <is>
          <t>OPEX אחר</t>
        </is>
      </c>
      <c r="C138" s="7" t="inlineStr">
        <is>
          <t>₪</t>
        </is>
      </c>
      <c r="D138" s="7" t="inlineStr">
        <is>
          <t>חישוב</t>
        </is>
      </c>
      <c r="F138" s="47" t="n">
        <v>0</v>
      </c>
      <c r="G138" s="47" t="n">
        <v>0</v>
      </c>
      <c r="H138" s="47" t="n">
        <v>0</v>
      </c>
      <c r="I138" s="47" t="n">
        <v>0</v>
      </c>
      <c r="J138" s="47" t="n">
        <v>0</v>
      </c>
      <c r="K138" s="47" t="n">
        <v>0</v>
      </c>
      <c r="L138" s="47" t="n">
        <v>0</v>
      </c>
      <c r="M138" s="47" t="n">
        <v>0</v>
      </c>
      <c r="N138" s="47" t="n">
        <v>0</v>
      </c>
      <c r="O138" s="47" t="n">
        <v>0</v>
      </c>
      <c r="P138" s="47" t="n">
        <v>0</v>
      </c>
      <c r="Q138" s="47" t="n">
        <v>0</v>
      </c>
      <c r="R138" s="47" t="n">
        <v>0</v>
      </c>
      <c r="S138" s="47" t="n">
        <v>0</v>
      </c>
      <c r="T138" s="47" t="n">
        <v>0</v>
      </c>
      <c r="U138" s="47" t="n">
        <v>0</v>
      </c>
      <c r="V138" s="47" t="n">
        <v>0</v>
      </c>
      <c r="W138" s="47" t="n">
        <v>0</v>
      </c>
      <c r="X138" s="47" t="n">
        <v>0</v>
      </c>
      <c r="Y138" s="47" t="n">
        <v>0</v>
      </c>
      <c r="Z138" s="47" t="n">
        <v>0</v>
      </c>
    </row>
    <row r="139">
      <c r="B139" s="46" t="inlineStr">
        <is>
          <t>תזרים נקי — B</t>
        </is>
      </c>
      <c r="C139" s="7" t="inlineStr">
        <is>
          <t>₪</t>
        </is>
      </c>
      <c r="D139" s="7" t="inlineStr">
        <is>
          <t>חישוב</t>
        </is>
      </c>
      <c r="F139" s="47">
        <f>F136</f>
        <v/>
      </c>
      <c r="G139" s="47">
        <f>G137+G138+G122</f>
        <v/>
      </c>
      <c r="H139" s="47">
        <f>H137+H138+H122</f>
        <v/>
      </c>
      <c r="I139" s="47">
        <f>I137+I138+I122</f>
        <v/>
      </c>
      <c r="J139" s="47">
        <f>J137+J138+J122</f>
        <v/>
      </c>
      <c r="K139" s="47">
        <f>K137+K138+K122</f>
        <v/>
      </c>
      <c r="L139" s="47">
        <f>L137+L138+L122</f>
        <v/>
      </c>
      <c r="M139" s="47">
        <f>M137+M138+M122</f>
        <v/>
      </c>
      <c r="N139" s="47">
        <f>N137+N138+N122</f>
        <v/>
      </c>
      <c r="O139" s="47">
        <f>O137+O138+O122</f>
        <v/>
      </c>
      <c r="P139" s="47">
        <f>P137+P138+P122</f>
        <v/>
      </c>
      <c r="Q139" s="47">
        <f>Q137+Q138+Q122</f>
        <v/>
      </c>
      <c r="R139" s="47">
        <f>R137+R138+R122</f>
        <v/>
      </c>
      <c r="S139" s="47">
        <f>S137+S138+S122</f>
        <v/>
      </c>
      <c r="T139" s="47">
        <f>T137+T138+T122</f>
        <v/>
      </c>
      <c r="U139" s="47">
        <f>U137+U138+U122</f>
        <v/>
      </c>
      <c r="V139" s="47">
        <f>V137+V138+V122</f>
        <v/>
      </c>
      <c r="W139" s="47">
        <f>W137+W138+W122</f>
        <v/>
      </c>
      <c r="X139" s="47">
        <f>X137+X138+X122</f>
        <v/>
      </c>
      <c r="Y139" s="47">
        <f>Y137+Y138+Y122</f>
        <v/>
      </c>
      <c r="Z139" s="47">
        <f>Z137+Z138+Z122</f>
        <v/>
      </c>
    </row>
    <row r="140">
      <c r="B140" s="46" t="inlineStr">
        <is>
          <t>תזרים מהוון — B</t>
        </is>
      </c>
      <c r="C140" s="7" t="inlineStr">
        <is>
          <t>₪</t>
        </is>
      </c>
      <c r="D140" s="7" t="inlineStr">
        <is>
          <t>חישוב</t>
        </is>
      </c>
      <c r="F140" s="47">
        <f>F139</f>
        <v/>
      </c>
      <c r="G140" s="47">
        <f>G139/(1+'נתונים והנחות'!$F$11)^1</f>
        <v/>
      </c>
      <c r="H140" s="47">
        <f>H139/(1+'נתונים והנחות'!$F$11)^2</f>
        <v/>
      </c>
      <c r="I140" s="47">
        <f>I139/(1+'נתונים והנחות'!$F$11)^3</f>
        <v/>
      </c>
      <c r="J140" s="47">
        <f>J139/(1+'נתונים והנחות'!$F$11)^4</f>
        <v/>
      </c>
      <c r="K140" s="47">
        <f>K139/(1+'נתונים והנחות'!$F$11)^5</f>
        <v/>
      </c>
      <c r="L140" s="47">
        <f>L139/(1+'נתונים והנחות'!$F$11)^6</f>
        <v/>
      </c>
      <c r="M140" s="47">
        <f>M139/(1+'נתונים והנחות'!$F$11)^7</f>
        <v/>
      </c>
      <c r="N140" s="47">
        <f>N139/(1+'נתונים והנחות'!$F$11)^8</f>
        <v/>
      </c>
      <c r="O140" s="47">
        <f>O139/(1+'נתונים והנחות'!$F$11)^9</f>
        <v/>
      </c>
      <c r="P140" s="47">
        <f>P139/(1+'נתונים והנחות'!$F$11)^10</f>
        <v/>
      </c>
      <c r="Q140" s="47">
        <f>Q139/(1+'נתונים והנחות'!$F$11)^11</f>
        <v/>
      </c>
      <c r="R140" s="47">
        <f>R139/(1+'נתונים והנחות'!$F$11)^12</f>
        <v/>
      </c>
      <c r="S140" s="47">
        <f>S139/(1+'נתונים והנחות'!$F$11)^13</f>
        <v/>
      </c>
      <c r="T140" s="47">
        <f>T139/(1+'נתונים והנחות'!$F$11)^14</f>
        <v/>
      </c>
      <c r="U140" s="47">
        <f>U139/(1+'נתונים והנחות'!$F$11)^15</f>
        <v/>
      </c>
      <c r="V140" s="47">
        <f>V139/(1+'נתונים והנחות'!$F$11)^16</f>
        <v/>
      </c>
      <c r="W140" s="47">
        <f>W139/(1+'נתונים והנחות'!$F$11)^17</f>
        <v/>
      </c>
      <c r="X140" s="47">
        <f>X139/(1+'נתונים והנחות'!$F$11)^18</f>
        <v/>
      </c>
      <c r="Y140" s="47">
        <f>Y139/(1+'נתונים והנחות'!$F$11)^19</f>
        <v/>
      </c>
      <c r="Z140" s="47">
        <f>Z139/(1+'נתונים והנחות'!$F$11)^20</f>
        <v/>
      </c>
    </row>
    <row r="142">
      <c r="B142" s="52" t="inlineStr">
        <is>
          <t>תרחיש C — רכישת מדחסי VSD — 97.5 kW | פחת מואץ (עם תמריץ)</t>
        </is>
      </c>
    </row>
    <row r="143">
      <c r="B143" s="12" t="inlineStr">
        <is>
          <t>* OPEX זהה ל-B — ההבדל הוא מגן המס המואץ בלבד</t>
        </is>
      </c>
    </row>
    <row r="144">
      <c r="B144" s="48" t="inlineStr">
        <is>
          <t>תזרים נקי — C</t>
        </is>
      </c>
      <c r="C144" s="7" t="inlineStr">
        <is>
          <t>₪</t>
        </is>
      </c>
      <c r="D144" s="7" t="inlineStr">
        <is>
          <t>חישוב</t>
        </is>
      </c>
      <c r="F144" s="49">
        <f>F136</f>
        <v/>
      </c>
      <c r="G144" s="49">
        <f>G137+G138+G124</f>
        <v/>
      </c>
      <c r="H144" s="49">
        <f>H137+H138+H124</f>
        <v/>
      </c>
      <c r="I144" s="49">
        <f>I137+I138+I124</f>
        <v/>
      </c>
      <c r="J144" s="49">
        <f>J137+J138+J124</f>
        <v/>
      </c>
      <c r="K144" s="49">
        <f>K137+K138+K124</f>
        <v/>
      </c>
      <c r="L144" s="49">
        <f>L137+L138+L124</f>
        <v/>
      </c>
      <c r="M144" s="49">
        <f>M137+M138+M124</f>
        <v/>
      </c>
      <c r="N144" s="49">
        <f>N137+N138+N124</f>
        <v/>
      </c>
      <c r="O144" s="49">
        <f>O137+O138+O124</f>
        <v/>
      </c>
      <c r="P144" s="49">
        <f>P137+P138+P124</f>
        <v/>
      </c>
      <c r="Q144" s="49">
        <f>Q137+Q138+Q124</f>
        <v/>
      </c>
      <c r="R144" s="49">
        <f>R137+R138+R124</f>
        <v/>
      </c>
      <c r="S144" s="49">
        <f>S137+S138+S124</f>
        <v/>
      </c>
      <c r="T144" s="49">
        <f>T137+T138+T124</f>
        <v/>
      </c>
      <c r="U144" s="49">
        <f>U137+U138+U124</f>
        <v/>
      </c>
      <c r="V144" s="49">
        <f>V137+V138+V124</f>
        <v/>
      </c>
      <c r="W144" s="49">
        <f>W137+W138+W124</f>
        <v/>
      </c>
      <c r="X144" s="49">
        <f>X137+X138+X124</f>
        <v/>
      </c>
      <c r="Y144" s="49">
        <f>Y137+Y138+Y124</f>
        <v/>
      </c>
      <c r="Z144" s="49">
        <f>Z137+Z138+Z124</f>
        <v/>
      </c>
    </row>
    <row r="145">
      <c r="B145" s="48" t="inlineStr">
        <is>
          <t>תזרים מהוון — C</t>
        </is>
      </c>
      <c r="C145" s="7" t="inlineStr">
        <is>
          <t>₪</t>
        </is>
      </c>
      <c r="D145" s="7" t="inlineStr">
        <is>
          <t>חישוב</t>
        </is>
      </c>
      <c r="F145" s="49">
        <f>F144</f>
        <v/>
      </c>
      <c r="G145" s="49">
        <f>G144/(1+'נתונים והנחות'!$F$11)^1</f>
        <v/>
      </c>
      <c r="H145" s="49">
        <f>H144/(1+'נתונים והנחות'!$F$11)^2</f>
        <v/>
      </c>
      <c r="I145" s="49">
        <f>I144/(1+'נתונים והנחות'!$F$11)^3</f>
        <v/>
      </c>
      <c r="J145" s="49">
        <f>J144/(1+'נתונים והנחות'!$F$11)^4</f>
        <v/>
      </c>
      <c r="K145" s="49">
        <f>K144/(1+'נתונים והנחות'!$F$11)^5</f>
        <v/>
      </c>
      <c r="L145" s="49">
        <f>L144/(1+'נתונים והנחות'!$F$11)^6</f>
        <v/>
      </c>
      <c r="M145" s="49">
        <f>M144/(1+'נתונים והנחות'!$F$11)^7</f>
        <v/>
      </c>
      <c r="N145" s="49">
        <f>N144/(1+'נתונים והנחות'!$F$11)^8</f>
        <v/>
      </c>
      <c r="O145" s="49">
        <f>O144/(1+'נתונים והנחות'!$F$11)^9</f>
        <v/>
      </c>
      <c r="P145" s="49">
        <f>P144/(1+'נתונים והנחות'!$F$11)^10</f>
        <v/>
      </c>
      <c r="Q145" s="49">
        <f>Q144/(1+'נתונים והנחות'!$F$11)^11</f>
        <v/>
      </c>
      <c r="R145" s="49">
        <f>R144/(1+'נתונים והנחות'!$F$11)^12</f>
        <v/>
      </c>
      <c r="S145" s="49">
        <f>S144/(1+'נתונים והנחות'!$F$11)^13</f>
        <v/>
      </c>
      <c r="T145" s="49">
        <f>T144/(1+'נתונים והנחות'!$F$11)^14</f>
        <v/>
      </c>
      <c r="U145" s="49">
        <f>U144/(1+'נתונים והנחות'!$F$11)^15</f>
        <v/>
      </c>
      <c r="V145" s="49">
        <f>V144/(1+'נתונים והנחות'!$F$11)^16</f>
        <v/>
      </c>
      <c r="W145" s="49">
        <f>W144/(1+'נתונים והנחות'!$F$11)^17</f>
        <v/>
      </c>
      <c r="X145" s="49">
        <f>X144/(1+'נתונים והנחות'!$F$11)^18</f>
        <v/>
      </c>
      <c r="Y145" s="49">
        <f>Y144/(1+'נתונים והנחות'!$F$11)^19</f>
        <v/>
      </c>
      <c r="Z145" s="49">
        <f>Z144/(1+'נתונים והנחות'!$F$11)^20</f>
        <v/>
      </c>
    </row>
    <row r="147">
      <c r="B147" s="43" t="inlineStr">
        <is>
          <t>ד. תוצאות — NPV, החזר השקעה, עלות פיסקלית</t>
        </is>
      </c>
    </row>
    <row r="148">
      <c r="B148" s="53" t="inlineStr">
        <is>
          <t>NPV — תרחיש A (מדחס מהירות קבועה — 97.5 kW)</t>
        </is>
      </c>
      <c r="C148" s="7" t="inlineStr">
        <is>
          <t>ש"ח</t>
        </is>
      </c>
      <c r="F148" s="45">
        <f>SUM(F133:Z133)</f>
        <v/>
      </c>
    </row>
    <row r="149">
      <c r="B149" s="54" t="inlineStr">
        <is>
          <t>NPV — תרחיש B (מדחסי VSD — 97.5 kW, ללא תמריץ)</t>
        </is>
      </c>
      <c r="C149" s="7" t="inlineStr">
        <is>
          <t>ש"ח</t>
        </is>
      </c>
      <c r="F149" s="47">
        <f>SUM(F140:Z140)</f>
        <v/>
      </c>
    </row>
    <row r="150">
      <c r="B150" s="55" t="inlineStr">
        <is>
          <t>NPV — תרחיש C (מדחסי VSD — 97.5 kW, עם תמריץ)</t>
        </is>
      </c>
      <c r="C150" s="7" t="inlineStr">
        <is>
          <t>ש"ח</t>
        </is>
      </c>
      <c r="F150" s="49">
        <f>SUM(F145:Z145)</f>
        <v/>
      </c>
    </row>
    <row r="152">
      <c r="B152" s="56" t="inlineStr">
        <is>
          <t>NPV מצטבר — הצדקת השדרוג (B−A)</t>
        </is>
      </c>
      <c r="C152" s="7" t="inlineStr">
        <is>
          <t>ש"ח</t>
        </is>
      </c>
      <c r="F152" s="57">
        <f>F149-F148</f>
        <v/>
      </c>
    </row>
    <row r="153">
      <c r="B153" s="58" t="inlineStr">
        <is>
          <t>ערך התמריץ — תועלת הפחת המואץ (C−B)</t>
        </is>
      </c>
      <c r="C153" s="7" t="inlineStr">
        <is>
          <t>ש"ח</t>
        </is>
      </c>
      <c r="F153" s="59">
        <f>F150-F149</f>
        <v/>
      </c>
    </row>
    <row r="154">
      <c r="B154" s="46" t="inlineStr">
        <is>
          <t>תקופת החזר מהוון — B (ללא תמריץ)</t>
        </is>
      </c>
      <c r="C154" s="7" t="inlineStr">
        <is>
          <t>שנים</t>
        </is>
      </c>
      <c r="F154" s="60">
        <f t="array" ref="F154">_xlfn.LET(_xlpm.diffs, F140:Z140-F133:Z133, _xlpm.n, COLUMNS(_xlpm.diffs), _xlpm.cum, MMULT(_xlpm.diffs, N(_xlfn.SEQUENCE(_xlpm.n,1)&lt;=_xlfn.SEQUENCE(1,_xlpm.n))), _xlpm.idx, MATCH(TRUE, _xlpm.cum&gt;=0, 0), IF(ISNA(_xlpm.idx), "לא מוחזר בטווח", IF(_xlpm.idx=1, 0, (_xlpm.idx-2) + (-INDEX(_xlpm.cum,_xlpm.idx-1)/INDEX(_xlpm.diffs,_xlpm.idx)))))</f>
        <v/>
      </c>
    </row>
    <row r="155">
      <c r="B155" s="48" t="inlineStr">
        <is>
          <t>תקופת החזר מהוון — C (עם תמריץ)</t>
        </is>
      </c>
      <c r="C155" s="7" t="inlineStr">
        <is>
          <t>שנים</t>
        </is>
      </c>
      <c r="F155" s="61">
        <f t="array" ref="F155">_xlfn.LET(_xlpm.diffs, F145:Z145-F133:Z133, _xlpm.n, COLUMNS(_xlpm.diffs), _xlpm.cum, MMULT(_xlpm.diffs, N(_xlfn.SEQUENCE(_xlpm.n,1)&lt;=_xlfn.SEQUENCE(1,_xlpm.n))), _xlpm.idx, MATCH(TRUE, _xlpm.cum&gt;=0, 0), IF(ISNA(_xlpm.idx), "לא מוחזר בטווח", IF(_xlpm.idx=1, 0, (_xlpm.idx-2) + (-INDEX(_xlpm.cum,_xlpm.idx-1)/INDEX(_xlpm.diffs,_xlpm.idx)))))</f>
        <v/>
      </c>
    </row>
    <row r="156">
      <c r="B156" s="21" t="inlineStr">
        <is>
          <t>הכרעה — מבחן סף החזר ההשקעה</t>
        </is>
      </c>
      <c r="C156" s="7" t="inlineStr">
        <is>
          <t>הערכה</t>
        </is>
      </c>
      <c r="D156" s="7" t="inlineStr">
        <is>
          <t>חישוב</t>
        </is>
      </c>
      <c r="F156" s="38">
        <f>IF(AND(ISNUMBER(F154),F154&lt;='נתונים והנחות'!$F$21),"כדאי גם ללא תמריץ",IF(AND(ISNUMBER(F155),F155&lt;='נתונים והנחות'!$F$21),"התמריץ הפך את ההחלטה","לא כדאי גם עם תמריץ"))</f>
        <v/>
      </c>
    </row>
    <row r="157">
      <c r="B157" s="56" t="inlineStr">
        <is>
          <t>NPV מצטבר — ערך ההשקעה המתומרצת מול הנוהג הקיים (C−A)</t>
        </is>
      </c>
      <c r="C157" s="7" t="inlineStr">
        <is>
          <t>ש"ח</t>
        </is>
      </c>
      <c r="F157" s="57">
        <f>F150-F148</f>
        <v/>
      </c>
    </row>
    <row r="158">
      <c r="B158" s="62" t="inlineStr">
        <is>
          <t>עלות פיסקלית של התמריץ למדינה (NPV)</t>
        </is>
      </c>
      <c r="C158" s="7" t="inlineStr">
        <is>
          <t>ש"ח</t>
        </is>
      </c>
      <c r="D158" s="7" t="inlineStr">
        <is>
          <t>חישוב</t>
        </is>
      </c>
      <c r="F158" s="59">
        <f>F153</f>
        <v/>
      </c>
    </row>
    <row r="162">
      <c r="B162" s="6" t="inlineStr">
        <is>
          <t>4. סיכום השוואתי לפי טכנולוגיה</t>
        </is>
      </c>
    </row>
    <row r="163">
      <c r="B163" s="23" t="inlineStr">
        <is>
          <t>טכנולוגיה</t>
        </is>
      </c>
      <c r="C163" s="23" t="inlineStr">
        <is>
          <t>NPV A</t>
        </is>
      </c>
      <c r="D163" s="23" t="inlineStr">
        <is>
          <t>NPV B</t>
        </is>
      </c>
      <c r="E163" s="23" t="inlineStr">
        <is>
          <t>NPV C</t>
        </is>
      </c>
      <c r="F163" s="23" t="inlineStr">
        <is>
          <t>ΔNPV B−A</t>
        </is>
      </c>
      <c r="G163" s="23" t="inlineStr">
        <is>
          <t>ערך תמריץ C−B</t>
        </is>
      </c>
      <c r="H163" s="23" t="inlineStr">
        <is>
          <t>החזר B</t>
        </is>
      </c>
      <c r="I163" s="23" t="inlineStr">
        <is>
          <t>החזר C</t>
        </is>
      </c>
      <c r="J163" s="23" t="inlineStr">
        <is>
          <t>הכרעה</t>
        </is>
      </c>
    </row>
    <row r="164">
      <c r="B164" s="21" t="inlineStr">
        <is>
          <t>משאבות חום — 55 kW</t>
        </is>
      </c>
      <c r="C164" s="15">
        <f>$F$54</f>
        <v/>
      </c>
      <c r="D164" s="15">
        <f>$F$55</f>
        <v/>
      </c>
      <c r="E164" s="15">
        <f>$F$56</f>
        <v/>
      </c>
      <c r="F164" s="15">
        <f>$F$58</f>
        <v/>
      </c>
      <c r="G164" s="15">
        <f>$F$59</f>
        <v/>
      </c>
      <c r="H164" s="63">
        <f>$F$60</f>
        <v/>
      </c>
      <c r="I164" s="63">
        <f>$F$61</f>
        <v/>
      </c>
      <c r="J164" s="38">
        <f>$F$62</f>
        <v/>
      </c>
    </row>
    <row r="165">
      <c r="B165" s="21" t="inlineStr">
        <is>
          <t>צ'ילרים — 300 RT</t>
        </is>
      </c>
      <c r="C165" s="15">
        <f>$F$101</f>
        <v/>
      </c>
      <c r="D165" s="15">
        <f>$F$102</f>
        <v/>
      </c>
      <c r="E165" s="15">
        <f>$F$103</f>
        <v/>
      </c>
      <c r="F165" s="15">
        <f>$F$105</f>
        <v/>
      </c>
      <c r="G165" s="15">
        <f>$F$106</f>
        <v/>
      </c>
      <c r="H165" s="63">
        <f>$F$107</f>
        <v/>
      </c>
      <c r="I165" s="63">
        <f>$F$108</f>
        <v/>
      </c>
      <c r="J165" s="38">
        <f>$F$109</f>
        <v/>
      </c>
    </row>
    <row r="166">
      <c r="B166" s="21" t="inlineStr">
        <is>
          <t>מדחסי VSD — 97.5 kW</t>
        </is>
      </c>
      <c r="C166" s="15">
        <f>$F$148</f>
        <v/>
      </c>
      <c r="D166" s="15">
        <f>$F$149</f>
        <v/>
      </c>
      <c r="E166" s="15">
        <f>$F$150</f>
        <v/>
      </c>
      <c r="F166" s="15">
        <f>$F$152</f>
        <v/>
      </c>
      <c r="G166" s="15">
        <f>$F$153</f>
        <v/>
      </c>
      <c r="H166" s="63">
        <f>$F$154</f>
        <v/>
      </c>
      <c r="I166" s="63">
        <f>$F$155</f>
        <v/>
      </c>
      <c r="J166" s="38">
        <f>$F$156</f>
        <v/>
      </c>
    </row>
    <row r="168">
      <c r="B168" s="64" t="inlineStr">
        <is>
          <t>סה"כ עלות פיסקלית (סכום C−B, שלוש הטכנולוגיות)</t>
        </is>
      </c>
      <c r="G168" s="59">
        <f>$F$64+$F$111+$F$158</f>
        <v/>
      </c>
    </row>
    <row r="170">
      <c r="B170" s="65" t="inlineStr">
        <is>
          <t>** יעד רגישות (טבלאות Data Table לשעות פעילות ולמכפיל הפחת) לא שוכפל בגרסה זו — יש לבנות מחדש ב-Excel (Data &gt; What-If Analysis &gt; Data Table) מול נקודות הקיבולת הממוצעות החדשות.</t>
        </is>
      </c>
    </row>
  </sheetData>
  <mergeCells count="29">
    <mergeCell ref="B69:Z69"/>
    <mergeCell ref="B19:Z19"/>
    <mergeCell ref="B34:Z34"/>
    <mergeCell ref="B128:Z128"/>
    <mergeCell ref="B9:Z9"/>
    <mergeCell ref="B162:J162"/>
    <mergeCell ref="B68:Z68"/>
    <mergeCell ref="B142:Z142"/>
    <mergeCell ref="B95:Z95"/>
    <mergeCell ref="B41:Z41"/>
    <mergeCell ref="B79:Z79"/>
    <mergeCell ref="B16:H16"/>
    <mergeCell ref="B32:Z32"/>
    <mergeCell ref="B100:H100"/>
    <mergeCell ref="B126:Z126"/>
    <mergeCell ref="B135:Z135"/>
    <mergeCell ref="B81:Z81"/>
    <mergeCell ref="B22:Z22"/>
    <mergeCell ref="B115:Z115"/>
    <mergeCell ref="B11:H11"/>
    <mergeCell ref="B70:Z70"/>
    <mergeCell ref="B21:Z21"/>
    <mergeCell ref="B48:Z48"/>
    <mergeCell ref="B117:Z117"/>
    <mergeCell ref="B53:H53"/>
    <mergeCell ref="B23:Z23"/>
    <mergeCell ref="B147:H147"/>
    <mergeCell ref="B88:Z88"/>
    <mergeCell ref="B116:Z1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2026-08-12T07:08:05Z</dcterms:created>
  <dcterms:modified xsi:type="dcterms:W3CDTF">2026-08-12T07:08:05Z</dcterms:modified>
</cp:coreProperties>
</file>