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ates" sheetId="2" state="visible" r:id="rId2"/>
    <sheet xmlns:r="http://schemas.openxmlformats.org/officeDocument/2006/relationships" name="Funding Sources" sheetId="3" state="visible" r:id="rId3"/>
    <sheet xmlns:r="http://schemas.openxmlformats.org/officeDocument/2006/relationships" name="Budget Plan" sheetId="4" state="visible" r:id="rId4"/>
    <sheet xmlns:r="http://schemas.openxmlformats.org/officeDocument/2006/relationships" name="Expense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₪&quot;"/>
    <numFmt numFmtId="165" formatCode="yyyy-mm-dd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2F5496"/>
      <sz val="16"/>
    </font>
    <font>
      <i val="1"/>
      <color rgb="00595959"/>
    </font>
    <font>
      <b val="1"/>
      <color rgb="002F5496"/>
      <sz val="12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0" fontId="5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2" fontId="0" fillId="0" borderId="1" pivotButton="0" quotePrefix="0" xfId="0"/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165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55" customWidth="1" min="3" max="3"/>
  </cols>
  <sheetData>
    <row r="1">
      <c r="A1" s="1" t="inlineStr">
        <is>
          <t>Travel Budget -- September Europe Trip</t>
        </is>
      </c>
    </row>
    <row r="2">
      <c r="A2" s="2" t="inlineStr">
        <is>
          <t>Norway → London → Scotland → Ireland → Portugal, Sept 8 - ~Dec 8 2026 (excludes flights)</t>
        </is>
      </c>
    </row>
    <row r="3">
      <c r="A3" t="inlineStr">
        <is>
          <t>Last updated:</t>
        </is>
      </c>
      <c r="B3" s="3" t="n">
        <v>46215</v>
      </c>
    </row>
    <row r="5">
      <c r="A5" s="4" t="inlineStr">
        <is>
          <t>FUNDING</t>
        </is>
      </c>
    </row>
    <row r="6">
      <c r="A6" t="inlineStr">
        <is>
          <t>Confirmed baseline (grant + savings)</t>
        </is>
      </c>
      <c r="B6" s="5">
        <f>'Funding Sources'!D7</f>
        <v/>
      </c>
    </row>
    <row r="7">
      <c r="A7" t="inlineStr">
        <is>
          <t>+ Parental help (buffer, not fixed)</t>
        </is>
      </c>
      <c r="B7" s="5">
        <f>'Funding Sources'!D4</f>
        <v/>
      </c>
    </row>
    <row r="8">
      <c r="A8" t="inlineStr">
        <is>
          <t>+ Work exchange savings (estimate)</t>
        </is>
      </c>
      <c r="B8" s="5">
        <f>'Funding Sources'!D5</f>
        <v/>
      </c>
    </row>
    <row r="9">
      <c r="A9" s="6" t="inlineStr">
        <is>
          <t>Total available incl. buffers</t>
        </is>
      </c>
      <c r="B9" s="7">
        <f>B6+B7+B8</f>
        <v/>
      </c>
    </row>
    <row r="11">
      <c r="A11" s="4" t="inlineStr">
        <is>
          <t>BUDGETED COST (plan, before the trip)</t>
        </is>
      </c>
    </row>
    <row r="12">
      <c r="A12" t="inlineStr">
        <is>
          <t>Budgeted -- Low (frugal, disciplined)</t>
        </is>
      </c>
      <c r="B12" s="5">
        <f>'Budget Plan'!K10</f>
        <v/>
      </c>
    </row>
    <row r="13">
      <c r="A13" t="inlineStr">
        <is>
          <t>Budgeted -- High (moderate comfort)</t>
        </is>
      </c>
      <c r="B13" s="5">
        <f>'Budget Plan'!L10</f>
        <v/>
      </c>
    </row>
    <row r="15">
      <c r="A15" s="4" t="inlineStr">
        <is>
          <t>SURPLUS / (SHORTFALL)</t>
        </is>
      </c>
    </row>
    <row r="16">
      <c r="A16" t="inlineStr">
        <is>
          <t>vs. Confirmed baseline -- Low</t>
        </is>
      </c>
      <c r="B16" s="5">
        <f>B6-B12</f>
        <v/>
      </c>
    </row>
    <row r="17">
      <c r="A17" t="inlineStr">
        <is>
          <t>vs. Confirmed baseline -- High</t>
        </is>
      </c>
      <c r="B17" s="5">
        <f>B6-B13</f>
        <v/>
      </c>
    </row>
    <row r="18">
      <c r="A18" t="inlineStr">
        <is>
          <t>vs. Total incl. buffers -- Low</t>
        </is>
      </c>
      <c r="B18" s="5">
        <f>B9-B12</f>
        <v/>
      </c>
    </row>
    <row r="19">
      <c r="A19" t="inlineStr">
        <is>
          <t>vs. Total incl. buffers -- High</t>
        </is>
      </c>
      <c r="B19" s="5">
        <f>B9-B13</f>
        <v/>
      </c>
    </row>
    <row r="21">
      <c r="A21" s="4" t="inlineStr">
        <is>
          <t>ACTUAL SPENDING (live, updates as you fill in the Expense Log)</t>
        </is>
      </c>
    </row>
    <row r="22">
      <c r="A22" t="inlineStr">
        <is>
          <t>Actual spent so far</t>
        </is>
      </c>
      <c r="B22" s="5">
        <f>SUM('Expense Log'!H:H)</f>
        <v/>
      </c>
    </row>
    <row r="23">
      <c r="A23" t="inlineStr">
        <is>
          <t>Remaining vs. confirmed baseline</t>
        </is>
      </c>
      <c r="B23" s="5">
        <f>B6-B22</f>
        <v/>
      </c>
    </row>
    <row r="24">
      <c r="A24" t="inlineStr">
        <is>
          <t>Remaining vs. total incl. buffers</t>
        </is>
      </c>
      <c r="B24" s="5">
        <f>B9-B22</f>
        <v/>
      </c>
    </row>
    <row r="26">
      <c r="A26" s="4" t="inlineStr">
        <is>
          <t>SPENDING BY CATEGORY (ILS, live)</t>
        </is>
      </c>
    </row>
    <row r="27">
      <c r="A27" t="inlineStr">
        <is>
          <t>Accommodation</t>
        </is>
      </c>
      <c r="B27" s="5">
        <f>SUMIF('Expense Log'!C:C,A27,'Expense Log'!H:H)</f>
        <v/>
      </c>
    </row>
    <row r="28">
      <c r="A28" t="inlineStr">
        <is>
          <t>Food</t>
        </is>
      </c>
      <c r="B28" s="5">
        <f>SUMIF('Expense Log'!C:C,A28,'Expense Log'!H:H)</f>
        <v/>
      </c>
    </row>
    <row r="29">
      <c r="A29" t="inlineStr">
        <is>
          <t>Transport</t>
        </is>
      </c>
      <c r="B29" s="5">
        <f>SUMIF('Expense Log'!C:C,A29,'Expense Log'!H:H)</f>
        <v/>
      </c>
    </row>
    <row r="30">
      <c r="A30" t="inlineStr">
        <is>
          <t>Activities</t>
        </is>
      </c>
      <c r="B30" s="5">
        <f>SUMIF('Expense Log'!C:C,A30,'Expense Log'!H:H)</f>
        <v/>
      </c>
    </row>
    <row r="31">
      <c r="A31" t="inlineStr">
        <is>
          <t>Gear/Insurance</t>
        </is>
      </c>
      <c r="B31" s="5">
        <f>SUMIF('Expense Log'!C:C,A31,'Expense Log'!H:H)</f>
        <v/>
      </c>
    </row>
    <row r="32">
      <c r="A32" t="inlineStr">
        <is>
          <t>Other</t>
        </is>
      </c>
      <c r="B32" s="5">
        <f>SUMIF('Expense Log'!C:C,A32,'Expense Log'!H:H)</f>
        <v/>
      </c>
    </row>
    <row r="34">
      <c r="A34" s="4" t="inlineStr">
        <is>
          <t>How to use this workbook</t>
        </is>
      </c>
    </row>
    <row r="35" ht="30" customHeight="1">
      <c r="A35" s="8" t="inlineStr">
        <is>
          <t>- Rates tab: update the exchange rates before you leave and periodically while traveling -- everything else recalculates automatically.</t>
        </is>
      </c>
    </row>
    <row r="36" ht="30" customHeight="1">
      <c r="A36" s="8" t="inlineStr">
        <is>
          <t>- Funding Sources tab: adjust Parental Help and Work Exchange Savings as those firm up -- they're deliberately excluded from the confirmed baseline.</t>
        </is>
      </c>
    </row>
    <row r="37" ht="30" customHeight="1">
      <c r="A37" s="8" t="inlineStr">
        <is>
          <t>- Budget Plan tab: the Low/High per-leg estimates are planning assumptions, not fixed rules -- edit freely as you learn real prices.</t>
        </is>
      </c>
    </row>
    <row r="38" ht="30" customHeight="1">
      <c r="A38" s="8" t="inlineStr">
        <is>
          <t>- Expense Log tab: log every real expense here while traveling (pick Leg/Category from the dropdowns, enter the local-currency amount) -- this Summary tab updates live.</t>
        </is>
      </c>
    </row>
  </sheetData>
  <mergeCells count="4">
    <mergeCell ref="A35:C35"/>
    <mergeCell ref="A37:C37"/>
    <mergeCell ref="A38:C38"/>
    <mergeCell ref="A36:C3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55" customWidth="1" min="3" max="3"/>
  </cols>
  <sheetData>
    <row r="1">
      <c r="A1" s="9" t="inlineStr">
        <is>
          <t>Currency</t>
        </is>
      </c>
      <c r="B1" s="9" t="inlineStr">
        <is>
          <t>Rate to ILS (1 unit = ₪)</t>
        </is>
      </c>
      <c r="C1" s="9" t="inlineStr">
        <is>
          <t>Notes</t>
        </is>
      </c>
    </row>
    <row r="2">
      <c r="A2" s="10" t="inlineStr">
        <is>
          <t>EUR</t>
        </is>
      </c>
      <c r="B2" s="11" t="n">
        <v>3.43</v>
      </c>
      <c r="C2" s="10" t="inlineStr">
        <is>
          <t>EUR/ILS ~0.2916 ILS/EUR as of 2026-07-12 -- update before/during trip</t>
        </is>
      </c>
    </row>
    <row r="3">
      <c r="A3" s="10" t="inlineStr">
        <is>
          <t>GBP</t>
        </is>
      </c>
      <c r="B3" s="11" t="n">
        <v>4.02</v>
      </c>
      <c r="C3" s="10" t="inlineStr">
        <is>
          <t>GBP/ILS ~0.249 ILS/GBP as of 2026-07-12</t>
        </is>
      </c>
    </row>
    <row r="4">
      <c r="A4" s="10" t="inlineStr">
        <is>
          <t>NOK</t>
        </is>
      </c>
      <c r="B4" s="11" t="n">
        <v>0.31</v>
      </c>
      <c r="C4" s="10" t="inlineStr">
        <is>
          <t>NOK/ILS ~0.3107 as of 2026-07-12</t>
        </is>
      </c>
    </row>
    <row r="5">
      <c r="A5" s="10" t="inlineStr">
        <is>
          <t>ILS</t>
        </is>
      </c>
      <c r="B5" s="11" t="n">
        <v>1</v>
      </c>
      <c r="C5" s="10" t="inlineStr">
        <is>
          <t>Base currency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0" customWidth="1" min="3" max="3"/>
    <col width="16" customWidth="1" min="4" max="4"/>
    <col width="18" customWidth="1" min="5" max="5"/>
    <col width="60" customWidth="1" min="6" max="6"/>
  </cols>
  <sheetData>
    <row r="1">
      <c r="A1" s="9" t="inlineStr">
        <is>
          <t>Source</t>
        </is>
      </c>
      <c r="B1" s="9" t="inlineStr">
        <is>
          <t>Amount</t>
        </is>
      </c>
      <c r="C1" s="9" t="inlineStr">
        <is>
          <t>Currency</t>
        </is>
      </c>
      <c r="D1" s="9" t="inlineStr">
        <is>
          <t>ILS Equivalent</t>
        </is>
      </c>
      <c r="E1" s="9" t="inlineStr">
        <is>
          <t>Counted in Baseline?</t>
        </is>
      </c>
      <c r="F1" s="9" t="inlineStr">
        <is>
          <t>Notes</t>
        </is>
      </c>
    </row>
    <row r="2">
      <c r="A2" s="12" t="inlineStr">
        <is>
          <t>Military service grant</t>
        </is>
      </c>
      <c r="B2" s="13" t="n">
        <v>15000</v>
      </c>
      <c r="C2" s="12" t="inlineStr">
        <is>
          <t>ILS</t>
        </is>
      </c>
      <c r="D2" s="14">
        <f>IF(C2="ILS",B2,B2*INDEX(Rates!$B$2:$B$5,MATCH(C2,Rates!$A$2:$A$5,0)))</f>
        <v/>
      </c>
      <c r="E2" s="12" t="inlineStr">
        <is>
          <t>Yes</t>
        </is>
      </c>
      <c r="F2" s="12" t="inlineStr">
        <is>
          <t>Confirmed</t>
        </is>
      </c>
    </row>
    <row r="3">
      <c r="A3" s="12" t="inlineStr">
        <is>
          <t>Savings (last 2 months)</t>
        </is>
      </c>
      <c r="B3" s="13" t="n">
        <v>3000</v>
      </c>
      <c r="C3" s="12" t="inlineStr">
        <is>
          <t>ILS</t>
        </is>
      </c>
      <c r="D3" s="14">
        <f>IF(C3="ILS",B3,B3*INDEX(Rates!$B$2:$B$5,MATCH(C3,Rates!$A$2:$A$5,0)))</f>
        <v/>
      </c>
      <c r="E3" s="12" t="inlineStr">
        <is>
          <t>Yes</t>
        </is>
      </c>
      <c r="F3" s="12" t="inlineStr">
        <is>
          <t>Confirmed</t>
        </is>
      </c>
    </row>
    <row r="4">
      <c r="A4" s="12" t="inlineStr">
        <is>
          <t>Parental help (backup)</t>
        </is>
      </c>
      <c r="B4" s="13" t="n">
        <v>0</v>
      </c>
      <c r="C4" s="12" t="inlineStr">
        <is>
          <t>ILS</t>
        </is>
      </c>
      <c r="D4" s="14">
        <f>IF(C4="ILS",B4,B4*INDEX(Rates!$B$2:$B$5,MATCH(C4,Rates!$A$2:$A$5,0)))</f>
        <v/>
      </c>
      <c r="E4" s="12" t="inlineStr">
        <is>
          <t>No</t>
        </is>
      </c>
      <c r="F4" s="12" t="inlineStr">
        <is>
          <t>Not a fixed amount -- covers travel costs + small things as needed. Treat as a safety buffer, not part of the baseline math. Update if a number firms up.</t>
        </is>
      </c>
    </row>
    <row r="5">
      <c r="A5" s="12" t="inlineStr">
        <is>
          <t>Work/volunteer exchange (estimated savings)</t>
        </is>
      </c>
      <c r="B5" s="13" t="n">
        <v>1500</v>
      </c>
      <c r="C5" s="12" t="inlineStr">
        <is>
          <t>ILS</t>
        </is>
      </c>
      <c r="D5" s="14">
        <f>IF(C5="ILS",B5,B5*INDEX(Rates!$B$2:$B$5,MATCH(C5,Rates!$A$2:$A$5,0)))</f>
        <v/>
      </c>
      <c r="E5" s="12" t="inlineStr">
        <is>
          <t>No</t>
        </is>
      </c>
      <c r="F5" s="12" t="inlineStr">
        <is>
          <t>Estimate only -- assumes ~2-3 weeks of room+board covered somewhere on the trip. Adjust once an exchange is actually arranged.</t>
        </is>
      </c>
    </row>
    <row r="7">
      <c r="A7" s="6" t="inlineStr">
        <is>
          <t>TOTAL CONFIRMED BASELINE (ILS)</t>
        </is>
      </c>
      <c r="D7" s="7">
        <f>D2+D3</f>
        <v/>
      </c>
    </row>
    <row r="8">
      <c r="A8" s="6" t="inlineStr">
        <is>
          <t>TOTAL INCLUDING BUFFERS (ILS)</t>
        </is>
      </c>
      <c r="D8" s="7">
        <f>D2+D3+D4+D5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7" customWidth="1" min="4" max="4"/>
    <col width="10" customWidth="1" min="5" max="5"/>
    <col width="12" customWidth="1" min="6" max="6"/>
    <col width="12" customWidth="1" min="7" max="7"/>
    <col width="14" customWidth="1" min="8" max="8"/>
    <col width="14" customWidth="1" min="9" max="9"/>
    <col width="10" customWidth="1" min="10" max="10"/>
    <col width="14" customWidth="1" min="11" max="11"/>
    <col width="14" customWidth="1" min="12" max="12"/>
    <col width="45" customWidth="1" min="13" max="13"/>
  </cols>
  <sheetData>
    <row r="1">
      <c r="A1" s="9" t="inlineStr">
        <is>
          <t>Leg</t>
        </is>
      </c>
      <c r="B1" s="9" t="inlineStr">
        <is>
          <t>Start Date</t>
        </is>
      </c>
      <c r="C1" s="9" t="inlineStr">
        <is>
          <t>End Date</t>
        </is>
      </c>
      <c r="D1" s="9" t="inlineStr">
        <is>
          <t>Days</t>
        </is>
      </c>
      <c r="E1" s="9" t="inlineStr">
        <is>
          <t>Local Currency</t>
        </is>
      </c>
      <c r="F1" s="9" t="inlineStr">
        <is>
          <t>Daily Budget - Low</t>
        </is>
      </c>
      <c r="G1" s="9" t="inlineStr">
        <is>
          <t>Daily Budget - High</t>
        </is>
      </c>
      <c r="H1" s="9" t="inlineStr">
        <is>
          <t>Total - Low (Local)</t>
        </is>
      </c>
      <c r="I1" s="9" t="inlineStr">
        <is>
          <t>Total - High (Local)</t>
        </is>
      </c>
      <c r="J1" s="9" t="inlineStr">
        <is>
          <t>Rate to ILS</t>
        </is>
      </c>
      <c r="K1" s="9" t="inlineStr">
        <is>
          <t>Total - Low (ILS)</t>
        </is>
      </c>
      <c r="L1" s="9" t="inlineStr">
        <is>
          <t>Total - High (ILS)</t>
        </is>
      </c>
      <c r="M1" s="9" t="inlineStr">
        <is>
          <t>Notes</t>
        </is>
      </c>
    </row>
    <row r="2">
      <c r="A2" s="12" t="inlineStr">
        <is>
          <t>Norway</t>
        </is>
      </c>
      <c r="B2" s="15" t="n">
        <v>46273</v>
      </c>
      <c r="C2" s="15" t="n">
        <v>46300</v>
      </c>
      <c r="D2" s="12">
        <f>C2-B2+1</f>
        <v/>
      </c>
      <c r="E2" s="12" t="inlineStr">
        <is>
          <t>NOK</t>
        </is>
      </c>
      <c r="F2" s="13" t="n">
        <v>550</v>
      </c>
      <c r="G2" s="13" t="n">
        <v>1000</v>
      </c>
      <c r="H2" s="13">
        <f>D2*F2</f>
        <v/>
      </c>
      <c r="I2" s="13">
        <f>D2*G2</f>
        <v/>
      </c>
      <c r="J2" s="16">
        <f>INDEX(Rates!$B$2:$B$5,MATCH(E2,Rates!$A$2:$A$5,0))</f>
        <v/>
      </c>
      <c r="K2" s="14">
        <f>H2*J2</f>
        <v/>
      </c>
      <c r="L2" s="14">
        <f>I2*J2</f>
        <v/>
      </c>
      <c r="M2" s="12" t="inlineStr">
        <is>
          <t>Frugal-high range assumes mixed wild camping (allemannsretten, free) / DNT huts / occasional hostel, self-catering most meals. Most expensive leg per day -- the real budget risk.</t>
        </is>
      </c>
    </row>
    <row r="3">
      <c r="A3" s="12" t="inlineStr">
        <is>
          <t>London</t>
        </is>
      </c>
      <c r="B3" s="15" t="n">
        <v>46300</v>
      </c>
      <c r="C3" s="15" t="n">
        <v>46314</v>
      </c>
      <c r="D3" s="12">
        <f>C3-B3+1</f>
        <v/>
      </c>
      <c r="E3" s="12" t="inlineStr">
        <is>
          <t>GBP</t>
        </is>
      </c>
      <c r="F3" s="13" t="n">
        <v>40</v>
      </c>
      <c r="G3" s="13" t="n">
        <v>60</v>
      </c>
      <c r="H3" s="13">
        <f>D3*F3</f>
        <v/>
      </c>
      <c r="I3" s="13">
        <f>D3*G3</f>
        <v/>
      </c>
      <c r="J3" s="16">
        <f>INDEX(Rates!$B$2:$B$5,MATCH(E3,Rates!$A$2:$A$5,0))</f>
        <v/>
      </c>
      <c r="K3" s="14">
        <f>H3*J3</f>
        <v/>
      </c>
      <c r="L3" s="14">
        <f>I3*J3</f>
        <v/>
      </c>
      <c r="M3" s="12" t="inlineStr">
        <is>
          <t>Hostel dorm + self-catering some meals + advance transport tickets, per UK backpacker averages.</t>
        </is>
      </c>
    </row>
    <row r="4">
      <c r="A4" s="12" t="inlineStr">
        <is>
          <t>Scotland</t>
        </is>
      </c>
      <c r="B4" s="15" t="n">
        <v>46314</v>
      </c>
      <c r="C4" s="15" t="n">
        <v>46328</v>
      </c>
      <c r="D4" s="12">
        <f>C4-B4+1</f>
        <v/>
      </c>
      <c r="E4" s="12" t="inlineStr">
        <is>
          <t>GBP</t>
        </is>
      </c>
      <c r="F4" s="13" t="n">
        <v>35</v>
      </c>
      <c r="G4" s="13" t="n">
        <v>50</v>
      </c>
      <c r="H4" s="13">
        <f>D4*F4</f>
        <v/>
      </c>
      <c r="I4" s="13">
        <f>D4*G4</f>
        <v/>
      </c>
      <c r="J4" s="16">
        <f>INDEX(Rates!$B$2:$B$5,MATCH(E4,Rates!$A$2:$A$5,0))</f>
        <v/>
      </c>
      <c r="K4" s="14">
        <f>H4*J4</f>
        <v/>
      </c>
      <c r="L4" s="14">
        <f>I4*J4</f>
        <v/>
      </c>
      <c r="M4" s="12" t="inlineStr">
        <is>
          <t>Similar to London, slightly cheaper outside the capital.</t>
        </is>
      </c>
    </row>
    <row r="5">
      <c r="A5" s="12" t="inlineStr">
        <is>
          <t>Ireland</t>
        </is>
      </c>
      <c r="B5" s="15" t="n">
        <v>46328</v>
      </c>
      <c r="C5" s="15" t="n">
        <v>46342</v>
      </c>
      <c r="D5" s="12">
        <f>C5-B5+1</f>
        <v/>
      </c>
      <c r="E5" s="12" t="inlineStr">
        <is>
          <t>EUR</t>
        </is>
      </c>
      <c r="F5" s="13" t="n">
        <v>55</v>
      </c>
      <c r="G5" s="13" t="n">
        <v>75</v>
      </c>
      <c r="H5" s="13">
        <f>D5*F5</f>
        <v/>
      </c>
      <c r="I5" s="13">
        <f>D5*G5</f>
        <v/>
      </c>
      <c r="J5" s="16">
        <f>INDEX(Rates!$B$2:$B$5,MATCH(E5,Rates!$A$2:$A$5,0))</f>
        <v/>
      </c>
      <c r="K5" s="14">
        <f>H5*J5</f>
        <v/>
      </c>
      <c r="L5" s="14">
        <f>I5*J5</f>
        <v/>
      </c>
      <c r="M5" s="12" t="inlineStr">
        <is>
          <t>Avoid Dublin hostel premium where possible -- prices spike hard there.</t>
        </is>
      </c>
    </row>
    <row r="6">
      <c r="A6" s="12" t="inlineStr">
        <is>
          <t>Portugal</t>
        </is>
      </c>
      <c r="B6" s="15" t="n">
        <v>46342</v>
      </c>
      <c r="C6" s="15" t="n">
        <v>46365</v>
      </c>
      <c r="D6" s="12">
        <f>C6-B6+1</f>
        <v/>
      </c>
      <c r="E6" s="12" t="inlineStr">
        <is>
          <t>EUR</t>
        </is>
      </c>
      <c r="F6" s="13" t="n">
        <v>55</v>
      </c>
      <c r="G6" s="13" t="n">
        <v>75</v>
      </c>
      <c r="H6" s="13">
        <f>D6*F6</f>
        <v/>
      </c>
      <c r="I6" s="13">
        <f>D6*G6</f>
        <v/>
      </c>
      <c r="J6" s="16">
        <f>INDEX(Rates!$B$2:$B$5,MATCH(E6,Rates!$A$2:$A$5,0))</f>
        <v/>
      </c>
      <c r="K6" s="14">
        <f>H6*J6</f>
        <v/>
      </c>
      <c r="L6" s="14">
        <f>I6*J6</f>
        <v/>
      </c>
      <c r="M6" s="12" t="inlineStr">
        <is>
          <t>Cheapest of the non-Norway legs; cheaper still outside Lisbon/Porto.</t>
        </is>
      </c>
    </row>
    <row r="7">
      <c r="A7" s="12" t="inlineStr">
        <is>
          <t>Pre-Trip Gear &amp; Insurance</t>
        </is>
      </c>
      <c r="B7" s="12" t="n"/>
      <c r="C7" s="12" t="n"/>
      <c r="D7" s="12" t="inlineStr">
        <is>
          <t>-</t>
        </is>
      </c>
      <c r="E7" s="12" t="inlineStr">
        <is>
          <t>ILS</t>
        </is>
      </c>
      <c r="F7" s="12" t="n"/>
      <c r="G7" s="12" t="n"/>
      <c r="H7" s="13" t="n">
        <v>1500</v>
      </c>
      <c r="I7" s="13" t="n">
        <v>2500</v>
      </c>
      <c r="J7" s="16">
        <f>INDEX(Rates!$B$2:$B$5,MATCH(E7,Rates!$A$2:$A$5,0))</f>
        <v/>
      </c>
      <c r="K7" s="14">
        <f>H7*J7</f>
        <v/>
      </c>
      <c r="L7" s="14">
        <f>I7*J7</f>
        <v/>
      </c>
      <c r="M7" s="12" t="inlineStr">
        <is>
          <t>Travel insurance, hiking/camping gear, DNT membership, etc. Edit directly -- not day-rate based.</t>
        </is>
      </c>
    </row>
    <row r="8">
      <c r="A8" s="12" t="inlineStr">
        <is>
          <t>Emergency Buffer</t>
        </is>
      </c>
      <c r="B8" s="12" t="n"/>
      <c r="C8" s="12" t="n"/>
      <c r="D8" s="12" t="inlineStr">
        <is>
          <t>-</t>
        </is>
      </c>
      <c r="E8" s="12" t="inlineStr">
        <is>
          <t>ILS</t>
        </is>
      </c>
      <c r="F8" s="12" t="n"/>
      <c r="G8" s="12" t="n"/>
      <c r="H8" s="13" t="n">
        <v>500</v>
      </c>
      <c r="I8" s="13" t="n">
        <v>1500</v>
      </c>
      <c r="J8" s="16">
        <f>INDEX(Rates!$B$2:$B$5,MATCH(E8,Rates!$A$2:$A$5,0))</f>
        <v/>
      </c>
      <c r="K8" s="14">
        <f>H8*J8</f>
        <v/>
      </c>
      <c r="L8" s="14">
        <f>I8*J8</f>
        <v/>
      </c>
      <c r="M8" s="12" t="inlineStr">
        <is>
          <t>Unplanned costs: missed connections, gear replacement, illness. Edit directly.</t>
        </is>
      </c>
    </row>
    <row r="10">
      <c r="A10" s="6" t="inlineStr">
        <is>
          <t>TOTAL</t>
        </is>
      </c>
      <c r="K10" s="7">
        <f>SUM(K2:K8)</f>
        <v/>
      </c>
      <c r="L10" s="7">
        <f>SUM(L2:L8)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8" customWidth="1" min="4" max="4"/>
    <col width="10" customWidth="1" min="5" max="5"/>
    <col width="14" customWidth="1" min="6" max="6"/>
    <col width="10" customWidth="1" min="7" max="7"/>
    <col width="14" customWidth="1" min="8" max="8"/>
    <col width="16" customWidth="1" min="9" max="9"/>
    <col width="30" customWidth="1" min="10" max="10"/>
  </cols>
  <sheetData>
    <row r="1">
      <c r="A1" s="9" t="inlineStr">
        <is>
          <t>Date</t>
        </is>
      </c>
      <c r="B1" s="9" t="inlineStr">
        <is>
          <t>Leg / Location</t>
        </is>
      </c>
      <c r="C1" s="9" t="inlineStr">
        <is>
          <t>Category</t>
        </is>
      </c>
      <c r="D1" s="9" t="inlineStr">
        <is>
          <t>Description</t>
        </is>
      </c>
      <c r="E1" s="9" t="inlineStr">
        <is>
          <t>Currency</t>
        </is>
      </c>
      <c r="F1" s="9" t="inlineStr">
        <is>
          <t>Amount (Local)</t>
        </is>
      </c>
      <c r="G1" s="9" t="inlineStr">
        <is>
          <t>Rate to ILS</t>
        </is>
      </c>
      <c r="H1" s="9" t="inlineStr">
        <is>
          <t>Amount (ILS)</t>
        </is>
      </c>
      <c r="I1" s="9" t="inlineStr">
        <is>
          <t>Running Total (ILS)</t>
        </is>
      </c>
      <c r="J1" s="9" t="inlineStr">
        <is>
          <t>Notes</t>
        </is>
      </c>
    </row>
    <row r="2">
      <c r="A2" s="17" t="n"/>
      <c r="B2" s="10" t="n"/>
      <c r="C2" s="10" t="n"/>
      <c r="D2" s="10" t="n"/>
      <c r="E2" s="10" t="n"/>
      <c r="F2" s="10" t="n"/>
      <c r="G2" s="11">
        <f>IF(E2="","",INDEX(Rates!$B$2:$B$5,MATCH(E2,Rates!$A$2:$A$5,0)))</f>
        <v/>
      </c>
      <c r="H2" s="18">
        <f>IF(F2="","",F2*G2)</f>
        <v/>
      </c>
      <c r="I2" s="18">
        <f>IF(H2="","",SUM($H$2:H2))</f>
        <v/>
      </c>
      <c r="J2" s="10" t="n"/>
    </row>
    <row r="3">
      <c r="A3" s="17" t="n"/>
      <c r="B3" s="10" t="n"/>
      <c r="C3" s="10" t="n"/>
      <c r="D3" s="10" t="n"/>
      <c r="E3" s="10" t="n"/>
      <c r="F3" s="10" t="n"/>
      <c r="G3" s="11">
        <f>IF(E3="","",INDEX(Rates!$B$2:$B$5,MATCH(E3,Rates!$A$2:$A$5,0)))</f>
        <v/>
      </c>
      <c r="H3" s="18">
        <f>IF(F3="","",F3*G3)</f>
        <v/>
      </c>
      <c r="I3" s="18">
        <f>IF(H3="","",SUM($H$2:H3))</f>
        <v/>
      </c>
      <c r="J3" s="10" t="n"/>
    </row>
    <row r="4">
      <c r="A4" s="17" t="n"/>
      <c r="B4" s="10" t="n"/>
      <c r="C4" s="10" t="n"/>
      <c r="D4" s="10" t="n"/>
      <c r="E4" s="10" t="n"/>
      <c r="F4" s="10" t="n"/>
      <c r="G4" s="11">
        <f>IF(E4="","",INDEX(Rates!$B$2:$B$5,MATCH(E4,Rates!$A$2:$A$5,0)))</f>
        <v/>
      </c>
      <c r="H4" s="18">
        <f>IF(F4="","",F4*G4)</f>
        <v/>
      </c>
      <c r="I4" s="18">
        <f>IF(H4="","",SUM($H$2:H4))</f>
        <v/>
      </c>
      <c r="J4" s="10" t="n"/>
    </row>
    <row r="5">
      <c r="A5" s="17" t="n"/>
      <c r="B5" s="10" t="n"/>
      <c r="C5" s="10" t="n"/>
      <c r="D5" s="10" t="n"/>
      <c r="E5" s="10" t="n"/>
      <c r="F5" s="10" t="n"/>
      <c r="G5" s="11">
        <f>IF(E5="","",INDEX(Rates!$B$2:$B$5,MATCH(E5,Rates!$A$2:$A$5,0)))</f>
        <v/>
      </c>
      <c r="H5" s="18">
        <f>IF(F5="","",F5*G5)</f>
        <v/>
      </c>
      <c r="I5" s="18">
        <f>IF(H5="","",SUM($H$2:H5))</f>
        <v/>
      </c>
      <c r="J5" s="10" t="n"/>
    </row>
    <row r="6">
      <c r="A6" s="17" t="n"/>
      <c r="B6" s="10" t="n"/>
      <c r="C6" s="10" t="n"/>
      <c r="D6" s="10" t="n"/>
      <c r="E6" s="10" t="n"/>
      <c r="F6" s="10" t="n"/>
      <c r="G6" s="11">
        <f>IF(E6="","",INDEX(Rates!$B$2:$B$5,MATCH(E6,Rates!$A$2:$A$5,0)))</f>
        <v/>
      </c>
      <c r="H6" s="18">
        <f>IF(F6="","",F6*G6)</f>
        <v/>
      </c>
      <c r="I6" s="18">
        <f>IF(H6="","",SUM($H$2:H6))</f>
        <v/>
      </c>
      <c r="J6" s="10" t="n"/>
    </row>
    <row r="7">
      <c r="A7" s="17" t="n"/>
      <c r="B7" s="10" t="n"/>
      <c r="C7" s="10" t="n"/>
      <c r="D7" s="10" t="n"/>
      <c r="E7" s="10" t="n"/>
      <c r="F7" s="10" t="n"/>
      <c r="G7" s="11">
        <f>IF(E7="","",INDEX(Rates!$B$2:$B$5,MATCH(E7,Rates!$A$2:$A$5,0)))</f>
        <v/>
      </c>
      <c r="H7" s="18">
        <f>IF(F7="","",F7*G7)</f>
        <v/>
      </c>
      <c r="I7" s="18">
        <f>IF(H7="","",SUM($H$2:H7))</f>
        <v/>
      </c>
      <c r="J7" s="10" t="n"/>
    </row>
    <row r="8">
      <c r="A8" s="17" t="n"/>
      <c r="B8" s="10" t="n"/>
      <c r="C8" s="10" t="n"/>
      <c r="D8" s="10" t="n"/>
      <c r="E8" s="10" t="n"/>
      <c r="F8" s="10" t="n"/>
      <c r="G8" s="11">
        <f>IF(E8="","",INDEX(Rates!$B$2:$B$5,MATCH(E8,Rates!$A$2:$A$5,0)))</f>
        <v/>
      </c>
      <c r="H8" s="18">
        <f>IF(F8="","",F8*G8)</f>
        <v/>
      </c>
      <c r="I8" s="18">
        <f>IF(H8="","",SUM($H$2:H8))</f>
        <v/>
      </c>
      <c r="J8" s="10" t="n"/>
    </row>
    <row r="9">
      <c r="A9" s="17" t="n"/>
      <c r="B9" s="10" t="n"/>
      <c r="C9" s="10" t="n"/>
      <c r="D9" s="10" t="n"/>
      <c r="E9" s="10" t="n"/>
      <c r="F9" s="10" t="n"/>
      <c r="G9" s="11">
        <f>IF(E9="","",INDEX(Rates!$B$2:$B$5,MATCH(E9,Rates!$A$2:$A$5,0)))</f>
        <v/>
      </c>
      <c r="H9" s="18">
        <f>IF(F9="","",F9*G9)</f>
        <v/>
      </c>
      <c r="I9" s="18">
        <f>IF(H9="","",SUM($H$2:H9))</f>
        <v/>
      </c>
      <c r="J9" s="10" t="n"/>
    </row>
    <row r="10">
      <c r="A10" s="17" t="n"/>
      <c r="B10" s="10" t="n"/>
      <c r="C10" s="10" t="n"/>
      <c r="D10" s="10" t="n"/>
      <c r="E10" s="10" t="n"/>
      <c r="F10" s="10" t="n"/>
      <c r="G10" s="11">
        <f>IF(E10="","",INDEX(Rates!$B$2:$B$5,MATCH(E10,Rates!$A$2:$A$5,0)))</f>
        <v/>
      </c>
      <c r="H10" s="18">
        <f>IF(F10="","",F10*G10)</f>
        <v/>
      </c>
      <c r="I10" s="18">
        <f>IF(H10="","",SUM($H$2:H10))</f>
        <v/>
      </c>
      <c r="J10" s="10" t="n"/>
    </row>
    <row r="11">
      <c r="A11" s="17" t="n"/>
      <c r="B11" s="10" t="n"/>
      <c r="C11" s="10" t="n"/>
      <c r="D11" s="10" t="n"/>
      <c r="E11" s="10" t="n"/>
      <c r="F11" s="10" t="n"/>
      <c r="G11" s="11">
        <f>IF(E11="","",INDEX(Rates!$B$2:$B$5,MATCH(E11,Rates!$A$2:$A$5,0)))</f>
        <v/>
      </c>
      <c r="H11" s="18">
        <f>IF(F11="","",F11*G11)</f>
        <v/>
      </c>
      <c r="I11" s="18">
        <f>IF(H11="","",SUM($H$2:H11))</f>
        <v/>
      </c>
      <c r="J11" s="10" t="n"/>
    </row>
    <row r="12">
      <c r="A12" s="17" t="n"/>
      <c r="B12" s="10" t="n"/>
      <c r="C12" s="10" t="n"/>
      <c r="D12" s="10" t="n"/>
      <c r="E12" s="10" t="n"/>
      <c r="F12" s="10" t="n"/>
      <c r="G12" s="11">
        <f>IF(E12="","",INDEX(Rates!$B$2:$B$5,MATCH(E12,Rates!$A$2:$A$5,0)))</f>
        <v/>
      </c>
      <c r="H12" s="18">
        <f>IF(F12="","",F12*G12)</f>
        <v/>
      </c>
      <c r="I12" s="18">
        <f>IF(H12="","",SUM($H$2:H12))</f>
        <v/>
      </c>
      <c r="J12" s="10" t="n"/>
    </row>
    <row r="13">
      <c r="A13" s="17" t="n"/>
      <c r="B13" s="10" t="n"/>
      <c r="C13" s="10" t="n"/>
      <c r="D13" s="10" t="n"/>
      <c r="E13" s="10" t="n"/>
      <c r="F13" s="10" t="n"/>
      <c r="G13" s="11">
        <f>IF(E13="","",INDEX(Rates!$B$2:$B$5,MATCH(E13,Rates!$A$2:$A$5,0)))</f>
        <v/>
      </c>
      <c r="H13" s="18">
        <f>IF(F13="","",F13*G13)</f>
        <v/>
      </c>
      <c r="I13" s="18">
        <f>IF(H13="","",SUM($H$2:H13))</f>
        <v/>
      </c>
      <c r="J13" s="10" t="n"/>
    </row>
    <row r="14">
      <c r="A14" s="17" t="n"/>
      <c r="B14" s="10" t="n"/>
      <c r="C14" s="10" t="n"/>
      <c r="D14" s="10" t="n"/>
      <c r="E14" s="10" t="n"/>
      <c r="F14" s="10" t="n"/>
      <c r="G14" s="11">
        <f>IF(E14="","",INDEX(Rates!$B$2:$B$5,MATCH(E14,Rates!$A$2:$A$5,0)))</f>
        <v/>
      </c>
      <c r="H14" s="18">
        <f>IF(F14="","",F14*G14)</f>
        <v/>
      </c>
      <c r="I14" s="18">
        <f>IF(H14="","",SUM($H$2:H14))</f>
        <v/>
      </c>
      <c r="J14" s="10" t="n"/>
    </row>
    <row r="15">
      <c r="A15" s="17" t="n"/>
      <c r="B15" s="10" t="n"/>
      <c r="C15" s="10" t="n"/>
      <c r="D15" s="10" t="n"/>
      <c r="E15" s="10" t="n"/>
      <c r="F15" s="10" t="n"/>
      <c r="G15" s="11">
        <f>IF(E15="","",INDEX(Rates!$B$2:$B$5,MATCH(E15,Rates!$A$2:$A$5,0)))</f>
        <v/>
      </c>
      <c r="H15" s="18">
        <f>IF(F15="","",F15*G15)</f>
        <v/>
      </c>
      <c r="I15" s="18">
        <f>IF(H15="","",SUM($H$2:H15))</f>
        <v/>
      </c>
      <c r="J15" s="10" t="n"/>
    </row>
    <row r="16">
      <c r="A16" s="17" t="n"/>
      <c r="B16" s="10" t="n"/>
      <c r="C16" s="10" t="n"/>
      <c r="D16" s="10" t="n"/>
      <c r="E16" s="10" t="n"/>
      <c r="F16" s="10" t="n"/>
      <c r="G16" s="11">
        <f>IF(E16="","",INDEX(Rates!$B$2:$B$5,MATCH(E16,Rates!$A$2:$A$5,0)))</f>
        <v/>
      </c>
      <c r="H16" s="18">
        <f>IF(F16="","",F16*G16)</f>
        <v/>
      </c>
      <c r="I16" s="18">
        <f>IF(H16="","",SUM($H$2:H16))</f>
        <v/>
      </c>
      <c r="J16" s="10" t="n"/>
    </row>
    <row r="17">
      <c r="A17" s="17" t="n"/>
      <c r="B17" s="10" t="n"/>
      <c r="C17" s="10" t="n"/>
      <c r="D17" s="10" t="n"/>
      <c r="E17" s="10" t="n"/>
      <c r="F17" s="10" t="n"/>
      <c r="G17" s="11">
        <f>IF(E17="","",INDEX(Rates!$B$2:$B$5,MATCH(E17,Rates!$A$2:$A$5,0)))</f>
        <v/>
      </c>
      <c r="H17" s="18">
        <f>IF(F17="","",F17*G17)</f>
        <v/>
      </c>
      <c r="I17" s="18">
        <f>IF(H17="","",SUM($H$2:H17))</f>
        <v/>
      </c>
      <c r="J17" s="10" t="n"/>
    </row>
    <row r="18">
      <c r="A18" s="17" t="n"/>
      <c r="B18" s="10" t="n"/>
      <c r="C18" s="10" t="n"/>
      <c r="D18" s="10" t="n"/>
      <c r="E18" s="10" t="n"/>
      <c r="F18" s="10" t="n"/>
      <c r="G18" s="11">
        <f>IF(E18="","",INDEX(Rates!$B$2:$B$5,MATCH(E18,Rates!$A$2:$A$5,0)))</f>
        <v/>
      </c>
      <c r="H18" s="18">
        <f>IF(F18="","",F18*G18)</f>
        <v/>
      </c>
      <c r="I18" s="18">
        <f>IF(H18="","",SUM($H$2:H18))</f>
        <v/>
      </c>
      <c r="J18" s="10" t="n"/>
    </row>
    <row r="19">
      <c r="A19" s="17" t="n"/>
      <c r="B19" s="10" t="n"/>
      <c r="C19" s="10" t="n"/>
      <c r="D19" s="10" t="n"/>
      <c r="E19" s="10" t="n"/>
      <c r="F19" s="10" t="n"/>
      <c r="G19" s="11">
        <f>IF(E19="","",INDEX(Rates!$B$2:$B$5,MATCH(E19,Rates!$A$2:$A$5,0)))</f>
        <v/>
      </c>
      <c r="H19" s="18">
        <f>IF(F19="","",F19*G19)</f>
        <v/>
      </c>
      <c r="I19" s="18">
        <f>IF(H19="","",SUM($H$2:H19))</f>
        <v/>
      </c>
      <c r="J19" s="10" t="n"/>
    </row>
    <row r="20">
      <c r="A20" s="17" t="n"/>
      <c r="B20" s="10" t="n"/>
      <c r="C20" s="10" t="n"/>
      <c r="D20" s="10" t="n"/>
      <c r="E20" s="10" t="n"/>
      <c r="F20" s="10" t="n"/>
      <c r="G20" s="11">
        <f>IF(E20="","",INDEX(Rates!$B$2:$B$5,MATCH(E20,Rates!$A$2:$A$5,0)))</f>
        <v/>
      </c>
      <c r="H20" s="18">
        <f>IF(F20="","",F20*G20)</f>
        <v/>
      </c>
      <c r="I20" s="18">
        <f>IF(H20="","",SUM($H$2:H20))</f>
        <v/>
      </c>
      <c r="J20" s="10" t="n"/>
    </row>
    <row r="21">
      <c r="A21" s="17" t="n"/>
      <c r="B21" s="10" t="n"/>
      <c r="C21" s="10" t="n"/>
      <c r="D21" s="10" t="n"/>
      <c r="E21" s="10" t="n"/>
      <c r="F21" s="10" t="n"/>
      <c r="G21" s="11">
        <f>IF(E21="","",INDEX(Rates!$B$2:$B$5,MATCH(E21,Rates!$A$2:$A$5,0)))</f>
        <v/>
      </c>
      <c r="H21" s="18">
        <f>IF(F21="","",F21*G21)</f>
        <v/>
      </c>
      <c r="I21" s="18">
        <f>IF(H21="","",SUM($H$2:H21))</f>
        <v/>
      </c>
      <c r="J21" s="10" t="n"/>
    </row>
    <row r="22">
      <c r="A22" s="17" t="n"/>
      <c r="B22" s="10" t="n"/>
      <c r="C22" s="10" t="n"/>
      <c r="D22" s="10" t="n"/>
      <c r="E22" s="10" t="n"/>
      <c r="F22" s="10" t="n"/>
      <c r="G22" s="11">
        <f>IF(E22="","",INDEX(Rates!$B$2:$B$5,MATCH(E22,Rates!$A$2:$A$5,0)))</f>
        <v/>
      </c>
      <c r="H22" s="18">
        <f>IF(F22="","",F22*G22)</f>
        <v/>
      </c>
      <c r="I22" s="18">
        <f>IF(H22="","",SUM($H$2:H22))</f>
        <v/>
      </c>
      <c r="J22" s="10" t="n"/>
    </row>
    <row r="23">
      <c r="A23" s="17" t="n"/>
      <c r="B23" s="10" t="n"/>
      <c r="C23" s="10" t="n"/>
      <c r="D23" s="10" t="n"/>
      <c r="E23" s="10" t="n"/>
      <c r="F23" s="10" t="n"/>
      <c r="G23" s="11">
        <f>IF(E23="","",INDEX(Rates!$B$2:$B$5,MATCH(E23,Rates!$A$2:$A$5,0)))</f>
        <v/>
      </c>
      <c r="H23" s="18">
        <f>IF(F23="","",F23*G23)</f>
        <v/>
      </c>
      <c r="I23" s="18">
        <f>IF(H23="","",SUM($H$2:H23))</f>
        <v/>
      </c>
      <c r="J23" s="10" t="n"/>
    </row>
    <row r="24">
      <c r="A24" s="17" t="n"/>
      <c r="B24" s="10" t="n"/>
      <c r="C24" s="10" t="n"/>
      <c r="D24" s="10" t="n"/>
      <c r="E24" s="10" t="n"/>
      <c r="F24" s="10" t="n"/>
      <c r="G24" s="11">
        <f>IF(E24="","",INDEX(Rates!$B$2:$B$5,MATCH(E24,Rates!$A$2:$A$5,0)))</f>
        <v/>
      </c>
      <c r="H24" s="18">
        <f>IF(F24="","",F24*G24)</f>
        <v/>
      </c>
      <c r="I24" s="18">
        <f>IF(H24="","",SUM($H$2:H24))</f>
        <v/>
      </c>
      <c r="J24" s="10" t="n"/>
    </row>
    <row r="25">
      <c r="A25" s="17" t="n"/>
      <c r="B25" s="10" t="n"/>
      <c r="C25" s="10" t="n"/>
      <c r="D25" s="10" t="n"/>
      <c r="E25" s="10" t="n"/>
      <c r="F25" s="10" t="n"/>
      <c r="G25" s="11">
        <f>IF(E25="","",INDEX(Rates!$B$2:$B$5,MATCH(E25,Rates!$A$2:$A$5,0)))</f>
        <v/>
      </c>
      <c r="H25" s="18">
        <f>IF(F25="","",F25*G25)</f>
        <v/>
      </c>
      <c r="I25" s="18">
        <f>IF(H25="","",SUM($H$2:H25))</f>
        <v/>
      </c>
      <c r="J25" s="10" t="n"/>
    </row>
    <row r="26">
      <c r="A26" s="17" t="n"/>
      <c r="B26" s="10" t="n"/>
      <c r="C26" s="10" t="n"/>
      <c r="D26" s="10" t="n"/>
      <c r="E26" s="10" t="n"/>
      <c r="F26" s="10" t="n"/>
      <c r="G26" s="11">
        <f>IF(E26="","",INDEX(Rates!$B$2:$B$5,MATCH(E26,Rates!$A$2:$A$5,0)))</f>
        <v/>
      </c>
      <c r="H26" s="18">
        <f>IF(F26="","",F26*G26)</f>
        <v/>
      </c>
      <c r="I26" s="18">
        <f>IF(H26="","",SUM($H$2:H26))</f>
        <v/>
      </c>
      <c r="J26" s="10" t="n"/>
    </row>
    <row r="27">
      <c r="A27" s="17" t="n"/>
      <c r="B27" s="10" t="n"/>
      <c r="C27" s="10" t="n"/>
      <c r="D27" s="10" t="n"/>
      <c r="E27" s="10" t="n"/>
      <c r="F27" s="10" t="n"/>
      <c r="G27" s="11">
        <f>IF(E27="","",INDEX(Rates!$B$2:$B$5,MATCH(E27,Rates!$A$2:$A$5,0)))</f>
        <v/>
      </c>
      <c r="H27" s="18">
        <f>IF(F27="","",F27*G27)</f>
        <v/>
      </c>
      <c r="I27" s="18">
        <f>IF(H27="","",SUM($H$2:H27))</f>
        <v/>
      </c>
      <c r="J27" s="10" t="n"/>
    </row>
    <row r="28">
      <c r="A28" s="17" t="n"/>
      <c r="B28" s="10" t="n"/>
      <c r="C28" s="10" t="n"/>
      <c r="D28" s="10" t="n"/>
      <c r="E28" s="10" t="n"/>
      <c r="F28" s="10" t="n"/>
      <c r="G28" s="11">
        <f>IF(E28="","",INDEX(Rates!$B$2:$B$5,MATCH(E28,Rates!$A$2:$A$5,0)))</f>
        <v/>
      </c>
      <c r="H28" s="18">
        <f>IF(F28="","",F28*G28)</f>
        <v/>
      </c>
      <c r="I28" s="18">
        <f>IF(H28="","",SUM($H$2:H28))</f>
        <v/>
      </c>
      <c r="J28" s="10" t="n"/>
    </row>
    <row r="29">
      <c r="A29" s="17" t="n"/>
      <c r="B29" s="10" t="n"/>
      <c r="C29" s="10" t="n"/>
      <c r="D29" s="10" t="n"/>
      <c r="E29" s="10" t="n"/>
      <c r="F29" s="10" t="n"/>
      <c r="G29" s="11">
        <f>IF(E29="","",INDEX(Rates!$B$2:$B$5,MATCH(E29,Rates!$A$2:$A$5,0)))</f>
        <v/>
      </c>
      <c r="H29" s="18">
        <f>IF(F29="","",F29*G29)</f>
        <v/>
      </c>
      <c r="I29" s="18">
        <f>IF(H29="","",SUM($H$2:H29))</f>
        <v/>
      </c>
      <c r="J29" s="10" t="n"/>
    </row>
    <row r="30">
      <c r="A30" s="17" t="n"/>
      <c r="B30" s="10" t="n"/>
      <c r="C30" s="10" t="n"/>
      <c r="D30" s="10" t="n"/>
      <c r="E30" s="10" t="n"/>
      <c r="F30" s="10" t="n"/>
      <c r="G30" s="11">
        <f>IF(E30="","",INDEX(Rates!$B$2:$B$5,MATCH(E30,Rates!$A$2:$A$5,0)))</f>
        <v/>
      </c>
      <c r="H30" s="18">
        <f>IF(F30="","",F30*G30)</f>
        <v/>
      </c>
      <c r="I30" s="18">
        <f>IF(H30="","",SUM($H$2:H30))</f>
        <v/>
      </c>
      <c r="J30" s="10" t="n"/>
    </row>
    <row r="31">
      <c r="A31" s="17" t="n"/>
      <c r="B31" s="10" t="n"/>
      <c r="C31" s="10" t="n"/>
      <c r="D31" s="10" t="n"/>
      <c r="E31" s="10" t="n"/>
      <c r="F31" s="10" t="n"/>
      <c r="G31" s="11">
        <f>IF(E31="","",INDEX(Rates!$B$2:$B$5,MATCH(E31,Rates!$A$2:$A$5,0)))</f>
        <v/>
      </c>
      <c r="H31" s="18">
        <f>IF(F31="","",F31*G31)</f>
        <v/>
      </c>
      <c r="I31" s="18">
        <f>IF(H31="","",SUM($H$2:H31))</f>
        <v/>
      </c>
      <c r="J31" s="10" t="n"/>
    </row>
    <row r="32">
      <c r="A32" s="17" t="n"/>
      <c r="B32" s="10" t="n"/>
      <c r="C32" s="10" t="n"/>
      <c r="D32" s="10" t="n"/>
      <c r="E32" s="10" t="n"/>
      <c r="F32" s="10" t="n"/>
      <c r="G32" s="11">
        <f>IF(E32="","",INDEX(Rates!$B$2:$B$5,MATCH(E32,Rates!$A$2:$A$5,0)))</f>
        <v/>
      </c>
      <c r="H32" s="18">
        <f>IF(F32="","",F32*G32)</f>
        <v/>
      </c>
      <c r="I32" s="18">
        <f>IF(H32="","",SUM($H$2:H32))</f>
        <v/>
      </c>
      <c r="J32" s="10" t="n"/>
    </row>
    <row r="33">
      <c r="A33" s="17" t="n"/>
      <c r="B33" s="10" t="n"/>
      <c r="C33" s="10" t="n"/>
      <c r="D33" s="10" t="n"/>
      <c r="E33" s="10" t="n"/>
      <c r="F33" s="10" t="n"/>
      <c r="G33" s="11">
        <f>IF(E33="","",INDEX(Rates!$B$2:$B$5,MATCH(E33,Rates!$A$2:$A$5,0)))</f>
        <v/>
      </c>
      <c r="H33" s="18">
        <f>IF(F33="","",F33*G33)</f>
        <v/>
      </c>
      <c r="I33" s="18">
        <f>IF(H33="","",SUM($H$2:H33))</f>
        <v/>
      </c>
      <c r="J33" s="10" t="n"/>
    </row>
    <row r="34">
      <c r="A34" s="17" t="n"/>
      <c r="B34" s="10" t="n"/>
      <c r="C34" s="10" t="n"/>
      <c r="D34" s="10" t="n"/>
      <c r="E34" s="10" t="n"/>
      <c r="F34" s="10" t="n"/>
      <c r="G34" s="11">
        <f>IF(E34="","",INDEX(Rates!$B$2:$B$5,MATCH(E34,Rates!$A$2:$A$5,0)))</f>
        <v/>
      </c>
      <c r="H34" s="18">
        <f>IF(F34="","",F34*G34)</f>
        <v/>
      </c>
      <c r="I34" s="18">
        <f>IF(H34="","",SUM($H$2:H34))</f>
        <v/>
      </c>
      <c r="J34" s="10" t="n"/>
    </row>
    <row r="35">
      <c r="A35" s="17" t="n"/>
      <c r="B35" s="10" t="n"/>
      <c r="C35" s="10" t="n"/>
      <c r="D35" s="10" t="n"/>
      <c r="E35" s="10" t="n"/>
      <c r="F35" s="10" t="n"/>
      <c r="G35" s="11">
        <f>IF(E35="","",INDEX(Rates!$B$2:$B$5,MATCH(E35,Rates!$A$2:$A$5,0)))</f>
        <v/>
      </c>
      <c r="H35" s="18">
        <f>IF(F35="","",F35*G35)</f>
        <v/>
      </c>
      <c r="I35" s="18">
        <f>IF(H35="","",SUM($H$2:H35))</f>
        <v/>
      </c>
      <c r="J35" s="10" t="n"/>
    </row>
    <row r="36">
      <c r="A36" s="17" t="n"/>
      <c r="B36" s="10" t="n"/>
      <c r="C36" s="10" t="n"/>
      <c r="D36" s="10" t="n"/>
      <c r="E36" s="10" t="n"/>
      <c r="F36" s="10" t="n"/>
      <c r="G36" s="11">
        <f>IF(E36="","",INDEX(Rates!$B$2:$B$5,MATCH(E36,Rates!$A$2:$A$5,0)))</f>
        <v/>
      </c>
      <c r="H36" s="18">
        <f>IF(F36="","",F36*G36)</f>
        <v/>
      </c>
      <c r="I36" s="18">
        <f>IF(H36="","",SUM($H$2:H36))</f>
        <v/>
      </c>
      <c r="J36" s="10" t="n"/>
    </row>
    <row r="37">
      <c r="A37" s="17" t="n"/>
      <c r="B37" s="10" t="n"/>
      <c r="C37" s="10" t="n"/>
      <c r="D37" s="10" t="n"/>
      <c r="E37" s="10" t="n"/>
      <c r="F37" s="10" t="n"/>
      <c r="G37" s="11">
        <f>IF(E37="","",INDEX(Rates!$B$2:$B$5,MATCH(E37,Rates!$A$2:$A$5,0)))</f>
        <v/>
      </c>
      <c r="H37" s="18">
        <f>IF(F37="","",F37*G37)</f>
        <v/>
      </c>
      <c r="I37" s="18">
        <f>IF(H37="","",SUM($H$2:H37))</f>
        <v/>
      </c>
      <c r="J37" s="10" t="n"/>
    </row>
    <row r="38">
      <c r="A38" s="17" t="n"/>
      <c r="B38" s="10" t="n"/>
      <c r="C38" s="10" t="n"/>
      <c r="D38" s="10" t="n"/>
      <c r="E38" s="10" t="n"/>
      <c r="F38" s="10" t="n"/>
      <c r="G38" s="11">
        <f>IF(E38="","",INDEX(Rates!$B$2:$B$5,MATCH(E38,Rates!$A$2:$A$5,0)))</f>
        <v/>
      </c>
      <c r="H38" s="18">
        <f>IF(F38="","",F38*G38)</f>
        <v/>
      </c>
      <c r="I38" s="18">
        <f>IF(H38="","",SUM($H$2:H38))</f>
        <v/>
      </c>
      <c r="J38" s="10" t="n"/>
    </row>
    <row r="39">
      <c r="A39" s="17" t="n"/>
      <c r="B39" s="10" t="n"/>
      <c r="C39" s="10" t="n"/>
      <c r="D39" s="10" t="n"/>
      <c r="E39" s="10" t="n"/>
      <c r="F39" s="10" t="n"/>
      <c r="G39" s="11">
        <f>IF(E39="","",INDEX(Rates!$B$2:$B$5,MATCH(E39,Rates!$A$2:$A$5,0)))</f>
        <v/>
      </c>
      <c r="H39" s="18">
        <f>IF(F39="","",F39*G39)</f>
        <v/>
      </c>
      <c r="I39" s="18">
        <f>IF(H39="","",SUM($H$2:H39))</f>
        <v/>
      </c>
      <c r="J39" s="10" t="n"/>
    </row>
    <row r="40">
      <c r="A40" s="17" t="n"/>
      <c r="B40" s="10" t="n"/>
      <c r="C40" s="10" t="n"/>
      <c r="D40" s="10" t="n"/>
      <c r="E40" s="10" t="n"/>
      <c r="F40" s="10" t="n"/>
      <c r="G40" s="11">
        <f>IF(E40="","",INDEX(Rates!$B$2:$B$5,MATCH(E40,Rates!$A$2:$A$5,0)))</f>
        <v/>
      </c>
      <c r="H40" s="18">
        <f>IF(F40="","",F40*G40)</f>
        <v/>
      </c>
      <c r="I40" s="18">
        <f>IF(H40="","",SUM($H$2:H40))</f>
        <v/>
      </c>
      <c r="J40" s="10" t="n"/>
    </row>
    <row r="41">
      <c r="A41" s="17" t="n"/>
      <c r="B41" s="10" t="n"/>
      <c r="C41" s="10" t="n"/>
      <c r="D41" s="10" t="n"/>
      <c r="E41" s="10" t="n"/>
      <c r="F41" s="10" t="n"/>
      <c r="G41" s="11">
        <f>IF(E41="","",INDEX(Rates!$B$2:$B$5,MATCH(E41,Rates!$A$2:$A$5,0)))</f>
        <v/>
      </c>
      <c r="H41" s="18">
        <f>IF(F41="","",F41*G41)</f>
        <v/>
      </c>
      <c r="I41" s="18">
        <f>IF(H41="","",SUM($H$2:H41))</f>
        <v/>
      </c>
      <c r="J41" s="10" t="n"/>
    </row>
    <row r="42">
      <c r="A42" s="17" t="n"/>
      <c r="B42" s="10" t="n"/>
      <c r="C42" s="10" t="n"/>
      <c r="D42" s="10" t="n"/>
      <c r="E42" s="10" t="n"/>
      <c r="F42" s="10" t="n"/>
      <c r="G42" s="11">
        <f>IF(E42="","",INDEX(Rates!$B$2:$B$5,MATCH(E42,Rates!$A$2:$A$5,0)))</f>
        <v/>
      </c>
      <c r="H42" s="18">
        <f>IF(F42="","",F42*G42)</f>
        <v/>
      </c>
      <c r="I42" s="18">
        <f>IF(H42="","",SUM($H$2:H42))</f>
        <v/>
      </c>
      <c r="J42" s="10" t="n"/>
    </row>
    <row r="43">
      <c r="A43" s="17" t="n"/>
      <c r="B43" s="10" t="n"/>
      <c r="C43" s="10" t="n"/>
      <c r="D43" s="10" t="n"/>
      <c r="E43" s="10" t="n"/>
      <c r="F43" s="10" t="n"/>
      <c r="G43" s="11">
        <f>IF(E43="","",INDEX(Rates!$B$2:$B$5,MATCH(E43,Rates!$A$2:$A$5,0)))</f>
        <v/>
      </c>
      <c r="H43" s="18">
        <f>IF(F43="","",F43*G43)</f>
        <v/>
      </c>
      <c r="I43" s="18">
        <f>IF(H43="","",SUM($H$2:H43))</f>
        <v/>
      </c>
      <c r="J43" s="10" t="n"/>
    </row>
    <row r="44">
      <c r="A44" s="17" t="n"/>
      <c r="B44" s="10" t="n"/>
      <c r="C44" s="10" t="n"/>
      <c r="D44" s="10" t="n"/>
      <c r="E44" s="10" t="n"/>
      <c r="F44" s="10" t="n"/>
      <c r="G44" s="11">
        <f>IF(E44="","",INDEX(Rates!$B$2:$B$5,MATCH(E44,Rates!$A$2:$A$5,0)))</f>
        <v/>
      </c>
      <c r="H44" s="18">
        <f>IF(F44="","",F44*G44)</f>
        <v/>
      </c>
      <c r="I44" s="18">
        <f>IF(H44="","",SUM($H$2:H44))</f>
        <v/>
      </c>
      <c r="J44" s="10" t="n"/>
    </row>
    <row r="45">
      <c r="A45" s="17" t="n"/>
      <c r="B45" s="10" t="n"/>
      <c r="C45" s="10" t="n"/>
      <c r="D45" s="10" t="n"/>
      <c r="E45" s="10" t="n"/>
      <c r="F45" s="10" t="n"/>
      <c r="G45" s="11">
        <f>IF(E45="","",INDEX(Rates!$B$2:$B$5,MATCH(E45,Rates!$A$2:$A$5,0)))</f>
        <v/>
      </c>
      <c r="H45" s="18">
        <f>IF(F45="","",F45*G45)</f>
        <v/>
      </c>
      <c r="I45" s="18">
        <f>IF(H45="","",SUM($H$2:H45))</f>
        <v/>
      </c>
      <c r="J45" s="10" t="n"/>
    </row>
    <row r="46">
      <c r="A46" s="17" t="n"/>
      <c r="B46" s="10" t="n"/>
      <c r="C46" s="10" t="n"/>
      <c r="D46" s="10" t="n"/>
      <c r="E46" s="10" t="n"/>
      <c r="F46" s="10" t="n"/>
      <c r="G46" s="11">
        <f>IF(E46="","",INDEX(Rates!$B$2:$B$5,MATCH(E46,Rates!$A$2:$A$5,0)))</f>
        <v/>
      </c>
      <c r="H46" s="18">
        <f>IF(F46="","",F46*G46)</f>
        <v/>
      </c>
      <c r="I46" s="18">
        <f>IF(H46="","",SUM($H$2:H46))</f>
        <v/>
      </c>
      <c r="J46" s="10" t="n"/>
    </row>
    <row r="47">
      <c r="A47" s="17" t="n"/>
      <c r="B47" s="10" t="n"/>
      <c r="C47" s="10" t="n"/>
      <c r="D47" s="10" t="n"/>
      <c r="E47" s="10" t="n"/>
      <c r="F47" s="10" t="n"/>
      <c r="G47" s="11">
        <f>IF(E47="","",INDEX(Rates!$B$2:$B$5,MATCH(E47,Rates!$A$2:$A$5,0)))</f>
        <v/>
      </c>
      <c r="H47" s="18">
        <f>IF(F47="","",F47*G47)</f>
        <v/>
      </c>
      <c r="I47" s="18">
        <f>IF(H47="","",SUM($H$2:H47))</f>
        <v/>
      </c>
      <c r="J47" s="10" t="n"/>
    </row>
    <row r="48">
      <c r="A48" s="17" t="n"/>
      <c r="B48" s="10" t="n"/>
      <c r="C48" s="10" t="n"/>
      <c r="D48" s="10" t="n"/>
      <c r="E48" s="10" t="n"/>
      <c r="F48" s="10" t="n"/>
      <c r="G48" s="11">
        <f>IF(E48="","",INDEX(Rates!$B$2:$B$5,MATCH(E48,Rates!$A$2:$A$5,0)))</f>
        <v/>
      </c>
      <c r="H48" s="18">
        <f>IF(F48="","",F48*G48)</f>
        <v/>
      </c>
      <c r="I48" s="18">
        <f>IF(H48="","",SUM($H$2:H48))</f>
        <v/>
      </c>
      <c r="J48" s="10" t="n"/>
    </row>
    <row r="49">
      <c r="A49" s="17" t="n"/>
      <c r="B49" s="10" t="n"/>
      <c r="C49" s="10" t="n"/>
      <c r="D49" s="10" t="n"/>
      <c r="E49" s="10" t="n"/>
      <c r="F49" s="10" t="n"/>
      <c r="G49" s="11">
        <f>IF(E49="","",INDEX(Rates!$B$2:$B$5,MATCH(E49,Rates!$A$2:$A$5,0)))</f>
        <v/>
      </c>
      <c r="H49" s="18">
        <f>IF(F49="","",F49*G49)</f>
        <v/>
      </c>
      <c r="I49" s="18">
        <f>IF(H49="","",SUM($H$2:H49))</f>
        <v/>
      </c>
      <c r="J49" s="10" t="n"/>
    </row>
    <row r="50">
      <c r="A50" s="17" t="n"/>
      <c r="B50" s="10" t="n"/>
      <c r="C50" s="10" t="n"/>
      <c r="D50" s="10" t="n"/>
      <c r="E50" s="10" t="n"/>
      <c r="F50" s="10" t="n"/>
      <c r="G50" s="11">
        <f>IF(E50="","",INDEX(Rates!$B$2:$B$5,MATCH(E50,Rates!$A$2:$A$5,0)))</f>
        <v/>
      </c>
      <c r="H50" s="18">
        <f>IF(F50="","",F50*G50)</f>
        <v/>
      </c>
      <c r="I50" s="18">
        <f>IF(H50="","",SUM($H$2:H50))</f>
        <v/>
      </c>
      <c r="J50" s="10" t="n"/>
    </row>
    <row r="51">
      <c r="A51" s="17" t="n"/>
      <c r="B51" s="10" t="n"/>
      <c r="C51" s="10" t="n"/>
      <c r="D51" s="10" t="n"/>
      <c r="E51" s="10" t="n"/>
      <c r="F51" s="10" t="n"/>
      <c r="G51" s="11">
        <f>IF(E51="","",INDEX(Rates!$B$2:$B$5,MATCH(E51,Rates!$A$2:$A$5,0)))</f>
        <v/>
      </c>
      <c r="H51" s="18">
        <f>IF(F51="","",F51*G51)</f>
        <v/>
      </c>
      <c r="I51" s="18">
        <f>IF(H51="","",SUM($H$2:H51))</f>
        <v/>
      </c>
      <c r="J51" s="10" t="n"/>
    </row>
    <row r="52">
      <c r="A52" s="17" t="n"/>
      <c r="B52" s="10" t="n"/>
      <c r="C52" s="10" t="n"/>
      <c r="D52" s="10" t="n"/>
      <c r="E52" s="10" t="n"/>
      <c r="F52" s="10" t="n"/>
      <c r="G52" s="11">
        <f>IF(E52="","",INDEX(Rates!$B$2:$B$5,MATCH(E52,Rates!$A$2:$A$5,0)))</f>
        <v/>
      </c>
      <c r="H52" s="18">
        <f>IF(F52="","",F52*G52)</f>
        <v/>
      </c>
      <c r="I52" s="18">
        <f>IF(H52="","",SUM($H$2:H52))</f>
        <v/>
      </c>
      <c r="J52" s="10" t="n"/>
    </row>
    <row r="53">
      <c r="A53" s="17" t="n"/>
      <c r="B53" s="10" t="n"/>
      <c r="C53" s="10" t="n"/>
      <c r="D53" s="10" t="n"/>
      <c r="E53" s="10" t="n"/>
      <c r="F53" s="10" t="n"/>
      <c r="G53" s="11">
        <f>IF(E53="","",INDEX(Rates!$B$2:$B$5,MATCH(E53,Rates!$A$2:$A$5,0)))</f>
        <v/>
      </c>
      <c r="H53" s="18">
        <f>IF(F53="","",F53*G53)</f>
        <v/>
      </c>
      <c r="I53" s="18">
        <f>IF(H53="","",SUM($H$2:H53))</f>
        <v/>
      </c>
      <c r="J53" s="10" t="n"/>
    </row>
    <row r="54">
      <c r="A54" s="17" t="n"/>
      <c r="B54" s="10" t="n"/>
      <c r="C54" s="10" t="n"/>
      <c r="D54" s="10" t="n"/>
      <c r="E54" s="10" t="n"/>
      <c r="F54" s="10" t="n"/>
      <c r="G54" s="11">
        <f>IF(E54="","",INDEX(Rates!$B$2:$B$5,MATCH(E54,Rates!$A$2:$A$5,0)))</f>
        <v/>
      </c>
      <c r="H54" s="18">
        <f>IF(F54="","",F54*G54)</f>
        <v/>
      </c>
      <c r="I54" s="18">
        <f>IF(H54="","",SUM($H$2:H54))</f>
        <v/>
      </c>
      <c r="J54" s="10" t="n"/>
    </row>
    <row r="55">
      <c r="A55" s="17" t="n"/>
      <c r="B55" s="10" t="n"/>
      <c r="C55" s="10" t="n"/>
      <c r="D55" s="10" t="n"/>
      <c r="E55" s="10" t="n"/>
      <c r="F55" s="10" t="n"/>
      <c r="G55" s="11">
        <f>IF(E55="","",INDEX(Rates!$B$2:$B$5,MATCH(E55,Rates!$A$2:$A$5,0)))</f>
        <v/>
      </c>
      <c r="H55" s="18">
        <f>IF(F55="","",F55*G55)</f>
        <v/>
      </c>
      <c r="I55" s="18">
        <f>IF(H55="","",SUM($H$2:H55))</f>
        <v/>
      </c>
      <c r="J55" s="10" t="n"/>
    </row>
    <row r="56">
      <c r="A56" s="17" t="n"/>
      <c r="B56" s="10" t="n"/>
      <c r="C56" s="10" t="n"/>
      <c r="D56" s="10" t="n"/>
      <c r="E56" s="10" t="n"/>
      <c r="F56" s="10" t="n"/>
      <c r="G56" s="11">
        <f>IF(E56="","",INDEX(Rates!$B$2:$B$5,MATCH(E56,Rates!$A$2:$A$5,0)))</f>
        <v/>
      </c>
      <c r="H56" s="18">
        <f>IF(F56="","",F56*G56)</f>
        <v/>
      </c>
      <c r="I56" s="18">
        <f>IF(H56="","",SUM($H$2:H56))</f>
        <v/>
      </c>
      <c r="J56" s="10" t="n"/>
    </row>
    <row r="57">
      <c r="A57" s="17" t="n"/>
      <c r="B57" s="10" t="n"/>
      <c r="C57" s="10" t="n"/>
      <c r="D57" s="10" t="n"/>
      <c r="E57" s="10" t="n"/>
      <c r="F57" s="10" t="n"/>
      <c r="G57" s="11">
        <f>IF(E57="","",INDEX(Rates!$B$2:$B$5,MATCH(E57,Rates!$A$2:$A$5,0)))</f>
        <v/>
      </c>
      <c r="H57" s="18">
        <f>IF(F57="","",F57*G57)</f>
        <v/>
      </c>
      <c r="I57" s="18">
        <f>IF(H57="","",SUM($H$2:H57))</f>
        <v/>
      </c>
      <c r="J57" s="10" t="n"/>
    </row>
    <row r="58">
      <c r="A58" s="17" t="n"/>
      <c r="B58" s="10" t="n"/>
      <c r="C58" s="10" t="n"/>
      <c r="D58" s="10" t="n"/>
      <c r="E58" s="10" t="n"/>
      <c r="F58" s="10" t="n"/>
      <c r="G58" s="11">
        <f>IF(E58="","",INDEX(Rates!$B$2:$B$5,MATCH(E58,Rates!$A$2:$A$5,0)))</f>
        <v/>
      </c>
      <c r="H58" s="18">
        <f>IF(F58="","",F58*G58)</f>
        <v/>
      </c>
      <c r="I58" s="18">
        <f>IF(H58="","",SUM($H$2:H58))</f>
        <v/>
      </c>
      <c r="J58" s="10" t="n"/>
    </row>
    <row r="59">
      <c r="A59" s="17" t="n"/>
      <c r="B59" s="10" t="n"/>
      <c r="C59" s="10" t="n"/>
      <c r="D59" s="10" t="n"/>
      <c r="E59" s="10" t="n"/>
      <c r="F59" s="10" t="n"/>
      <c r="G59" s="11">
        <f>IF(E59="","",INDEX(Rates!$B$2:$B$5,MATCH(E59,Rates!$A$2:$A$5,0)))</f>
        <v/>
      </c>
      <c r="H59" s="18">
        <f>IF(F59="","",F59*G59)</f>
        <v/>
      </c>
      <c r="I59" s="18">
        <f>IF(H59="","",SUM($H$2:H59))</f>
        <v/>
      </c>
      <c r="J59" s="10" t="n"/>
    </row>
    <row r="60">
      <c r="A60" s="17" t="n"/>
      <c r="B60" s="10" t="n"/>
      <c r="C60" s="10" t="n"/>
      <c r="D60" s="10" t="n"/>
      <c r="E60" s="10" t="n"/>
      <c r="F60" s="10" t="n"/>
      <c r="G60" s="11">
        <f>IF(E60="","",INDEX(Rates!$B$2:$B$5,MATCH(E60,Rates!$A$2:$A$5,0)))</f>
        <v/>
      </c>
      <c r="H60" s="18">
        <f>IF(F60="","",F60*G60)</f>
        <v/>
      </c>
      <c r="I60" s="18">
        <f>IF(H60="","",SUM($H$2:H60))</f>
        <v/>
      </c>
      <c r="J60" s="10" t="n"/>
    </row>
    <row r="61">
      <c r="A61" s="17" t="n"/>
      <c r="B61" s="10" t="n"/>
      <c r="C61" s="10" t="n"/>
      <c r="D61" s="10" t="n"/>
      <c r="E61" s="10" t="n"/>
      <c r="F61" s="10" t="n"/>
      <c r="G61" s="11">
        <f>IF(E61="","",INDEX(Rates!$B$2:$B$5,MATCH(E61,Rates!$A$2:$A$5,0)))</f>
        <v/>
      </c>
      <c r="H61" s="18">
        <f>IF(F61="","",F61*G61)</f>
        <v/>
      </c>
      <c r="I61" s="18">
        <f>IF(H61="","",SUM($H$2:H61))</f>
        <v/>
      </c>
      <c r="J61" s="10" t="n"/>
    </row>
    <row r="62">
      <c r="A62" s="17" t="n"/>
      <c r="B62" s="10" t="n"/>
      <c r="C62" s="10" t="n"/>
      <c r="D62" s="10" t="n"/>
      <c r="E62" s="10" t="n"/>
      <c r="F62" s="10" t="n"/>
      <c r="G62" s="11">
        <f>IF(E62="","",INDEX(Rates!$B$2:$B$5,MATCH(E62,Rates!$A$2:$A$5,0)))</f>
        <v/>
      </c>
      <c r="H62" s="18">
        <f>IF(F62="","",F62*G62)</f>
        <v/>
      </c>
      <c r="I62" s="18">
        <f>IF(H62="","",SUM($H$2:H62))</f>
        <v/>
      </c>
      <c r="J62" s="10" t="n"/>
    </row>
    <row r="63">
      <c r="A63" s="17" t="n"/>
      <c r="B63" s="10" t="n"/>
      <c r="C63" s="10" t="n"/>
      <c r="D63" s="10" t="n"/>
      <c r="E63" s="10" t="n"/>
      <c r="F63" s="10" t="n"/>
      <c r="G63" s="11">
        <f>IF(E63="","",INDEX(Rates!$B$2:$B$5,MATCH(E63,Rates!$A$2:$A$5,0)))</f>
        <v/>
      </c>
      <c r="H63" s="18">
        <f>IF(F63="","",F63*G63)</f>
        <v/>
      </c>
      <c r="I63" s="18">
        <f>IF(H63="","",SUM($H$2:H63))</f>
        <v/>
      </c>
      <c r="J63" s="10" t="n"/>
    </row>
    <row r="64">
      <c r="A64" s="17" t="n"/>
      <c r="B64" s="10" t="n"/>
      <c r="C64" s="10" t="n"/>
      <c r="D64" s="10" t="n"/>
      <c r="E64" s="10" t="n"/>
      <c r="F64" s="10" t="n"/>
      <c r="G64" s="11">
        <f>IF(E64="","",INDEX(Rates!$B$2:$B$5,MATCH(E64,Rates!$A$2:$A$5,0)))</f>
        <v/>
      </c>
      <c r="H64" s="18">
        <f>IF(F64="","",F64*G64)</f>
        <v/>
      </c>
      <c r="I64" s="18">
        <f>IF(H64="","",SUM($H$2:H64))</f>
        <v/>
      </c>
      <c r="J64" s="10" t="n"/>
    </row>
    <row r="65">
      <c r="A65" s="17" t="n"/>
      <c r="B65" s="10" t="n"/>
      <c r="C65" s="10" t="n"/>
      <c r="D65" s="10" t="n"/>
      <c r="E65" s="10" t="n"/>
      <c r="F65" s="10" t="n"/>
      <c r="G65" s="11">
        <f>IF(E65="","",INDEX(Rates!$B$2:$B$5,MATCH(E65,Rates!$A$2:$A$5,0)))</f>
        <v/>
      </c>
      <c r="H65" s="18">
        <f>IF(F65="","",F65*G65)</f>
        <v/>
      </c>
      <c r="I65" s="18">
        <f>IF(H65="","",SUM($H$2:H65))</f>
        <v/>
      </c>
      <c r="J65" s="10" t="n"/>
    </row>
    <row r="66">
      <c r="A66" s="17" t="n"/>
      <c r="B66" s="10" t="n"/>
      <c r="C66" s="10" t="n"/>
      <c r="D66" s="10" t="n"/>
      <c r="E66" s="10" t="n"/>
      <c r="F66" s="10" t="n"/>
      <c r="G66" s="11">
        <f>IF(E66="","",INDEX(Rates!$B$2:$B$5,MATCH(E66,Rates!$A$2:$A$5,0)))</f>
        <v/>
      </c>
      <c r="H66" s="18">
        <f>IF(F66="","",F66*G66)</f>
        <v/>
      </c>
      <c r="I66" s="18">
        <f>IF(H66="","",SUM($H$2:H66))</f>
        <v/>
      </c>
      <c r="J66" s="10" t="n"/>
    </row>
    <row r="67">
      <c r="A67" s="17" t="n"/>
      <c r="B67" s="10" t="n"/>
      <c r="C67" s="10" t="n"/>
      <c r="D67" s="10" t="n"/>
      <c r="E67" s="10" t="n"/>
      <c r="F67" s="10" t="n"/>
      <c r="G67" s="11">
        <f>IF(E67="","",INDEX(Rates!$B$2:$B$5,MATCH(E67,Rates!$A$2:$A$5,0)))</f>
        <v/>
      </c>
      <c r="H67" s="18">
        <f>IF(F67="","",F67*G67)</f>
        <v/>
      </c>
      <c r="I67" s="18">
        <f>IF(H67="","",SUM($H$2:H67))</f>
        <v/>
      </c>
      <c r="J67" s="10" t="n"/>
    </row>
    <row r="68">
      <c r="A68" s="17" t="n"/>
      <c r="B68" s="10" t="n"/>
      <c r="C68" s="10" t="n"/>
      <c r="D68" s="10" t="n"/>
      <c r="E68" s="10" t="n"/>
      <c r="F68" s="10" t="n"/>
      <c r="G68" s="11">
        <f>IF(E68="","",INDEX(Rates!$B$2:$B$5,MATCH(E68,Rates!$A$2:$A$5,0)))</f>
        <v/>
      </c>
      <c r="H68" s="18">
        <f>IF(F68="","",F68*G68)</f>
        <v/>
      </c>
      <c r="I68" s="18">
        <f>IF(H68="","",SUM($H$2:H68))</f>
        <v/>
      </c>
      <c r="J68" s="10" t="n"/>
    </row>
    <row r="69">
      <c r="A69" s="17" t="n"/>
      <c r="B69" s="10" t="n"/>
      <c r="C69" s="10" t="n"/>
      <c r="D69" s="10" t="n"/>
      <c r="E69" s="10" t="n"/>
      <c r="F69" s="10" t="n"/>
      <c r="G69" s="11">
        <f>IF(E69="","",INDEX(Rates!$B$2:$B$5,MATCH(E69,Rates!$A$2:$A$5,0)))</f>
        <v/>
      </c>
      <c r="H69" s="18">
        <f>IF(F69="","",F69*G69)</f>
        <v/>
      </c>
      <c r="I69" s="18">
        <f>IF(H69="","",SUM($H$2:H69))</f>
        <v/>
      </c>
      <c r="J69" s="10" t="n"/>
    </row>
    <row r="70">
      <c r="A70" s="17" t="n"/>
      <c r="B70" s="10" t="n"/>
      <c r="C70" s="10" t="n"/>
      <c r="D70" s="10" t="n"/>
      <c r="E70" s="10" t="n"/>
      <c r="F70" s="10" t="n"/>
      <c r="G70" s="11">
        <f>IF(E70="","",INDEX(Rates!$B$2:$B$5,MATCH(E70,Rates!$A$2:$A$5,0)))</f>
        <v/>
      </c>
      <c r="H70" s="18">
        <f>IF(F70="","",F70*G70)</f>
        <v/>
      </c>
      <c r="I70" s="18">
        <f>IF(H70="","",SUM($H$2:H70))</f>
        <v/>
      </c>
      <c r="J70" s="10" t="n"/>
    </row>
    <row r="71">
      <c r="A71" s="17" t="n"/>
      <c r="B71" s="10" t="n"/>
      <c r="C71" s="10" t="n"/>
      <c r="D71" s="10" t="n"/>
      <c r="E71" s="10" t="n"/>
      <c r="F71" s="10" t="n"/>
      <c r="G71" s="11">
        <f>IF(E71="","",INDEX(Rates!$B$2:$B$5,MATCH(E71,Rates!$A$2:$A$5,0)))</f>
        <v/>
      </c>
      <c r="H71" s="18">
        <f>IF(F71="","",F71*G71)</f>
        <v/>
      </c>
      <c r="I71" s="18">
        <f>IF(H71="","",SUM($H$2:H71))</f>
        <v/>
      </c>
      <c r="J71" s="10" t="n"/>
    </row>
    <row r="72">
      <c r="A72" s="17" t="n"/>
      <c r="B72" s="10" t="n"/>
      <c r="C72" s="10" t="n"/>
      <c r="D72" s="10" t="n"/>
      <c r="E72" s="10" t="n"/>
      <c r="F72" s="10" t="n"/>
      <c r="G72" s="11">
        <f>IF(E72="","",INDEX(Rates!$B$2:$B$5,MATCH(E72,Rates!$A$2:$A$5,0)))</f>
        <v/>
      </c>
      <c r="H72" s="18">
        <f>IF(F72="","",F72*G72)</f>
        <v/>
      </c>
      <c r="I72" s="18">
        <f>IF(H72="","",SUM($H$2:H72))</f>
        <v/>
      </c>
      <c r="J72" s="10" t="n"/>
    </row>
    <row r="73">
      <c r="A73" s="17" t="n"/>
      <c r="B73" s="10" t="n"/>
      <c r="C73" s="10" t="n"/>
      <c r="D73" s="10" t="n"/>
      <c r="E73" s="10" t="n"/>
      <c r="F73" s="10" t="n"/>
      <c r="G73" s="11">
        <f>IF(E73="","",INDEX(Rates!$B$2:$B$5,MATCH(E73,Rates!$A$2:$A$5,0)))</f>
        <v/>
      </c>
      <c r="H73" s="18">
        <f>IF(F73="","",F73*G73)</f>
        <v/>
      </c>
      <c r="I73" s="18">
        <f>IF(H73="","",SUM($H$2:H73))</f>
        <v/>
      </c>
      <c r="J73" s="10" t="n"/>
    </row>
    <row r="74">
      <c r="A74" s="17" t="n"/>
      <c r="B74" s="10" t="n"/>
      <c r="C74" s="10" t="n"/>
      <c r="D74" s="10" t="n"/>
      <c r="E74" s="10" t="n"/>
      <c r="F74" s="10" t="n"/>
      <c r="G74" s="11">
        <f>IF(E74="","",INDEX(Rates!$B$2:$B$5,MATCH(E74,Rates!$A$2:$A$5,0)))</f>
        <v/>
      </c>
      <c r="H74" s="18">
        <f>IF(F74="","",F74*G74)</f>
        <v/>
      </c>
      <c r="I74" s="18">
        <f>IF(H74="","",SUM($H$2:H74))</f>
        <v/>
      </c>
      <c r="J74" s="10" t="n"/>
    </row>
    <row r="75">
      <c r="A75" s="17" t="n"/>
      <c r="B75" s="10" t="n"/>
      <c r="C75" s="10" t="n"/>
      <c r="D75" s="10" t="n"/>
      <c r="E75" s="10" t="n"/>
      <c r="F75" s="10" t="n"/>
      <c r="G75" s="11">
        <f>IF(E75="","",INDEX(Rates!$B$2:$B$5,MATCH(E75,Rates!$A$2:$A$5,0)))</f>
        <v/>
      </c>
      <c r="H75" s="18">
        <f>IF(F75="","",F75*G75)</f>
        <v/>
      </c>
      <c r="I75" s="18">
        <f>IF(H75="","",SUM($H$2:H75))</f>
        <v/>
      </c>
      <c r="J75" s="10" t="n"/>
    </row>
    <row r="76">
      <c r="A76" s="17" t="n"/>
      <c r="B76" s="10" t="n"/>
      <c r="C76" s="10" t="n"/>
      <c r="D76" s="10" t="n"/>
      <c r="E76" s="10" t="n"/>
      <c r="F76" s="10" t="n"/>
      <c r="G76" s="11">
        <f>IF(E76="","",INDEX(Rates!$B$2:$B$5,MATCH(E76,Rates!$A$2:$A$5,0)))</f>
        <v/>
      </c>
      <c r="H76" s="18">
        <f>IF(F76="","",F76*G76)</f>
        <v/>
      </c>
      <c r="I76" s="18">
        <f>IF(H76="","",SUM($H$2:H76))</f>
        <v/>
      </c>
      <c r="J76" s="10" t="n"/>
    </row>
    <row r="77">
      <c r="A77" s="17" t="n"/>
      <c r="B77" s="10" t="n"/>
      <c r="C77" s="10" t="n"/>
      <c r="D77" s="10" t="n"/>
      <c r="E77" s="10" t="n"/>
      <c r="F77" s="10" t="n"/>
      <c r="G77" s="11">
        <f>IF(E77="","",INDEX(Rates!$B$2:$B$5,MATCH(E77,Rates!$A$2:$A$5,0)))</f>
        <v/>
      </c>
      <c r="H77" s="18">
        <f>IF(F77="","",F77*G77)</f>
        <v/>
      </c>
      <c r="I77" s="18">
        <f>IF(H77="","",SUM($H$2:H77))</f>
        <v/>
      </c>
      <c r="J77" s="10" t="n"/>
    </row>
    <row r="78">
      <c r="A78" s="17" t="n"/>
      <c r="B78" s="10" t="n"/>
      <c r="C78" s="10" t="n"/>
      <c r="D78" s="10" t="n"/>
      <c r="E78" s="10" t="n"/>
      <c r="F78" s="10" t="n"/>
      <c r="G78" s="11">
        <f>IF(E78="","",INDEX(Rates!$B$2:$B$5,MATCH(E78,Rates!$A$2:$A$5,0)))</f>
        <v/>
      </c>
      <c r="H78" s="18">
        <f>IF(F78="","",F78*G78)</f>
        <v/>
      </c>
      <c r="I78" s="18">
        <f>IF(H78="","",SUM($H$2:H78))</f>
        <v/>
      </c>
      <c r="J78" s="10" t="n"/>
    </row>
    <row r="79">
      <c r="A79" s="17" t="n"/>
      <c r="B79" s="10" t="n"/>
      <c r="C79" s="10" t="n"/>
      <c r="D79" s="10" t="n"/>
      <c r="E79" s="10" t="n"/>
      <c r="F79" s="10" t="n"/>
      <c r="G79" s="11">
        <f>IF(E79="","",INDEX(Rates!$B$2:$B$5,MATCH(E79,Rates!$A$2:$A$5,0)))</f>
        <v/>
      </c>
      <c r="H79" s="18">
        <f>IF(F79="","",F79*G79)</f>
        <v/>
      </c>
      <c r="I79" s="18">
        <f>IF(H79="","",SUM($H$2:H79))</f>
        <v/>
      </c>
      <c r="J79" s="10" t="n"/>
    </row>
    <row r="80">
      <c r="A80" s="17" t="n"/>
      <c r="B80" s="10" t="n"/>
      <c r="C80" s="10" t="n"/>
      <c r="D80" s="10" t="n"/>
      <c r="E80" s="10" t="n"/>
      <c r="F80" s="10" t="n"/>
      <c r="G80" s="11">
        <f>IF(E80="","",INDEX(Rates!$B$2:$B$5,MATCH(E80,Rates!$A$2:$A$5,0)))</f>
        <v/>
      </c>
      <c r="H80" s="18">
        <f>IF(F80="","",F80*G80)</f>
        <v/>
      </c>
      <c r="I80" s="18">
        <f>IF(H80="","",SUM($H$2:H80))</f>
        <v/>
      </c>
      <c r="J80" s="10" t="n"/>
    </row>
    <row r="81">
      <c r="A81" s="17" t="n"/>
      <c r="B81" s="10" t="n"/>
      <c r="C81" s="10" t="n"/>
      <c r="D81" s="10" t="n"/>
      <c r="E81" s="10" t="n"/>
      <c r="F81" s="10" t="n"/>
      <c r="G81" s="11">
        <f>IF(E81="","",INDEX(Rates!$B$2:$B$5,MATCH(E81,Rates!$A$2:$A$5,0)))</f>
        <v/>
      </c>
      <c r="H81" s="18">
        <f>IF(F81="","",F81*G81)</f>
        <v/>
      </c>
      <c r="I81" s="18">
        <f>IF(H81="","",SUM($H$2:H81))</f>
        <v/>
      </c>
      <c r="J81" s="10" t="n"/>
    </row>
    <row r="82">
      <c r="A82" s="17" t="n"/>
      <c r="B82" s="10" t="n"/>
      <c r="C82" s="10" t="n"/>
      <c r="D82" s="10" t="n"/>
      <c r="E82" s="10" t="n"/>
      <c r="F82" s="10" t="n"/>
      <c r="G82" s="11">
        <f>IF(E82="","",INDEX(Rates!$B$2:$B$5,MATCH(E82,Rates!$A$2:$A$5,0)))</f>
        <v/>
      </c>
      <c r="H82" s="18">
        <f>IF(F82="","",F82*G82)</f>
        <v/>
      </c>
      <c r="I82" s="18">
        <f>IF(H82="","",SUM($H$2:H82))</f>
        <v/>
      </c>
      <c r="J82" s="10" t="n"/>
    </row>
    <row r="83">
      <c r="A83" s="17" t="n"/>
      <c r="B83" s="10" t="n"/>
      <c r="C83" s="10" t="n"/>
      <c r="D83" s="10" t="n"/>
      <c r="E83" s="10" t="n"/>
      <c r="F83" s="10" t="n"/>
      <c r="G83" s="11">
        <f>IF(E83="","",INDEX(Rates!$B$2:$B$5,MATCH(E83,Rates!$A$2:$A$5,0)))</f>
        <v/>
      </c>
      <c r="H83" s="18">
        <f>IF(F83="","",F83*G83)</f>
        <v/>
      </c>
      <c r="I83" s="18">
        <f>IF(H83="","",SUM($H$2:H83))</f>
        <v/>
      </c>
      <c r="J83" s="10" t="n"/>
    </row>
    <row r="84">
      <c r="A84" s="17" t="n"/>
      <c r="B84" s="10" t="n"/>
      <c r="C84" s="10" t="n"/>
      <c r="D84" s="10" t="n"/>
      <c r="E84" s="10" t="n"/>
      <c r="F84" s="10" t="n"/>
      <c r="G84" s="11">
        <f>IF(E84="","",INDEX(Rates!$B$2:$B$5,MATCH(E84,Rates!$A$2:$A$5,0)))</f>
        <v/>
      </c>
      <c r="H84" s="18">
        <f>IF(F84="","",F84*G84)</f>
        <v/>
      </c>
      <c r="I84" s="18">
        <f>IF(H84="","",SUM($H$2:H84))</f>
        <v/>
      </c>
      <c r="J84" s="10" t="n"/>
    </row>
    <row r="85">
      <c r="A85" s="17" t="n"/>
      <c r="B85" s="10" t="n"/>
      <c r="C85" s="10" t="n"/>
      <c r="D85" s="10" t="n"/>
      <c r="E85" s="10" t="n"/>
      <c r="F85" s="10" t="n"/>
      <c r="G85" s="11">
        <f>IF(E85="","",INDEX(Rates!$B$2:$B$5,MATCH(E85,Rates!$A$2:$A$5,0)))</f>
        <v/>
      </c>
      <c r="H85" s="18">
        <f>IF(F85="","",F85*G85)</f>
        <v/>
      </c>
      <c r="I85" s="18">
        <f>IF(H85="","",SUM($H$2:H85))</f>
        <v/>
      </c>
      <c r="J85" s="10" t="n"/>
    </row>
    <row r="86">
      <c r="A86" s="17" t="n"/>
      <c r="B86" s="10" t="n"/>
      <c r="C86" s="10" t="n"/>
      <c r="D86" s="10" t="n"/>
      <c r="E86" s="10" t="n"/>
      <c r="F86" s="10" t="n"/>
      <c r="G86" s="11">
        <f>IF(E86="","",INDEX(Rates!$B$2:$B$5,MATCH(E86,Rates!$A$2:$A$5,0)))</f>
        <v/>
      </c>
      <c r="H86" s="18">
        <f>IF(F86="","",F86*G86)</f>
        <v/>
      </c>
      <c r="I86" s="18">
        <f>IF(H86="","",SUM($H$2:H86))</f>
        <v/>
      </c>
      <c r="J86" s="10" t="n"/>
    </row>
    <row r="87">
      <c r="A87" s="17" t="n"/>
      <c r="B87" s="10" t="n"/>
      <c r="C87" s="10" t="n"/>
      <c r="D87" s="10" t="n"/>
      <c r="E87" s="10" t="n"/>
      <c r="F87" s="10" t="n"/>
      <c r="G87" s="11">
        <f>IF(E87="","",INDEX(Rates!$B$2:$B$5,MATCH(E87,Rates!$A$2:$A$5,0)))</f>
        <v/>
      </c>
      <c r="H87" s="18">
        <f>IF(F87="","",F87*G87)</f>
        <v/>
      </c>
      <c r="I87" s="18">
        <f>IF(H87="","",SUM($H$2:H87))</f>
        <v/>
      </c>
      <c r="J87" s="10" t="n"/>
    </row>
    <row r="88">
      <c r="A88" s="17" t="n"/>
      <c r="B88" s="10" t="n"/>
      <c r="C88" s="10" t="n"/>
      <c r="D88" s="10" t="n"/>
      <c r="E88" s="10" t="n"/>
      <c r="F88" s="10" t="n"/>
      <c r="G88" s="11">
        <f>IF(E88="","",INDEX(Rates!$B$2:$B$5,MATCH(E88,Rates!$A$2:$A$5,0)))</f>
        <v/>
      </c>
      <c r="H88" s="18">
        <f>IF(F88="","",F88*G88)</f>
        <v/>
      </c>
      <c r="I88" s="18">
        <f>IF(H88="","",SUM($H$2:H88))</f>
        <v/>
      </c>
      <c r="J88" s="10" t="n"/>
    </row>
    <row r="89">
      <c r="A89" s="17" t="n"/>
      <c r="B89" s="10" t="n"/>
      <c r="C89" s="10" t="n"/>
      <c r="D89" s="10" t="n"/>
      <c r="E89" s="10" t="n"/>
      <c r="F89" s="10" t="n"/>
      <c r="G89" s="11">
        <f>IF(E89="","",INDEX(Rates!$B$2:$B$5,MATCH(E89,Rates!$A$2:$A$5,0)))</f>
        <v/>
      </c>
      <c r="H89" s="18">
        <f>IF(F89="","",F89*G89)</f>
        <v/>
      </c>
      <c r="I89" s="18">
        <f>IF(H89="","",SUM($H$2:H89))</f>
        <v/>
      </c>
      <c r="J89" s="10" t="n"/>
    </row>
    <row r="90">
      <c r="A90" s="17" t="n"/>
      <c r="B90" s="10" t="n"/>
      <c r="C90" s="10" t="n"/>
      <c r="D90" s="10" t="n"/>
      <c r="E90" s="10" t="n"/>
      <c r="F90" s="10" t="n"/>
      <c r="G90" s="11">
        <f>IF(E90="","",INDEX(Rates!$B$2:$B$5,MATCH(E90,Rates!$A$2:$A$5,0)))</f>
        <v/>
      </c>
      <c r="H90" s="18">
        <f>IF(F90="","",F90*G90)</f>
        <v/>
      </c>
      <c r="I90" s="18">
        <f>IF(H90="","",SUM($H$2:H90))</f>
        <v/>
      </c>
      <c r="J90" s="10" t="n"/>
    </row>
    <row r="91">
      <c r="A91" s="17" t="n"/>
      <c r="B91" s="10" t="n"/>
      <c r="C91" s="10" t="n"/>
      <c r="D91" s="10" t="n"/>
      <c r="E91" s="10" t="n"/>
      <c r="F91" s="10" t="n"/>
      <c r="G91" s="11">
        <f>IF(E91="","",INDEX(Rates!$B$2:$B$5,MATCH(E91,Rates!$A$2:$A$5,0)))</f>
        <v/>
      </c>
      <c r="H91" s="18">
        <f>IF(F91="","",F91*G91)</f>
        <v/>
      </c>
      <c r="I91" s="18">
        <f>IF(H91="","",SUM($H$2:H91))</f>
        <v/>
      </c>
      <c r="J91" s="10" t="n"/>
    </row>
    <row r="92">
      <c r="A92" s="17" t="n"/>
      <c r="B92" s="10" t="n"/>
      <c r="C92" s="10" t="n"/>
      <c r="D92" s="10" t="n"/>
      <c r="E92" s="10" t="n"/>
      <c r="F92" s="10" t="n"/>
      <c r="G92" s="11">
        <f>IF(E92="","",INDEX(Rates!$B$2:$B$5,MATCH(E92,Rates!$A$2:$A$5,0)))</f>
        <v/>
      </c>
      <c r="H92" s="18">
        <f>IF(F92="","",F92*G92)</f>
        <v/>
      </c>
      <c r="I92" s="18">
        <f>IF(H92="","",SUM($H$2:H92))</f>
        <v/>
      </c>
      <c r="J92" s="10" t="n"/>
    </row>
    <row r="93">
      <c r="A93" s="17" t="n"/>
      <c r="B93" s="10" t="n"/>
      <c r="C93" s="10" t="n"/>
      <c r="D93" s="10" t="n"/>
      <c r="E93" s="10" t="n"/>
      <c r="F93" s="10" t="n"/>
      <c r="G93" s="11">
        <f>IF(E93="","",INDEX(Rates!$B$2:$B$5,MATCH(E93,Rates!$A$2:$A$5,0)))</f>
        <v/>
      </c>
      <c r="H93" s="18">
        <f>IF(F93="","",F93*G93)</f>
        <v/>
      </c>
      <c r="I93" s="18">
        <f>IF(H93="","",SUM($H$2:H93))</f>
        <v/>
      </c>
      <c r="J93" s="10" t="n"/>
    </row>
    <row r="94">
      <c r="A94" s="17" t="n"/>
      <c r="B94" s="10" t="n"/>
      <c r="C94" s="10" t="n"/>
      <c r="D94" s="10" t="n"/>
      <c r="E94" s="10" t="n"/>
      <c r="F94" s="10" t="n"/>
      <c r="G94" s="11">
        <f>IF(E94="","",INDEX(Rates!$B$2:$B$5,MATCH(E94,Rates!$A$2:$A$5,0)))</f>
        <v/>
      </c>
      <c r="H94" s="18">
        <f>IF(F94="","",F94*G94)</f>
        <v/>
      </c>
      <c r="I94" s="18">
        <f>IF(H94="","",SUM($H$2:H94))</f>
        <v/>
      </c>
      <c r="J94" s="10" t="n"/>
    </row>
    <row r="95">
      <c r="A95" s="17" t="n"/>
      <c r="B95" s="10" t="n"/>
      <c r="C95" s="10" t="n"/>
      <c r="D95" s="10" t="n"/>
      <c r="E95" s="10" t="n"/>
      <c r="F95" s="10" t="n"/>
      <c r="G95" s="11">
        <f>IF(E95="","",INDEX(Rates!$B$2:$B$5,MATCH(E95,Rates!$A$2:$A$5,0)))</f>
        <v/>
      </c>
      <c r="H95" s="18">
        <f>IF(F95="","",F95*G95)</f>
        <v/>
      </c>
      <c r="I95" s="18">
        <f>IF(H95="","",SUM($H$2:H95))</f>
        <v/>
      </c>
      <c r="J95" s="10" t="n"/>
    </row>
    <row r="96">
      <c r="A96" s="17" t="n"/>
      <c r="B96" s="10" t="n"/>
      <c r="C96" s="10" t="n"/>
      <c r="D96" s="10" t="n"/>
      <c r="E96" s="10" t="n"/>
      <c r="F96" s="10" t="n"/>
      <c r="G96" s="11">
        <f>IF(E96="","",INDEX(Rates!$B$2:$B$5,MATCH(E96,Rates!$A$2:$A$5,0)))</f>
        <v/>
      </c>
      <c r="H96" s="18">
        <f>IF(F96="","",F96*G96)</f>
        <v/>
      </c>
      <c r="I96" s="18">
        <f>IF(H96="","",SUM($H$2:H96))</f>
        <v/>
      </c>
      <c r="J96" s="10" t="n"/>
    </row>
    <row r="97">
      <c r="A97" s="17" t="n"/>
      <c r="B97" s="10" t="n"/>
      <c r="C97" s="10" t="n"/>
      <c r="D97" s="10" t="n"/>
      <c r="E97" s="10" t="n"/>
      <c r="F97" s="10" t="n"/>
      <c r="G97" s="11">
        <f>IF(E97="","",INDEX(Rates!$B$2:$B$5,MATCH(E97,Rates!$A$2:$A$5,0)))</f>
        <v/>
      </c>
      <c r="H97" s="18">
        <f>IF(F97="","",F97*G97)</f>
        <v/>
      </c>
      <c r="I97" s="18">
        <f>IF(H97="","",SUM($H$2:H97))</f>
        <v/>
      </c>
      <c r="J97" s="10" t="n"/>
    </row>
    <row r="98">
      <c r="A98" s="17" t="n"/>
      <c r="B98" s="10" t="n"/>
      <c r="C98" s="10" t="n"/>
      <c r="D98" s="10" t="n"/>
      <c r="E98" s="10" t="n"/>
      <c r="F98" s="10" t="n"/>
      <c r="G98" s="11">
        <f>IF(E98="","",INDEX(Rates!$B$2:$B$5,MATCH(E98,Rates!$A$2:$A$5,0)))</f>
        <v/>
      </c>
      <c r="H98" s="18">
        <f>IF(F98="","",F98*G98)</f>
        <v/>
      </c>
      <c r="I98" s="18">
        <f>IF(H98="","",SUM($H$2:H98))</f>
        <v/>
      </c>
      <c r="J98" s="10" t="n"/>
    </row>
    <row r="99">
      <c r="A99" s="17" t="n"/>
      <c r="B99" s="10" t="n"/>
      <c r="C99" s="10" t="n"/>
      <c r="D99" s="10" t="n"/>
      <c r="E99" s="10" t="n"/>
      <c r="F99" s="10" t="n"/>
      <c r="G99" s="11">
        <f>IF(E99="","",INDEX(Rates!$B$2:$B$5,MATCH(E99,Rates!$A$2:$A$5,0)))</f>
        <v/>
      </c>
      <c r="H99" s="18">
        <f>IF(F99="","",F99*G99)</f>
        <v/>
      </c>
      <c r="I99" s="18">
        <f>IF(H99="","",SUM($H$2:H99))</f>
        <v/>
      </c>
      <c r="J99" s="10" t="n"/>
    </row>
    <row r="100">
      <c r="A100" s="17" t="n"/>
      <c r="B100" s="10" t="n"/>
      <c r="C100" s="10" t="n"/>
      <c r="D100" s="10" t="n"/>
      <c r="E100" s="10" t="n"/>
      <c r="F100" s="10" t="n"/>
      <c r="G100" s="11">
        <f>IF(E100="","",INDEX(Rates!$B$2:$B$5,MATCH(E100,Rates!$A$2:$A$5,0)))</f>
        <v/>
      </c>
      <c r="H100" s="18">
        <f>IF(F100="","",F100*G100)</f>
        <v/>
      </c>
      <c r="I100" s="18">
        <f>IF(H100="","",SUM($H$2:H100))</f>
        <v/>
      </c>
      <c r="J100" s="10" t="n"/>
    </row>
    <row r="101">
      <c r="A101" s="17" t="n"/>
      <c r="B101" s="10" t="n"/>
      <c r="C101" s="10" t="n"/>
      <c r="D101" s="10" t="n"/>
      <c r="E101" s="10" t="n"/>
      <c r="F101" s="10" t="n"/>
      <c r="G101" s="11">
        <f>IF(E101="","",INDEX(Rates!$B$2:$B$5,MATCH(E101,Rates!$A$2:$A$5,0)))</f>
        <v/>
      </c>
      <c r="H101" s="18">
        <f>IF(F101="","",F101*G101)</f>
        <v/>
      </c>
      <c r="I101" s="18">
        <f>IF(H101="","",SUM($H$2:H101))</f>
        <v/>
      </c>
      <c r="J101" s="10" t="n"/>
    </row>
    <row r="102">
      <c r="A102" s="17" t="n"/>
      <c r="B102" s="10" t="n"/>
      <c r="C102" s="10" t="n"/>
      <c r="D102" s="10" t="n"/>
      <c r="E102" s="10" t="n"/>
      <c r="F102" s="10" t="n"/>
      <c r="G102" s="11">
        <f>IF(E102="","",INDEX(Rates!$B$2:$B$5,MATCH(E102,Rates!$A$2:$A$5,0)))</f>
        <v/>
      </c>
      <c r="H102" s="18">
        <f>IF(F102="","",F102*G102)</f>
        <v/>
      </c>
      <c r="I102" s="18">
        <f>IF(H102="","",SUM($H$2:H102))</f>
        <v/>
      </c>
      <c r="J102" s="10" t="n"/>
    </row>
    <row r="103">
      <c r="A103" s="17" t="n"/>
      <c r="B103" s="10" t="n"/>
      <c r="C103" s="10" t="n"/>
      <c r="D103" s="10" t="n"/>
      <c r="E103" s="10" t="n"/>
      <c r="F103" s="10" t="n"/>
      <c r="G103" s="11">
        <f>IF(E103="","",INDEX(Rates!$B$2:$B$5,MATCH(E103,Rates!$A$2:$A$5,0)))</f>
        <v/>
      </c>
      <c r="H103" s="18">
        <f>IF(F103="","",F103*G103)</f>
        <v/>
      </c>
      <c r="I103" s="18">
        <f>IF(H103="","",SUM($H$2:H103))</f>
        <v/>
      </c>
      <c r="J103" s="10" t="n"/>
    </row>
    <row r="104">
      <c r="A104" s="17" t="n"/>
      <c r="B104" s="10" t="n"/>
      <c r="C104" s="10" t="n"/>
      <c r="D104" s="10" t="n"/>
      <c r="E104" s="10" t="n"/>
      <c r="F104" s="10" t="n"/>
      <c r="G104" s="11">
        <f>IF(E104="","",INDEX(Rates!$B$2:$B$5,MATCH(E104,Rates!$A$2:$A$5,0)))</f>
        <v/>
      </c>
      <c r="H104" s="18">
        <f>IF(F104="","",F104*G104)</f>
        <v/>
      </c>
      <c r="I104" s="18">
        <f>IF(H104="","",SUM($H$2:H104))</f>
        <v/>
      </c>
      <c r="J104" s="10" t="n"/>
    </row>
    <row r="105">
      <c r="A105" s="17" t="n"/>
      <c r="B105" s="10" t="n"/>
      <c r="C105" s="10" t="n"/>
      <c r="D105" s="10" t="n"/>
      <c r="E105" s="10" t="n"/>
      <c r="F105" s="10" t="n"/>
      <c r="G105" s="11">
        <f>IF(E105="","",INDEX(Rates!$B$2:$B$5,MATCH(E105,Rates!$A$2:$A$5,0)))</f>
        <v/>
      </c>
      <c r="H105" s="18">
        <f>IF(F105="","",F105*G105)</f>
        <v/>
      </c>
      <c r="I105" s="18">
        <f>IF(H105="","",SUM($H$2:H105))</f>
        <v/>
      </c>
      <c r="J105" s="10" t="n"/>
    </row>
    <row r="106">
      <c r="A106" s="17" t="n"/>
      <c r="B106" s="10" t="n"/>
      <c r="C106" s="10" t="n"/>
      <c r="D106" s="10" t="n"/>
      <c r="E106" s="10" t="n"/>
      <c r="F106" s="10" t="n"/>
      <c r="G106" s="11">
        <f>IF(E106="","",INDEX(Rates!$B$2:$B$5,MATCH(E106,Rates!$A$2:$A$5,0)))</f>
        <v/>
      </c>
      <c r="H106" s="18">
        <f>IF(F106="","",F106*G106)</f>
        <v/>
      </c>
      <c r="I106" s="18">
        <f>IF(H106="","",SUM($H$2:H106))</f>
        <v/>
      </c>
      <c r="J106" s="10" t="n"/>
    </row>
    <row r="107">
      <c r="A107" s="17" t="n"/>
      <c r="B107" s="10" t="n"/>
      <c r="C107" s="10" t="n"/>
      <c r="D107" s="10" t="n"/>
      <c r="E107" s="10" t="n"/>
      <c r="F107" s="10" t="n"/>
      <c r="G107" s="11">
        <f>IF(E107="","",INDEX(Rates!$B$2:$B$5,MATCH(E107,Rates!$A$2:$A$5,0)))</f>
        <v/>
      </c>
      <c r="H107" s="18">
        <f>IF(F107="","",F107*G107)</f>
        <v/>
      </c>
      <c r="I107" s="18">
        <f>IF(H107="","",SUM($H$2:H107))</f>
        <v/>
      </c>
      <c r="J107" s="10" t="n"/>
    </row>
    <row r="108">
      <c r="A108" s="17" t="n"/>
      <c r="B108" s="10" t="n"/>
      <c r="C108" s="10" t="n"/>
      <c r="D108" s="10" t="n"/>
      <c r="E108" s="10" t="n"/>
      <c r="F108" s="10" t="n"/>
      <c r="G108" s="11">
        <f>IF(E108="","",INDEX(Rates!$B$2:$B$5,MATCH(E108,Rates!$A$2:$A$5,0)))</f>
        <v/>
      </c>
      <c r="H108" s="18">
        <f>IF(F108="","",F108*G108)</f>
        <v/>
      </c>
      <c r="I108" s="18">
        <f>IF(H108="","",SUM($H$2:H108))</f>
        <v/>
      </c>
      <c r="J108" s="10" t="n"/>
    </row>
    <row r="109">
      <c r="A109" s="17" t="n"/>
      <c r="B109" s="10" t="n"/>
      <c r="C109" s="10" t="n"/>
      <c r="D109" s="10" t="n"/>
      <c r="E109" s="10" t="n"/>
      <c r="F109" s="10" t="n"/>
      <c r="G109" s="11">
        <f>IF(E109="","",INDEX(Rates!$B$2:$B$5,MATCH(E109,Rates!$A$2:$A$5,0)))</f>
        <v/>
      </c>
      <c r="H109" s="18">
        <f>IF(F109="","",F109*G109)</f>
        <v/>
      </c>
      <c r="I109" s="18">
        <f>IF(H109="","",SUM($H$2:H109))</f>
        <v/>
      </c>
      <c r="J109" s="10" t="n"/>
    </row>
    <row r="110">
      <c r="A110" s="17" t="n"/>
      <c r="B110" s="10" t="n"/>
      <c r="C110" s="10" t="n"/>
      <c r="D110" s="10" t="n"/>
      <c r="E110" s="10" t="n"/>
      <c r="F110" s="10" t="n"/>
      <c r="G110" s="11">
        <f>IF(E110="","",INDEX(Rates!$B$2:$B$5,MATCH(E110,Rates!$A$2:$A$5,0)))</f>
        <v/>
      </c>
      <c r="H110" s="18">
        <f>IF(F110="","",F110*G110)</f>
        <v/>
      </c>
      <c r="I110" s="18">
        <f>IF(H110="","",SUM($H$2:H110))</f>
        <v/>
      </c>
      <c r="J110" s="10" t="n"/>
    </row>
    <row r="111">
      <c r="A111" s="17" t="n"/>
      <c r="B111" s="10" t="n"/>
      <c r="C111" s="10" t="n"/>
      <c r="D111" s="10" t="n"/>
      <c r="E111" s="10" t="n"/>
      <c r="F111" s="10" t="n"/>
      <c r="G111" s="11">
        <f>IF(E111="","",INDEX(Rates!$B$2:$B$5,MATCH(E111,Rates!$A$2:$A$5,0)))</f>
        <v/>
      </c>
      <c r="H111" s="18">
        <f>IF(F111="","",F111*G111)</f>
        <v/>
      </c>
      <c r="I111" s="18">
        <f>IF(H111="","",SUM($H$2:H111))</f>
        <v/>
      </c>
      <c r="J111" s="10" t="n"/>
    </row>
    <row r="112">
      <c r="A112" s="17" t="n"/>
      <c r="B112" s="10" t="n"/>
      <c r="C112" s="10" t="n"/>
      <c r="D112" s="10" t="n"/>
      <c r="E112" s="10" t="n"/>
      <c r="F112" s="10" t="n"/>
      <c r="G112" s="11">
        <f>IF(E112="","",INDEX(Rates!$B$2:$B$5,MATCH(E112,Rates!$A$2:$A$5,0)))</f>
        <v/>
      </c>
      <c r="H112" s="18">
        <f>IF(F112="","",F112*G112)</f>
        <v/>
      </c>
      <c r="I112" s="18">
        <f>IF(H112="","",SUM($H$2:H112))</f>
        <v/>
      </c>
      <c r="J112" s="10" t="n"/>
    </row>
    <row r="113">
      <c r="A113" s="17" t="n"/>
      <c r="B113" s="10" t="n"/>
      <c r="C113" s="10" t="n"/>
      <c r="D113" s="10" t="n"/>
      <c r="E113" s="10" t="n"/>
      <c r="F113" s="10" t="n"/>
      <c r="G113" s="11">
        <f>IF(E113="","",INDEX(Rates!$B$2:$B$5,MATCH(E113,Rates!$A$2:$A$5,0)))</f>
        <v/>
      </c>
      <c r="H113" s="18">
        <f>IF(F113="","",F113*G113)</f>
        <v/>
      </c>
      <c r="I113" s="18">
        <f>IF(H113="","",SUM($H$2:H113))</f>
        <v/>
      </c>
      <c r="J113" s="10" t="n"/>
    </row>
    <row r="114">
      <c r="A114" s="17" t="n"/>
      <c r="B114" s="10" t="n"/>
      <c r="C114" s="10" t="n"/>
      <c r="D114" s="10" t="n"/>
      <c r="E114" s="10" t="n"/>
      <c r="F114" s="10" t="n"/>
      <c r="G114" s="11">
        <f>IF(E114="","",INDEX(Rates!$B$2:$B$5,MATCH(E114,Rates!$A$2:$A$5,0)))</f>
        <v/>
      </c>
      <c r="H114" s="18">
        <f>IF(F114="","",F114*G114)</f>
        <v/>
      </c>
      <c r="I114" s="18">
        <f>IF(H114="","",SUM($H$2:H114))</f>
        <v/>
      </c>
      <c r="J114" s="10" t="n"/>
    </row>
    <row r="115">
      <c r="A115" s="17" t="n"/>
      <c r="B115" s="10" t="n"/>
      <c r="C115" s="10" t="n"/>
      <c r="D115" s="10" t="n"/>
      <c r="E115" s="10" t="n"/>
      <c r="F115" s="10" t="n"/>
      <c r="G115" s="11">
        <f>IF(E115="","",INDEX(Rates!$B$2:$B$5,MATCH(E115,Rates!$A$2:$A$5,0)))</f>
        <v/>
      </c>
      <c r="H115" s="18">
        <f>IF(F115="","",F115*G115)</f>
        <v/>
      </c>
      <c r="I115" s="18">
        <f>IF(H115="","",SUM($H$2:H115))</f>
        <v/>
      </c>
      <c r="J115" s="10" t="n"/>
    </row>
    <row r="116">
      <c r="A116" s="17" t="n"/>
      <c r="B116" s="10" t="n"/>
      <c r="C116" s="10" t="n"/>
      <c r="D116" s="10" t="n"/>
      <c r="E116" s="10" t="n"/>
      <c r="F116" s="10" t="n"/>
      <c r="G116" s="11">
        <f>IF(E116="","",INDEX(Rates!$B$2:$B$5,MATCH(E116,Rates!$A$2:$A$5,0)))</f>
        <v/>
      </c>
      <c r="H116" s="18">
        <f>IF(F116="","",F116*G116)</f>
        <v/>
      </c>
      <c r="I116" s="18">
        <f>IF(H116="","",SUM($H$2:H116))</f>
        <v/>
      </c>
      <c r="J116" s="10" t="n"/>
    </row>
    <row r="117">
      <c r="A117" s="17" t="n"/>
      <c r="B117" s="10" t="n"/>
      <c r="C117" s="10" t="n"/>
      <c r="D117" s="10" t="n"/>
      <c r="E117" s="10" t="n"/>
      <c r="F117" s="10" t="n"/>
      <c r="G117" s="11">
        <f>IF(E117="","",INDEX(Rates!$B$2:$B$5,MATCH(E117,Rates!$A$2:$A$5,0)))</f>
        <v/>
      </c>
      <c r="H117" s="18">
        <f>IF(F117="","",F117*G117)</f>
        <v/>
      </c>
      <c r="I117" s="18">
        <f>IF(H117="","",SUM($H$2:H117))</f>
        <v/>
      </c>
      <c r="J117" s="10" t="n"/>
    </row>
    <row r="118">
      <c r="A118" s="17" t="n"/>
      <c r="B118" s="10" t="n"/>
      <c r="C118" s="10" t="n"/>
      <c r="D118" s="10" t="n"/>
      <c r="E118" s="10" t="n"/>
      <c r="F118" s="10" t="n"/>
      <c r="G118" s="11">
        <f>IF(E118="","",INDEX(Rates!$B$2:$B$5,MATCH(E118,Rates!$A$2:$A$5,0)))</f>
        <v/>
      </c>
      <c r="H118" s="18">
        <f>IF(F118="","",F118*G118)</f>
        <v/>
      </c>
      <c r="I118" s="18">
        <f>IF(H118="","",SUM($H$2:H118))</f>
        <v/>
      </c>
      <c r="J118" s="10" t="n"/>
    </row>
    <row r="119">
      <c r="A119" s="17" t="n"/>
      <c r="B119" s="10" t="n"/>
      <c r="C119" s="10" t="n"/>
      <c r="D119" s="10" t="n"/>
      <c r="E119" s="10" t="n"/>
      <c r="F119" s="10" t="n"/>
      <c r="G119" s="11">
        <f>IF(E119="","",INDEX(Rates!$B$2:$B$5,MATCH(E119,Rates!$A$2:$A$5,0)))</f>
        <v/>
      </c>
      <c r="H119" s="18">
        <f>IF(F119="","",F119*G119)</f>
        <v/>
      </c>
      <c r="I119" s="18">
        <f>IF(H119="","",SUM($H$2:H119))</f>
        <v/>
      </c>
      <c r="J119" s="10" t="n"/>
    </row>
    <row r="120">
      <c r="A120" s="17" t="n"/>
      <c r="B120" s="10" t="n"/>
      <c r="C120" s="10" t="n"/>
      <c r="D120" s="10" t="n"/>
      <c r="E120" s="10" t="n"/>
      <c r="F120" s="10" t="n"/>
      <c r="G120" s="11">
        <f>IF(E120="","",INDEX(Rates!$B$2:$B$5,MATCH(E120,Rates!$A$2:$A$5,0)))</f>
        <v/>
      </c>
      <c r="H120" s="18">
        <f>IF(F120="","",F120*G120)</f>
        <v/>
      </c>
      <c r="I120" s="18">
        <f>IF(H120="","",SUM($H$2:H120))</f>
        <v/>
      </c>
      <c r="J120" s="10" t="n"/>
    </row>
    <row r="121">
      <c r="A121" s="17" t="n"/>
      <c r="B121" s="10" t="n"/>
      <c r="C121" s="10" t="n"/>
      <c r="D121" s="10" t="n"/>
      <c r="E121" s="10" t="n"/>
      <c r="F121" s="10" t="n"/>
      <c r="G121" s="11">
        <f>IF(E121="","",INDEX(Rates!$B$2:$B$5,MATCH(E121,Rates!$A$2:$A$5,0)))</f>
        <v/>
      </c>
      <c r="H121" s="18">
        <f>IF(F121="","",F121*G121)</f>
        <v/>
      </c>
      <c r="I121" s="18">
        <f>IF(H121="","",SUM($H$2:H121))</f>
        <v/>
      </c>
      <c r="J121" s="10" t="n"/>
    </row>
    <row r="122">
      <c r="A122" s="17" t="n"/>
      <c r="B122" s="10" t="n"/>
      <c r="C122" s="10" t="n"/>
      <c r="D122" s="10" t="n"/>
      <c r="E122" s="10" t="n"/>
      <c r="F122" s="10" t="n"/>
      <c r="G122" s="11">
        <f>IF(E122="","",INDEX(Rates!$B$2:$B$5,MATCH(E122,Rates!$A$2:$A$5,0)))</f>
        <v/>
      </c>
      <c r="H122" s="18">
        <f>IF(F122="","",F122*G122)</f>
        <v/>
      </c>
      <c r="I122" s="18">
        <f>IF(H122="","",SUM($H$2:H122))</f>
        <v/>
      </c>
      <c r="J122" s="10" t="n"/>
    </row>
    <row r="123">
      <c r="A123" s="17" t="n"/>
      <c r="B123" s="10" t="n"/>
      <c r="C123" s="10" t="n"/>
      <c r="D123" s="10" t="n"/>
      <c r="E123" s="10" t="n"/>
      <c r="F123" s="10" t="n"/>
      <c r="G123" s="11">
        <f>IF(E123="","",INDEX(Rates!$B$2:$B$5,MATCH(E123,Rates!$A$2:$A$5,0)))</f>
        <v/>
      </c>
      <c r="H123" s="18">
        <f>IF(F123="","",F123*G123)</f>
        <v/>
      </c>
      <c r="I123" s="18">
        <f>IF(H123="","",SUM($H$2:H123))</f>
        <v/>
      </c>
      <c r="J123" s="10" t="n"/>
    </row>
    <row r="124">
      <c r="A124" s="17" t="n"/>
      <c r="B124" s="10" t="n"/>
      <c r="C124" s="10" t="n"/>
      <c r="D124" s="10" t="n"/>
      <c r="E124" s="10" t="n"/>
      <c r="F124" s="10" t="n"/>
      <c r="G124" s="11">
        <f>IF(E124="","",INDEX(Rates!$B$2:$B$5,MATCH(E124,Rates!$A$2:$A$5,0)))</f>
        <v/>
      </c>
      <c r="H124" s="18">
        <f>IF(F124="","",F124*G124)</f>
        <v/>
      </c>
      <c r="I124" s="18">
        <f>IF(H124="","",SUM($H$2:H124))</f>
        <v/>
      </c>
      <c r="J124" s="10" t="n"/>
    </row>
    <row r="125">
      <c r="A125" s="17" t="n"/>
      <c r="B125" s="10" t="n"/>
      <c r="C125" s="10" t="n"/>
      <c r="D125" s="10" t="n"/>
      <c r="E125" s="10" t="n"/>
      <c r="F125" s="10" t="n"/>
      <c r="G125" s="11">
        <f>IF(E125="","",INDEX(Rates!$B$2:$B$5,MATCH(E125,Rates!$A$2:$A$5,0)))</f>
        <v/>
      </c>
      <c r="H125" s="18">
        <f>IF(F125="","",F125*G125)</f>
        <v/>
      </c>
      <c r="I125" s="18">
        <f>IF(H125="","",SUM($H$2:H125))</f>
        <v/>
      </c>
      <c r="J125" s="10" t="n"/>
    </row>
    <row r="126">
      <c r="A126" s="17" t="n"/>
      <c r="B126" s="10" t="n"/>
      <c r="C126" s="10" t="n"/>
      <c r="D126" s="10" t="n"/>
      <c r="E126" s="10" t="n"/>
      <c r="F126" s="10" t="n"/>
      <c r="G126" s="11">
        <f>IF(E126="","",INDEX(Rates!$B$2:$B$5,MATCH(E126,Rates!$A$2:$A$5,0)))</f>
        <v/>
      </c>
      <c r="H126" s="18">
        <f>IF(F126="","",F126*G126)</f>
        <v/>
      </c>
      <c r="I126" s="18">
        <f>IF(H126="","",SUM($H$2:H126))</f>
        <v/>
      </c>
      <c r="J126" s="10" t="n"/>
    </row>
    <row r="127">
      <c r="A127" s="17" t="n"/>
      <c r="B127" s="10" t="n"/>
      <c r="C127" s="10" t="n"/>
      <c r="D127" s="10" t="n"/>
      <c r="E127" s="10" t="n"/>
      <c r="F127" s="10" t="n"/>
      <c r="G127" s="11">
        <f>IF(E127="","",INDEX(Rates!$B$2:$B$5,MATCH(E127,Rates!$A$2:$A$5,0)))</f>
        <v/>
      </c>
      <c r="H127" s="18">
        <f>IF(F127="","",F127*G127)</f>
        <v/>
      </c>
      <c r="I127" s="18">
        <f>IF(H127="","",SUM($H$2:H127))</f>
        <v/>
      </c>
      <c r="J127" s="10" t="n"/>
    </row>
    <row r="128">
      <c r="A128" s="17" t="n"/>
      <c r="B128" s="10" t="n"/>
      <c r="C128" s="10" t="n"/>
      <c r="D128" s="10" t="n"/>
      <c r="E128" s="10" t="n"/>
      <c r="F128" s="10" t="n"/>
      <c r="G128" s="11">
        <f>IF(E128="","",INDEX(Rates!$B$2:$B$5,MATCH(E128,Rates!$A$2:$A$5,0)))</f>
        <v/>
      </c>
      <c r="H128" s="18">
        <f>IF(F128="","",F128*G128)</f>
        <v/>
      </c>
      <c r="I128" s="18">
        <f>IF(H128="","",SUM($H$2:H128))</f>
        <v/>
      </c>
      <c r="J128" s="10" t="n"/>
    </row>
    <row r="129">
      <c r="A129" s="17" t="n"/>
      <c r="B129" s="10" t="n"/>
      <c r="C129" s="10" t="n"/>
      <c r="D129" s="10" t="n"/>
      <c r="E129" s="10" t="n"/>
      <c r="F129" s="10" t="n"/>
      <c r="G129" s="11">
        <f>IF(E129="","",INDEX(Rates!$B$2:$B$5,MATCH(E129,Rates!$A$2:$A$5,0)))</f>
        <v/>
      </c>
      <c r="H129" s="18">
        <f>IF(F129="","",F129*G129)</f>
        <v/>
      </c>
      <c r="I129" s="18">
        <f>IF(H129="","",SUM($H$2:H129))</f>
        <v/>
      </c>
      <c r="J129" s="10" t="n"/>
    </row>
    <row r="130">
      <c r="A130" s="17" t="n"/>
      <c r="B130" s="10" t="n"/>
      <c r="C130" s="10" t="n"/>
      <c r="D130" s="10" t="n"/>
      <c r="E130" s="10" t="n"/>
      <c r="F130" s="10" t="n"/>
      <c r="G130" s="11">
        <f>IF(E130="","",INDEX(Rates!$B$2:$B$5,MATCH(E130,Rates!$A$2:$A$5,0)))</f>
        <v/>
      </c>
      <c r="H130" s="18">
        <f>IF(F130="","",F130*G130)</f>
        <v/>
      </c>
      <c r="I130" s="18">
        <f>IF(H130="","",SUM($H$2:H130))</f>
        <v/>
      </c>
      <c r="J130" s="10" t="n"/>
    </row>
    <row r="131">
      <c r="A131" s="17" t="n"/>
      <c r="B131" s="10" t="n"/>
      <c r="C131" s="10" t="n"/>
      <c r="D131" s="10" t="n"/>
      <c r="E131" s="10" t="n"/>
      <c r="F131" s="10" t="n"/>
      <c r="G131" s="11">
        <f>IF(E131="","",INDEX(Rates!$B$2:$B$5,MATCH(E131,Rates!$A$2:$A$5,0)))</f>
        <v/>
      </c>
      <c r="H131" s="18">
        <f>IF(F131="","",F131*G131)</f>
        <v/>
      </c>
      <c r="I131" s="18">
        <f>IF(H131="","",SUM($H$2:H131))</f>
        <v/>
      </c>
      <c r="J131" s="10" t="n"/>
    </row>
    <row r="132">
      <c r="A132" s="17" t="n"/>
      <c r="B132" s="10" t="n"/>
      <c r="C132" s="10" t="n"/>
      <c r="D132" s="10" t="n"/>
      <c r="E132" s="10" t="n"/>
      <c r="F132" s="10" t="n"/>
      <c r="G132" s="11">
        <f>IF(E132="","",INDEX(Rates!$B$2:$B$5,MATCH(E132,Rates!$A$2:$A$5,0)))</f>
        <v/>
      </c>
      <c r="H132" s="18">
        <f>IF(F132="","",F132*G132)</f>
        <v/>
      </c>
      <c r="I132" s="18">
        <f>IF(H132="","",SUM($H$2:H132))</f>
        <v/>
      </c>
      <c r="J132" s="10" t="n"/>
    </row>
    <row r="133">
      <c r="A133" s="17" t="n"/>
      <c r="B133" s="10" t="n"/>
      <c r="C133" s="10" t="n"/>
      <c r="D133" s="10" t="n"/>
      <c r="E133" s="10" t="n"/>
      <c r="F133" s="10" t="n"/>
      <c r="G133" s="11">
        <f>IF(E133="","",INDEX(Rates!$B$2:$B$5,MATCH(E133,Rates!$A$2:$A$5,0)))</f>
        <v/>
      </c>
      <c r="H133" s="18">
        <f>IF(F133="","",F133*G133)</f>
        <v/>
      </c>
      <c r="I133" s="18">
        <f>IF(H133="","",SUM($H$2:H133))</f>
        <v/>
      </c>
      <c r="J133" s="10" t="n"/>
    </row>
    <row r="134">
      <c r="A134" s="17" t="n"/>
      <c r="B134" s="10" t="n"/>
      <c r="C134" s="10" t="n"/>
      <c r="D134" s="10" t="n"/>
      <c r="E134" s="10" t="n"/>
      <c r="F134" s="10" t="n"/>
      <c r="G134" s="11">
        <f>IF(E134="","",INDEX(Rates!$B$2:$B$5,MATCH(E134,Rates!$A$2:$A$5,0)))</f>
        <v/>
      </c>
      <c r="H134" s="18">
        <f>IF(F134="","",F134*G134)</f>
        <v/>
      </c>
      <c r="I134" s="18">
        <f>IF(H134="","",SUM($H$2:H134))</f>
        <v/>
      </c>
      <c r="J134" s="10" t="n"/>
    </row>
    <row r="135">
      <c r="A135" s="17" t="n"/>
      <c r="B135" s="10" t="n"/>
      <c r="C135" s="10" t="n"/>
      <c r="D135" s="10" t="n"/>
      <c r="E135" s="10" t="n"/>
      <c r="F135" s="10" t="n"/>
      <c r="G135" s="11">
        <f>IF(E135="","",INDEX(Rates!$B$2:$B$5,MATCH(E135,Rates!$A$2:$A$5,0)))</f>
        <v/>
      </c>
      <c r="H135" s="18">
        <f>IF(F135="","",F135*G135)</f>
        <v/>
      </c>
      <c r="I135" s="18">
        <f>IF(H135="","",SUM($H$2:H135))</f>
        <v/>
      </c>
      <c r="J135" s="10" t="n"/>
    </row>
    <row r="136">
      <c r="A136" s="17" t="n"/>
      <c r="B136" s="10" t="n"/>
      <c r="C136" s="10" t="n"/>
      <c r="D136" s="10" t="n"/>
      <c r="E136" s="10" t="n"/>
      <c r="F136" s="10" t="n"/>
      <c r="G136" s="11">
        <f>IF(E136="","",INDEX(Rates!$B$2:$B$5,MATCH(E136,Rates!$A$2:$A$5,0)))</f>
        <v/>
      </c>
      <c r="H136" s="18">
        <f>IF(F136="","",F136*G136)</f>
        <v/>
      </c>
      <c r="I136" s="18">
        <f>IF(H136="","",SUM($H$2:H136))</f>
        <v/>
      </c>
      <c r="J136" s="10" t="n"/>
    </row>
    <row r="137">
      <c r="A137" s="17" t="n"/>
      <c r="B137" s="10" t="n"/>
      <c r="C137" s="10" t="n"/>
      <c r="D137" s="10" t="n"/>
      <c r="E137" s="10" t="n"/>
      <c r="F137" s="10" t="n"/>
      <c r="G137" s="11">
        <f>IF(E137="","",INDEX(Rates!$B$2:$B$5,MATCH(E137,Rates!$A$2:$A$5,0)))</f>
        <v/>
      </c>
      <c r="H137" s="18">
        <f>IF(F137="","",F137*G137)</f>
        <v/>
      </c>
      <c r="I137" s="18">
        <f>IF(H137="","",SUM($H$2:H137))</f>
        <v/>
      </c>
      <c r="J137" s="10" t="n"/>
    </row>
    <row r="138">
      <c r="A138" s="17" t="n"/>
      <c r="B138" s="10" t="n"/>
      <c r="C138" s="10" t="n"/>
      <c r="D138" s="10" t="n"/>
      <c r="E138" s="10" t="n"/>
      <c r="F138" s="10" t="n"/>
      <c r="G138" s="11">
        <f>IF(E138="","",INDEX(Rates!$B$2:$B$5,MATCH(E138,Rates!$A$2:$A$5,0)))</f>
        <v/>
      </c>
      <c r="H138" s="18">
        <f>IF(F138="","",F138*G138)</f>
        <v/>
      </c>
      <c r="I138" s="18">
        <f>IF(H138="","",SUM($H$2:H138))</f>
        <v/>
      </c>
      <c r="J138" s="10" t="n"/>
    </row>
    <row r="139">
      <c r="A139" s="17" t="n"/>
      <c r="B139" s="10" t="n"/>
      <c r="C139" s="10" t="n"/>
      <c r="D139" s="10" t="n"/>
      <c r="E139" s="10" t="n"/>
      <c r="F139" s="10" t="n"/>
      <c r="G139" s="11">
        <f>IF(E139="","",INDEX(Rates!$B$2:$B$5,MATCH(E139,Rates!$A$2:$A$5,0)))</f>
        <v/>
      </c>
      <c r="H139" s="18">
        <f>IF(F139="","",F139*G139)</f>
        <v/>
      </c>
      <c r="I139" s="18">
        <f>IF(H139="","",SUM($H$2:H139))</f>
        <v/>
      </c>
      <c r="J139" s="10" t="n"/>
    </row>
    <row r="140">
      <c r="A140" s="17" t="n"/>
      <c r="B140" s="10" t="n"/>
      <c r="C140" s="10" t="n"/>
      <c r="D140" s="10" t="n"/>
      <c r="E140" s="10" t="n"/>
      <c r="F140" s="10" t="n"/>
      <c r="G140" s="11">
        <f>IF(E140="","",INDEX(Rates!$B$2:$B$5,MATCH(E140,Rates!$A$2:$A$5,0)))</f>
        <v/>
      </c>
      <c r="H140" s="18">
        <f>IF(F140="","",F140*G140)</f>
        <v/>
      </c>
      <c r="I140" s="18">
        <f>IF(H140="","",SUM($H$2:H140))</f>
        <v/>
      </c>
      <c r="J140" s="10" t="n"/>
    </row>
    <row r="141">
      <c r="A141" s="17" t="n"/>
      <c r="B141" s="10" t="n"/>
      <c r="C141" s="10" t="n"/>
      <c r="D141" s="10" t="n"/>
      <c r="E141" s="10" t="n"/>
      <c r="F141" s="10" t="n"/>
      <c r="G141" s="11">
        <f>IF(E141="","",INDEX(Rates!$B$2:$B$5,MATCH(E141,Rates!$A$2:$A$5,0)))</f>
        <v/>
      </c>
      <c r="H141" s="18">
        <f>IF(F141="","",F141*G141)</f>
        <v/>
      </c>
      <c r="I141" s="18">
        <f>IF(H141="","",SUM($H$2:H141))</f>
        <v/>
      </c>
      <c r="J141" s="10" t="n"/>
    </row>
    <row r="142">
      <c r="A142" s="17" t="n"/>
      <c r="B142" s="10" t="n"/>
      <c r="C142" s="10" t="n"/>
      <c r="D142" s="10" t="n"/>
      <c r="E142" s="10" t="n"/>
      <c r="F142" s="10" t="n"/>
      <c r="G142" s="11">
        <f>IF(E142="","",INDEX(Rates!$B$2:$B$5,MATCH(E142,Rates!$A$2:$A$5,0)))</f>
        <v/>
      </c>
      <c r="H142" s="18">
        <f>IF(F142="","",F142*G142)</f>
        <v/>
      </c>
      <c r="I142" s="18">
        <f>IF(H142="","",SUM($H$2:H142))</f>
        <v/>
      </c>
      <c r="J142" s="10" t="n"/>
    </row>
    <row r="143">
      <c r="A143" s="17" t="n"/>
      <c r="B143" s="10" t="n"/>
      <c r="C143" s="10" t="n"/>
      <c r="D143" s="10" t="n"/>
      <c r="E143" s="10" t="n"/>
      <c r="F143" s="10" t="n"/>
      <c r="G143" s="11">
        <f>IF(E143="","",INDEX(Rates!$B$2:$B$5,MATCH(E143,Rates!$A$2:$A$5,0)))</f>
        <v/>
      </c>
      <c r="H143" s="18">
        <f>IF(F143="","",F143*G143)</f>
        <v/>
      </c>
      <c r="I143" s="18">
        <f>IF(H143="","",SUM($H$2:H143))</f>
        <v/>
      </c>
      <c r="J143" s="10" t="n"/>
    </row>
    <row r="144">
      <c r="A144" s="17" t="n"/>
      <c r="B144" s="10" t="n"/>
      <c r="C144" s="10" t="n"/>
      <c r="D144" s="10" t="n"/>
      <c r="E144" s="10" t="n"/>
      <c r="F144" s="10" t="n"/>
      <c r="G144" s="11">
        <f>IF(E144="","",INDEX(Rates!$B$2:$B$5,MATCH(E144,Rates!$A$2:$A$5,0)))</f>
        <v/>
      </c>
      <c r="H144" s="18">
        <f>IF(F144="","",F144*G144)</f>
        <v/>
      </c>
      <c r="I144" s="18">
        <f>IF(H144="","",SUM($H$2:H144))</f>
        <v/>
      </c>
      <c r="J144" s="10" t="n"/>
    </row>
    <row r="145">
      <c r="A145" s="17" t="n"/>
      <c r="B145" s="10" t="n"/>
      <c r="C145" s="10" t="n"/>
      <c r="D145" s="10" t="n"/>
      <c r="E145" s="10" t="n"/>
      <c r="F145" s="10" t="n"/>
      <c r="G145" s="11">
        <f>IF(E145="","",INDEX(Rates!$B$2:$B$5,MATCH(E145,Rates!$A$2:$A$5,0)))</f>
        <v/>
      </c>
      <c r="H145" s="18">
        <f>IF(F145="","",F145*G145)</f>
        <v/>
      </c>
      <c r="I145" s="18">
        <f>IF(H145="","",SUM($H$2:H145))</f>
        <v/>
      </c>
      <c r="J145" s="10" t="n"/>
    </row>
    <row r="146">
      <c r="A146" s="17" t="n"/>
      <c r="B146" s="10" t="n"/>
      <c r="C146" s="10" t="n"/>
      <c r="D146" s="10" t="n"/>
      <c r="E146" s="10" t="n"/>
      <c r="F146" s="10" t="n"/>
      <c r="G146" s="11">
        <f>IF(E146="","",INDEX(Rates!$B$2:$B$5,MATCH(E146,Rates!$A$2:$A$5,0)))</f>
        <v/>
      </c>
      <c r="H146" s="18">
        <f>IF(F146="","",F146*G146)</f>
        <v/>
      </c>
      <c r="I146" s="18">
        <f>IF(H146="","",SUM($H$2:H146))</f>
        <v/>
      </c>
      <c r="J146" s="10" t="n"/>
    </row>
    <row r="147">
      <c r="A147" s="17" t="n"/>
      <c r="B147" s="10" t="n"/>
      <c r="C147" s="10" t="n"/>
      <c r="D147" s="10" t="n"/>
      <c r="E147" s="10" t="n"/>
      <c r="F147" s="10" t="n"/>
      <c r="G147" s="11">
        <f>IF(E147="","",INDEX(Rates!$B$2:$B$5,MATCH(E147,Rates!$A$2:$A$5,0)))</f>
        <v/>
      </c>
      <c r="H147" s="18">
        <f>IF(F147="","",F147*G147)</f>
        <v/>
      </c>
      <c r="I147" s="18">
        <f>IF(H147="","",SUM($H$2:H147))</f>
        <v/>
      </c>
      <c r="J147" s="10" t="n"/>
    </row>
    <row r="148">
      <c r="A148" s="17" t="n"/>
      <c r="B148" s="10" t="n"/>
      <c r="C148" s="10" t="n"/>
      <c r="D148" s="10" t="n"/>
      <c r="E148" s="10" t="n"/>
      <c r="F148" s="10" t="n"/>
      <c r="G148" s="11">
        <f>IF(E148="","",INDEX(Rates!$B$2:$B$5,MATCH(E148,Rates!$A$2:$A$5,0)))</f>
        <v/>
      </c>
      <c r="H148" s="18">
        <f>IF(F148="","",F148*G148)</f>
        <v/>
      </c>
      <c r="I148" s="18">
        <f>IF(H148="","",SUM($H$2:H148))</f>
        <v/>
      </c>
      <c r="J148" s="10" t="n"/>
    </row>
    <row r="149">
      <c r="A149" s="17" t="n"/>
      <c r="B149" s="10" t="n"/>
      <c r="C149" s="10" t="n"/>
      <c r="D149" s="10" t="n"/>
      <c r="E149" s="10" t="n"/>
      <c r="F149" s="10" t="n"/>
      <c r="G149" s="11">
        <f>IF(E149="","",INDEX(Rates!$B$2:$B$5,MATCH(E149,Rates!$A$2:$A$5,0)))</f>
        <v/>
      </c>
      <c r="H149" s="18">
        <f>IF(F149="","",F149*G149)</f>
        <v/>
      </c>
      <c r="I149" s="18">
        <f>IF(H149="","",SUM($H$2:H149))</f>
        <v/>
      </c>
      <c r="J149" s="10" t="n"/>
    </row>
    <row r="150">
      <c r="A150" s="17" t="n"/>
      <c r="B150" s="10" t="n"/>
      <c r="C150" s="10" t="n"/>
      <c r="D150" s="10" t="n"/>
      <c r="E150" s="10" t="n"/>
      <c r="F150" s="10" t="n"/>
      <c r="G150" s="11">
        <f>IF(E150="","",INDEX(Rates!$B$2:$B$5,MATCH(E150,Rates!$A$2:$A$5,0)))</f>
        <v/>
      </c>
      <c r="H150" s="18">
        <f>IF(F150="","",F150*G150)</f>
        <v/>
      </c>
      <c r="I150" s="18">
        <f>IF(H150="","",SUM($H$2:H150))</f>
        <v/>
      </c>
      <c r="J150" s="10" t="n"/>
    </row>
    <row r="151">
      <c r="A151" s="17" t="n"/>
      <c r="B151" s="10" t="n"/>
      <c r="C151" s="10" t="n"/>
      <c r="D151" s="10" t="n"/>
      <c r="E151" s="10" t="n"/>
      <c r="F151" s="10" t="n"/>
      <c r="G151" s="11">
        <f>IF(E151="","",INDEX(Rates!$B$2:$B$5,MATCH(E151,Rates!$A$2:$A$5,0)))</f>
        <v/>
      </c>
      <c r="H151" s="18">
        <f>IF(F151="","",F151*G151)</f>
        <v/>
      </c>
      <c r="I151" s="18">
        <f>IF(H151="","",SUM($H$2:H151))</f>
        <v/>
      </c>
      <c r="J151" s="10" t="n"/>
    </row>
    <row r="152">
      <c r="A152" s="17" t="n"/>
      <c r="B152" s="10" t="n"/>
      <c r="C152" s="10" t="n"/>
      <c r="D152" s="10" t="n"/>
      <c r="E152" s="10" t="n"/>
      <c r="F152" s="10" t="n"/>
      <c r="G152" s="11">
        <f>IF(E152="","",INDEX(Rates!$B$2:$B$5,MATCH(E152,Rates!$A$2:$A$5,0)))</f>
        <v/>
      </c>
      <c r="H152" s="18">
        <f>IF(F152="","",F152*G152)</f>
        <v/>
      </c>
      <c r="I152" s="18">
        <f>IF(H152="","",SUM($H$2:H152))</f>
        <v/>
      </c>
      <c r="J152" s="10" t="n"/>
    </row>
    <row r="153">
      <c r="A153" s="17" t="n"/>
      <c r="B153" s="10" t="n"/>
      <c r="C153" s="10" t="n"/>
      <c r="D153" s="10" t="n"/>
      <c r="E153" s="10" t="n"/>
      <c r="F153" s="10" t="n"/>
      <c r="G153" s="11">
        <f>IF(E153="","",INDEX(Rates!$B$2:$B$5,MATCH(E153,Rates!$A$2:$A$5,0)))</f>
        <v/>
      </c>
      <c r="H153" s="18">
        <f>IF(F153="","",F153*G153)</f>
        <v/>
      </c>
      <c r="I153" s="18">
        <f>IF(H153="","",SUM($H$2:H153))</f>
        <v/>
      </c>
      <c r="J153" s="10" t="n"/>
    </row>
    <row r="154">
      <c r="A154" s="17" t="n"/>
      <c r="B154" s="10" t="n"/>
      <c r="C154" s="10" t="n"/>
      <c r="D154" s="10" t="n"/>
      <c r="E154" s="10" t="n"/>
      <c r="F154" s="10" t="n"/>
      <c r="G154" s="11">
        <f>IF(E154="","",INDEX(Rates!$B$2:$B$5,MATCH(E154,Rates!$A$2:$A$5,0)))</f>
        <v/>
      </c>
      <c r="H154" s="18">
        <f>IF(F154="","",F154*G154)</f>
        <v/>
      </c>
      <c r="I154" s="18">
        <f>IF(H154="","",SUM($H$2:H154))</f>
        <v/>
      </c>
      <c r="J154" s="10" t="n"/>
    </row>
    <row r="155">
      <c r="A155" s="17" t="n"/>
      <c r="B155" s="10" t="n"/>
      <c r="C155" s="10" t="n"/>
      <c r="D155" s="10" t="n"/>
      <c r="E155" s="10" t="n"/>
      <c r="F155" s="10" t="n"/>
      <c r="G155" s="11">
        <f>IF(E155="","",INDEX(Rates!$B$2:$B$5,MATCH(E155,Rates!$A$2:$A$5,0)))</f>
        <v/>
      </c>
      <c r="H155" s="18">
        <f>IF(F155="","",F155*G155)</f>
        <v/>
      </c>
      <c r="I155" s="18">
        <f>IF(H155="","",SUM($H$2:H155))</f>
        <v/>
      </c>
      <c r="J155" s="10" t="n"/>
    </row>
    <row r="156">
      <c r="A156" s="17" t="n"/>
      <c r="B156" s="10" t="n"/>
      <c r="C156" s="10" t="n"/>
      <c r="D156" s="10" t="n"/>
      <c r="E156" s="10" t="n"/>
      <c r="F156" s="10" t="n"/>
      <c r="G156" s="11">
        <f>IF(E156="","",INDEX(Rates!$B$2:$B$5,MATCH(E156,Rates!$A$2:$A$5,0)))</f>
        <v/>
      </c>
      <c r="H156" s="18">
        <f>IF(F156="","",F156*G156)</f>
        <v/>
      </c>
      <c r="I156" s="18">
        <f>IF(H156="","",SUM($H$2:H156))</f>
        <v/>
      </c>
      <c r="J156" s="10" t="n"/>
    </row>
    <row r="157">
      <c r="A157" s="17" t="n"/>
      <c r="B157" s="10" t="n"/>
      <c r="C157" s="10" t="n"/>
      <c r="D157" s="10" t="n"/>
      <c r="E157" s="10" t="n"/>
      <c r="F157" s="10" t="n"/>
      <c r="G157" s="11">
        <f>IF(E157="","",INDEX(Rates!$B$2:$B$5,MATCH(E157,Rates!$A$2:$A$5,0)))</f>
        <v/>
      </c>
      <c r="H157" s="18">
        <f>IF(F157="","",F157*G157)</f>
        <v/>
      </c>
      <c r="I157" s="18">
        <f>IF(H157="","",SUM($H$2:H157))</f>
        <v/>
      </c>
      <c r="J157" s="10" t="n"/>
    </row>
    <row r="158">
      <c r="A158" s="17" t="n"/>
      <c r="B158" s="10" t="n"/>
      <c r="C158" s="10" t="n"/>
      <c r="D158" s="10" t="n"/>
      <c r="E158" s="10" t="n"/>
      <c r="F158" s="10" t="n"/>
      <c r="G158" s="11">
        <f>IF(E158="","",INDEX(Rates!$B$2:$B$5,MATCH(E158,Rates!$A$2:$A$5,0)))</f>
        <v/>
      </c>
      <c r="H158" s="18">
        <f>IF(F158="","",F158*G158)</f>
        <v/>
      </c>
      <c r="I158" s="18">
        <f>IF(H158="","",SUM($H$2:H158))</f>
        <v/>
      </c>
      <c r="J158" s="10" t="n"/>
    </row>
    <row r="159">
      <c r="A159" s="17" t="n"/>
      <c r="B159" s="10" t="n"/>
      <c r="C159" s="10" t="n"/>
      <c r="D159" s="10" t="n"/>
      <c r="E159" s="10" t="n"/>
      <c r="F159" s="10" t="n"/>
      <c r="G159" s="11">
        <f>IF(E159="","",INDEX(Rates!$B$2:$B$5,MATCH(E159,Rates!$A$2:$A$5,0)))</f>
        <v/>
      </c>
      <c r="H159" s="18">
        <f>IF(F159="","",F159*G159)</f>
        <v/>
      </c>
      <c r="I159" s="18">
        <f>IF(H159="","",SUM($H$2:H159))</f>
        <v/>
      </c>
      <c r="J159" s="10" t="n"/>
    </row>
    <row r="160">
      <c r="A160" s="17" t="n"/>
      <c r="B160" s="10" t="n"/>
      <c r="C160" s="10" t="n"/>
      <c r="D160" s="10" t="n"/>
      <c r="E160" s="10" t="n"/>
      <c r="F160" s="10" t="n"/>
      <c r="G160" s="11">
        <f>IF(E160="","",INDEX(Rates!$B$2:$B$5,MATCH(E160,Rates!$A$2:$A$5,0)))</f>
        <v/>
      </c>
      <c r="H160" s="18">
        <f>IF(F160="","",F160*G160)</f>
        <v/>
      </c>
      <c r="I160" s="18">
        <f>IF(H160="","",SUM($H$2:H160))</f>
        <v/>
      </c>
      <c r="J160" s="10" t="n"/>
    </row>
    <row r="161">
      <c r="A161" s="17" t="n"/>
      <c r="B161" s="10" t="n"/>
      <c r="C161" s="10" t="n"/>
      <c r="D161" s="10" t="n"/>
      <c r="E161" s="10" t="n"/>
      <c r="F161" s="10" t="n"/>
      <c r="G161" s="11">
        <f>IF(E161="","",INDEX(Rates!$B$2:$B$5,MATCH(E161,Rates!$A$2:$A$5,0)))</f>
        <v/>
      </c>
      <c r="H161" s="18">
        <f>IF(F161="","",F161*G161)</f>
        <v/>
      </c>
      <c r="I161" s="18">
        <f>IF(H161="","",SUM($H$2:H161))</f>
        <v/>
      </c>
      <c r="J161" s="10" t="n"/>
    </row>
    <row r="162">
      <c r="A162" s="17" t="n"/>
      <c r="B162" s="10" t="n"/>
      <c r="C162" s="10" t="n"/>
      <c r="D162" s="10" t="n"/>
      <c r="E162" s="10" t="n"/>
      <c r="F162" s="10" t="n"/>
      <c r="G162" s="11">
        <f>IF(E162="","",INDEX(Rates!$B$2:$B$5,MATCH(E162,Rates!$A$2:$A$5,0)))</f>
        <v/>
      </c>
      <c r="H162" s="18">
        <f>IF(F162="","",F162*G162)</f>
        <v/>
      </c>
      <c r="I162" s="18">
        <f>IF(H162="","",SUM($H$2:H162))</f>
        <v/>
      </c>
      <c r="J162" s="10" t="n"/>
    </row>
    <row r="163">
      <c r="A163" s="17" t="n"/>
      <c r="B163" s="10" t="n"/>
      <c r="C163" s="10" t="n"/>
      <c r="D163" s="10" t="n"/>
      <c r="E163" s="10" t="n"/>
      <c r="F163" s="10" t="n"/>
      <c r="G163" s="11">
        <f>IF(E163="","",INDEX(Rates!$B$2:$B$5,MATCH(E163,Rates!$A$2:$A$5,0)))</f>
        <v/>
      </c>
      <c r="H163" s="18">
        <f>IF(F163="","",F163*G163)</f>
        <v/>
      </c>
      <c r="I163" s="18">
        <f>IF(H163="","",SUM($H$2:H163))</f>
        <v/>
      </c>
      <c r="J163" s="10" t="n"/>
    </row>
    <row r="164">
      <c r="A164" s="17" t="n"/>
      <c r="B164" s="10" t="n"/>
      <c r="C164" s="10" t="n"/>
      <c r="D164" s="10" t="n"/>
      <c r="E164" s="10" t="n"/>
      <c r="F164" s="10" t="n"/>
      <c r="G164" s="11">
        <f>IF(E164="","",INDEX(Rates!$B$2:$B$5,MATCH(E164,Rates!$A$2:$A$5,0)))</f>
        <v/>
      </c>
      <c r="H164" s="18">
        <f>IF(F164="","",F164*G164)</f>
        <v/>
      </c>
      <c r="I164" s="18">
        <f>IF(H164="","",SUM($H$2:H164))</f>
        <v/>
      </c>
      <c r="J164" s="10" t="n"/>
    </row>
    <row r="165">
      <c r="A165" s="17" t="n"/>
      <c r="B165" s="10" t="n"/>
      <c r="C165" s="10" t="n"/>
      <c r="D165" s="10" t="n"/>
      <c r="E165" s="10" t="n"/>
      <c r="F165" s="10" t="n"/>
      <c r="G165" s="11">
        <f>IF(E165="","",INDEX(Rates!$B$2:$B$5,MATCH(E165,Rates!$A$2:$A$5,0)))</f>
        <v/>
      </c>
      <c r="H165" s="18">
        <f>IF(F165="","",F165*G165)</f>
        <v/>
      </c>
      <c r="I165" s="18">
        <f>IF(H165="","",SUM($H$2:H165))</f>
        <v/>
      </c>
      <c r="J165" s="10" t="n"/>
    </row>
    <row r="166">
      <c r="A166" s="17" t="n"/>
      <c r="B166" s="10" t="n"/>
      <c r="C166" s="10" t="n"/>
      <c r="D166" s="10" t="n"/>
      <c r="E166" s="10" t="n"/>
      <c r="F166" s="10" t="n"/>
      <c r="G166" s="11">
        <f>IF(E166="","",INDEX(Rates!$B$2:$B$5,MATCH(E166,Rates!$A$2:$A$5,0)))</f>
        <v/>
      </c>
      <c r="H166" s="18">
        <f>IF(F166="","",F166*G166)</f>
        <v/>
      </c>
      <c r="I166" s="18">
        <f>IF(H166="","",SUM($H$2:H166))</f>
        <v/>
      </c>
      <c r="J166" s="10" t="n"/>
    </row>
    <row r="167">
      <c r="A167" s="17" t="n"/>
      <c r="B167" s="10" t="n"/>
      <c r="C167" s="10" t="n"/>
      <c r="D167" s="10" t="n"/>
      <c r="E167" s="10" t="n"/>
      <c r="F167" s="10" t="n"/>
      <c r="G167" s="11">
        <f>IF(E167="","",INDEX(Rates!$B$2:$B$5,MATCH(E167,Rates!$A$2:$A$5,0)))</f>
        <v/>
      </c>
      <c r="H167" s="18">
        <f>IF(F167="","",F167*G167)</f>
        <v/>
      </c>
      <c r="I167" s="18">
        <f>IF(H167="","",SUM($H$2:H167))</f>
        <v/>
      </c>
      <c r="J167" s="10" t="n"/>
    </row>
    <row r="168">
      <c r="A168" s="17" t="n"/>
      <c r="B168" s="10" t="n"/>
      <c r="C168" s="10" t="n"/>
      <c r="D168" s="10" t="n"/>
      <c r="E168" s="10" t="n"/>
      <c r="F168" s="10" t="n"/>
      <c r="G168" s="11">
        <f>IF(E168="","",INDEX(Rates!$B$2:$B$5,MATCH(E168,Rates!$A$2:$A$5,0)))</f>
        <v/>
      </c>
      <c r="H168" s="18">
        <f>IF(F168="","",F168*G168)</f>
        <v/>
      </c>
      <c r="I168" s="18">
        <f>IF(H168="","",SUM($H$2:H168))</f>
        <v/>
      </c>
      <c r="J168" s="10" t="n"/>
    </row>
    <row r="169">
      <c r="A169" s="17" t="n"/>
      <c r="B169" s="10" t="n"/>
      <c r="C169" s="10" t="n"/>
      <c r="D169" s="10" t="n"/>
      <c r="E169" s="10" t="n"/>
      <c r="F169" s="10" t="n"/>
      <c r="G169" s="11">
        <f>IF(E169="","",INDEX(Rates!$B$2:$B$5,MATCH(E169,Rates!$A$2:$A$5,0)))</f>
        <v/>
      </c>
      <c r="H169" s="18">
        <f>IF(F169="","",F169*G169)</f>
        <v/>
      </c>
      <c r="I169" s="18">
        <f>IF(H169="","",SUM($H$2:H169))</f>
        <v/>
      </c>
      <c r="J169" s="10" t="n"/>
    </row>
    <row r="170">
      <c r="A170" s="17" t="n"/>
      <c r="B170" s="10" t="n"/>
      <c r="C170" s="10" t="n"/>
      <c r="D170" s="10" t="n"/>
      <c r="E170" s="10" t="n"/>
      <c r="F170" s="10" t="n"/>
      <c r="G170" s="11">
        <f>IF(E170="","",INDEX(Rates!$B$2:$B$5,MATCH(E170,Rates!$A$2:$A$5,0)))</f>
        <v/>
      </c>
      <c r="H170" s="18">
        <f>IF(F170="","",F170*G170)</f>
        <v/>
      </c>
      <c r="I170" s="18">
        <f>IF(H170="","",SUM($H$2:H170))</f>
        <v/>
      </c>
      <c r="J170" s="10" t="n"/>
    </row>
    <row r="171">
      <c r="A171" s="17" t="n"/>
      <c r="B171" s="10" t="n"/>
      <c r="C171" s="10" t="n"/>
      <c r="D171" s="10" t="n"/>
      <c r="E171" s="10" t="n"/>
      <c r="F171" s="10" t="n"/>
      <c r="G171" s="11">
        <f>IF(E171="","",INDEX(Rates!$B$2:$B$5,MATCH(E171,Rates!$A$2:$A$5,0)))</f>
        <v/>
      </c>
      <c r="H171" s="18">
        <f>IF(F171="","",F171*G171)</f>
        <v/>
      </c>
      <c r="I171" s="18">
        <f>IF(H171="","",SUM($H$2:H171))</f>
        <v/>
      </c>
      <c r="J171" s="10" t="n"/>
    </row>
    <row r="172">
      <c r="A172" s="17" t="n"/>
      <c r="B172" s="10" t="n"/>
      <c r="C172" s="10" t="n"/>
      <c r="D172" s="10" t="n"/>
      <c r="E172" s="10" t="n"/>
      <c r="F172" s="10" t="n"/>
      <c r="G172" s="11">
        <f>IF(E172="","",INDEX(Rates!$B$2:$B$5,MATCH(E172,Rates!$A$2:$A$5,0)))</f>
        <v/>
      </c>
      <c r="H172" s="18">
        <f>IF(F172="","",F172*G172)</f>
        <v/>
      </c>
      <c r="I172" s="18">
        <f>IF(H172="","",SUM($H$2:H172))</f>
        <v/>
      </c>
      <c r="J172" s="10" t="n"/>
    </row>
    <row r="173">
      <c r="A173" s="17" t="n"/>
      <c r="B173" s="10" t="n"/>
      <c r="C173" s="10" t="n"/>
      <c r="D173" s="10" t="n"/>
      <c r="E173" s="10" t="n"/>
      <c r="F173" s="10" t="n"/>
      <c r="G173" s="11">
        <f>IF(E173="","",INDEX(Rates!$B$2:$B$5,MATCH(E173,Rates!$A$2:$A$5,0)))</f>
        <v/>
      </c>
      <c r="H173" s="18">
        <f>IF(F173="","",F173*G173)</f>
        <v/>
      </c>
      <c r="I173" s="18">
        <f>IF(H173="","",SUM($H$2:H173))</f>
        <v/>
      </c>
      <c r="J173" s="10" t="n"/>
    </row>
    <row r="174">
      <c r="A174" s="17" t="n"/>
      <c r="B174" s="10" t="n"/>
      <c r="C174" s="10" t="n"/>
      <c r="D174" s="10" t="n"/>
      <c r="E174" s="10" t="n"/>
      <c r="F174" s="10" t="n"/>
      <c r="G174" s="11">
        <f>IF(E174="","",INDEX(Rates!$B$2:$B$5,MATCH(E174,Rates!$A$2:$A$5,0)))</f>
        <v/>
      </c>
      <c r="H174" s="18">
        <f>IF(F174="","",F174*G174)</f>
        <v/>
      </c>
      <c r="I174" s="18">
        <f>IF(H174="","",SUM($H$2:H174))</f>
        <v/>
      </c>
      <c r="J174" s="10" t="n"/>
    </row>
    <row r="175">
      <c r="A175" s="17" t="n"/>
      <c r="B175" s="10" t="n"/>
      <c r="C175" s="10" t="n"/>
      <c r="D175" s="10" t="n"/>
      <c r="E175" s="10" t="n"/>
      <c r="F175" s="10" t="n"/>
      <c r="G175" s="11">
        <f>IF(E175="","",INDEX(Rates!$B$2:$B$5,MATCH(E175,Rates!$A$2:$A$5,0)))</f>
        <v/>
      </c>
      <c r="H175" s="18">
        <f>IF(F175="","",F175*G175)</f>
        <v/>
      </c>
      <c r="I175" s="18">
        <f>IF(H175="","",SUM($H$2:H175))</f>
        <v/>
      </c>
      <c r="J175" s="10" t="n"/>
    </row>
    <row r="176">
      <c r="A176" s="17" t="n"/>
      <c r="B176" s="10" t="n"/>
      <c r="C176" s="10" t="n"/>
      <c r="D176" s="10" t="n"/>
      <c r="E176" s="10" t="n"/>
      <c r="F176" s="10" t="n"/>
      <c r="G176" s="11">
        <f>IF(E176="","",INDEX(Rates!$B$2:$B$5,MATCH(E176,Rates!$A$2:$A$5,0)))</f>
        <v/>
      </c>
      <c r="H176" s="18">
        <f>IF(F176="","",F176*G176)</f>
        <v/>
      </c>
      <c r="I176" s="18">
        <f>IF(H176="","",SUM($H$2:H176))</f>
        <v/>
      </c>
      <c r="J176" s="10" t="n"/>
    </row>
    <row r="177">
      <c r="A177" s="17" t="n"/>
      <c r="B177" s="10" t="n"/>
      <c r="C177" s="10" t="n"/>
      <c r="D177" s="10" t="n"/>
      <c r="E177" s="10" t="n"/>
      <c r="F177" s="10" t="n"/>
      <c r="G177" s="11">
        <f>IF(E177="","",INDEX(Rates!$B$2:$B$5,MATCH(E177,Rates!$A$2:$A$5,0)))</f>
        <v/>
      </c>
      <c r="H177" s="18">
        <f>IF(F177="","",F177*G177)</f>
        <v/>
      </c>
      <c r="I177" s="18">
        <f>IF(H177="","",SUM($H$2:H177))</f>
        <v/>
      </c>
      <c r="J177" s="10" t="n"/>
    </row>
    <row r="178">
      <c r="A178" s="17" t="n"/>
      <c r="B178" s="10" t="n"/>
      <c r="C178" s="10" t="n"/>
      <c r="D178" s="10" t="n"/>
      <c r="E178" s="10" t="n"/>
      <c r="F178" s="10" t="n"/>
      <c r="G178" s="11">
        <f>IF(E178="","",INDEX(Rates!$B$2:$B$5,MATCH(E178,Rates!$A$2:$A$5,0)))</f>
        <v/>
      </c>
      <c r="H178" s="18">
        <f>IF(F178="","",F178*G178)</f>
        <v/>
      </c>
      <c r="I178" s="18">
        <f>IF(H178="","",SUM($H$2:H178))</f>
        <v/>
      </c>
      <c r="J178" s="10" t="n"/>
    </row>
    <row r="179">
      <c r="A179" s="17" t="n"/>
      <c r="B179" s="10" t="n"/>
      <c r="C179" s="10" t="n"/>
      <c r="D179" s="10" t="n"/>
      <c r="E179" s="10" t="n"/>
      <c r="F179" s="10" t="n"/>
      <c r="G179" s="11">
        <f>IF(E179="","",INDEX(Rates!$B$2:$B$5,MATCH(E179,Rates!$A$2:$A$5,0)))</f>
        <v/>
      </c>
      <c r="H179" s="18">
        <f>IF(F179="","",F179*G179)</f>
        <v/>
      </c>
      <c r="I179" s="18">
        <f>IF(H179="","",SUM($H$2:H179))</f>
        <v/>
      </c>
      <c r="J179" s="10" t="n"/>
    </row>
    <row r="180">
      <c r="A180" s="17" t="n"/>
      <c r="B180" s="10" t="n"/>
      <c r="C180" s="10" t="n"/>
      <c r="D180" s="10" t="n"/>
      <c r="E180" s="10" t="n"/>
      <c r="F180" s="10" t="n"/>
      <c r="G180" s="11">
        <f>IF(E180="","",INDEX(Rates!$B$2:$B$5,MATCH(E180,Rates!$A$2:$A$5,0)))</f>
        <v/>
      </c>
      <c r="H180" s="18">
        <f>IF(F180="","",F180*G180)</f>
        <v/>
      </c>
      <c r="I180" s="18">
        <f>IF(H180="","",SUM($H$2:H180))</f>
        <v/>
      </c>
      <c r="J180" s="10" t="n"/>
    </row>
    <row r="181">
      <c r="A181" s="17" t="n"/>
      <c r="B181" s="10" t="n"/>
      <c r="C181" s="10" t="n"/>
      <c r="D181" s="10" t="n"/>
      <c r="E181" s="10" t="n"/>
      <c r="F181" s="10" t="n"/>
      <c r="G181" s="11">
        <f>IF(E181="","",INDEX(Rates!$B$2:$B$5,MATCH(E181,Rates!$A$2:$A$5,0)))</f>
        <v/>
      </c>
      <c r="H181" s="18">
        <f>IF(F181="","",F181*G181)</f>
        <v/>
      </c>
      <c r="I181" s="18">
        <f>IF(H181="","",SUM($H$2:H181))</f>
        <v/>
      </c>
      <c r="J181" s="10" t="n"/>
    </row>
    <row r="182">
      <c r="A182" s="17" t="n"/>
      <c r="B182" s="10" t="n"/>
      <c r="C182" s="10" t="n"/>
      <c r="D182" s="10" t="n"/>
      <c r="E182" s="10" t="n"/>
      <c r="F182" s="10" t="n"/>
      <c r="G182" s="11">
        <f>IF(E182="","",INDEX(Rates!$B$2:$B$5,MATCH(E182,Rates!$A$2:$A$5,0)))</f>
        <v/>
      </c>
      <c r="H182" s="18">
        <f>IF(F182="","",F182*G182)</f>
        <v/>
      </c>
      <c r="I182" s="18">
        <f>IF(H182="","",SUM($H$2:H182))</f>
        <v/>
      </c>
      <c r="J182" s="10" t="n"/>
    </row>
    <row r="183">
      <c r="A183" s="17" t="n"/>
      <c r="B183" s="10" t="n"/>
      <c r="C183" s="10" t="n"/>
      <c r="D183" s="10" t="n"/>
      <c r="E183" s="10" t="n"/>
      <c r="F183" s="10" t="n"/>
      <c r="G183" s="11">
        <f>IF(E183="","",INDEX(Rates!$B$2:$B$5,MATCH(E183,Rates!$A$2:$A$5,0)))</f>
        <v/>
      </c>
      <c r="H183" s="18">
        <f>IF(F183="","",F183*G183)</f>
        <v/>
      </c>
      <c r="I183" s="18">
        <f>IF(H183="","",SUM($H$2:H183))</f>
        <v/>
      </c>
      <c r="J183" s="10" t="n"/>
    </row>
    <row r="184">
      <c r="A184" s="17" t="n"/>
      <c r="B184" s="10" t="n"/>
      <c r="C184" s="10" t="n"/>
      <c r="D184" s="10" t="n"/>
      <c r="E184" s="10" t="n"/>
      <c r="F184" s="10" t="n"/>
      <c r="G184" s="11">
        <f>IF(E184="","",INDEX(Rates!$B$2:$B$5,MATCH(E184,Rates!$A$2:$A$5,0)))</f>
        <v/>
      </c>
      <c r="H184" s="18">
        <f>IF(F184="","",F184*G184)</f>
        <v/>
      </c>
      <c r="I184" s="18">
        <f>IF(H184="","",SUM($H$2:H184))</f>
        <v/>
      </c>
      <c r="J184" s="10" t="n"/>
    </row>
    <row r="185">
      <c r="A185" s="17" t="n"/>
      <c r="B185" s="10" t="n"/>
      <c r="C185" s="10" t="n"/>
      <c r="D185" s="10" t="n"/>
      <c r="E185" s="10" t="n"/>
      <c r="F185" s="10" t="n"/>
      <c r="G185" s="11">
        <f>IF(E185="","",INDEX(Rates!$B$2:$B$5,MATCH(E185,Rates!$A$2:$A$5,0)))</f>
        <v/>
      </c>
      <c r="H185" s="18">
        <f>IF(F185="","",F185*G185)</f>
        <v/>
      </c>
      <c r="I185" s="18">
        <f>IF(H185="","",SUM($H$2:H185))</f>
        <v/>
      </c>
      <c r="J185" s="10" t="n"/>
    </row>
    <row r="186">
      <c r="A186" s="17" t="n"/>
      <c r="B186" s="10" t="n"/>
      <c r="C186" s="10" t="n"/>
      <c r="D186" s="10" t="n"/>
      <c r="E186" s="10" t="n"/>
      <c r="F186" s="10" t="n"/>
      <c r="G186" s="11">
        <f>IF(E186="","",INDEX(Rates!$B$2:$B$5,MATCH(E186,Rates!$A$2:$A$5,0)))</f>
        <v/>
      </c>
      <c r="H186" s="18">
        <f>IF(F186="","",F186*G186)</f>
        <v/>
      </c>
      <c r="I186" s="18">
        <f>IF(H186="","",SUM($H$2:H186))</f>
        <v/>
      </c>
      <c r="J186" s="10" t="n"/>
    </row>
    <row r="187">
      <c r="A187" s="17" t="n"/>
      <c r="B187" s="10" t="n"/>
      <c r="C187" s="10" t="n"/>
      <c r="D187" s="10" t="n"/>
      <c r="E187" s="10" t="n"/>
      <c r="F187" s="10" t="n"/>
      <c r="G187" s="11">
        <f>IF(E187="","",INDEX(Rates!$B$2:$B$5,MATCH(E187,Rates!$A$2:$A$5,0)))</f>
        <v/>
      </c>
      <c r="H187" s="18">
        <f>IF(F187="","",F187*G187)</f>
        <v/>
      </c>
      <c r="I187" s="18">
        <f>IF(H187="","",SUM($H$2:H187))</f>
        <v/>
      </c>
      <c r="J187" s="10" t="n"/>
    </row>
    <row r="188">
      <c r="A188" s="17" t="n"/>
      <c r="B188" s="10" t="n"/>
      <c r="C188" s="10" t="n"/>
      <c r="D188" s="10" t="n"/>
      <c r="E188" s="10" t="n"/>
      <c r="F188" s="10" t="n"/>
      <c r="G188" s="11">
        <f>IF(E188="","",INDEX(Rates!$B$2:$B$5,MATCH(E188,Rates!$A$2:$A$5,0)))</f>
        <v/>
      </c>
      <c r="H188" s="18">
        <f>IF(F188="","",F188*G188)</f>
        <v/>
      </c>
      <c r="I188" s="18">
        <f>IF(H188="","",SUM($H$2:H188))</f>
        <v/>
      </c>
      <c r="J188" s="10" t="n"/>
    </row>
    <row r="189">
      <c r="A189" s="17" t="n"/>
      <c r="B189" s="10" t="n"/>
      <c r="C189" s="10" t="n"/>
      <c r="D189" s="10" t="n"/>
      <c r="E189" s="10" t="n"/>
      <c r="F189" s="10" t="n"/>
      <c r="G189" s="11">
        <f>IF(E189="","",INDEX(Rates!$B$2:$B$5,MATCH(E189,Rates!$A$2:$A$5,0)))</f>
        <v/>
      </c>
      <c r="H189" s="18">
        <f>IF(F189="","",F189*G189)</f>
        <v/>
      </c>
      <c r="I189" s="18">
        <f>IF(H189="","",SUM($H$2:H189))</f>
        <v/>
      </c>
      <c r="J189" s="10" t="n"/>
    </row>
    <row r="190">
      <c r="A190" s="17" t="n"/>
      <c r="B190" s="10" t="n"/>
      <c r="C190" s="10" t="n"/>
      <c r="D190" s="10" t="n"/>
      <c r="E190" s="10" t="n"/>
      <c r="F190" s="10" t="n"/>
      <c r="G190" s="11">
        <f>IF(E190="","",INDEX(Rates!$B$2:$B$5,MATCH(E190,Rates!$A$2:$A$5,0)))</f>
        <v/>
      </c>
      <c r="H190" s="18">
        <f>IF(F190="","",F190*G190)</f>
        <v/>
      </c>
      <c r="I190" s="18">
        <f>IF(H190="","",SUM($H$2:H190))</f>
        <v/>
      </c>
      <c r="J190" s="10" t="n"/>
    </row>
    <row r="191">
      <c r="A191" s="17" t="n"/>
      <c r="B191" s="10" t="n"/>
      <c r="C191" s="10" t="n"/>
      <c r="D191" s="10" t="n"/>
      <c r="E191" s="10" t="n"/>
      <c r="F191" s="10" t="n"/>
      <c r="G191" s="11">
        <f>IF(E191="","",INDEX(Rates!$B$2:$B$5,MATCH(E191,Rates!$A$2:$A$5,0)))</f>
        <v/>
      </c>
      <c r="H191" s="18">
        <f>IF(F191="","",F191*G191)</f>
        <v/>
      </c>
      <c r="I191" s="18">
        <f>IF(H191="","",SUM($H$2:H191))</f>
        <v/>
      </c>
      <c r="J191" s="10" t="n"/>
    </row>
    <row r="192">
      <c r="A192" s="17" t="n"/>
      <c r="B192" s="10" t="n"/>
      <c r="C192" s="10" t="n"/>
      <c r="D192" s="10" t="n"/>
      <c r="E192" s="10" t="n"/>
      <c r="F192" s="10" t="n"/>
      <c r="G192" s="11">
        <f>IF(E192="","",INDEX(Rates!$B$2:$B$5,MATCH(E192,Rates!$A$2:$A$5,0)))</f>
        <v/>
      </c>
      <c r="H192" s="18">
        <f>IF(F192="","",F192*G192)</f>
        <v/>
      </c>
      <c r="I192" s="18">
        <f>IF(H192="","",SUM($H$2:H192))</f>
        <v/>
      </c>
      <c r="J192" s="10" t="n"/>
    </row>
    <row r="193">
      <c r="A193" s="17" t="n"/>
      <c r="B193" s="10" t="n"/>
      <c r="C193" s="10" t="n"/>
      <c r="D193" s="10" t="n"/>
      <c r="E193" s="10" t="n"/>
      <c r="F193" s="10" t="n"/>
      <c r="G193" s="11">
        <f>IF(E193="","",INDEX(Rates!$B$2:$B$5,MATCH(E193,Rates!$A$2:$A$5,0)))</f>
        <v/>
      </c>
      <c r="H193" s="18">
        <f>IF(F193="","",F193*G193)</f>
        <v/>
      </c>
      <c r="I193" s="18">
        <f>IF(H193="","",SUM($H$2:H193))</f>
        <v/>
      </c>
      <c r="J193" s="10" t="n"/>
    </row>
    <row r="194">
      <c r="A194" s="17" t="n"/>
      <c r="B194" s="10" t="n"/>
      <c r="C194" s="10" t="n"/>
      <c r="D194" s="10" t="n"/>
      <c r="E194" s="10" t="n"/>
      <c r="F194" s="10" t="n"/>
      <c r="G194" s="11">
        <f>IF(E194="","",INDEX(Rates!$B$2:$B$5,MATCH(E194,Rates!$A$2:$A$5,0)))</f>
        <v/>
      </c>
      <c r="H194" s="18">
        <f>IF(F194="","",F194*G194)</f>
        <v/>
      </c>
      <c r="I194" s="18">
        <f>IF(H194="","",SUM($H$2:H194))</f>
        <v/>
      </c>
      <c r="J194" s="10" t="n"/>
    </row>
    <row r="195">
      <c r="A195" s="17" t="n"/>
      <c r="B195" s="10" t="n"/>
      <c r="C195" s="10" t="n"/>
      <c r="D195" s="10" t="n"/>
      <c r="E195" s="10" t="n"/>
      <c r="F195" s="10" t="n"/>
      <c r="G195" s="11">
        <f>IF(E195="","",INDEX(Rates!$B$2:$B$5,MATCH(E195,Rates!$A$2:$A$5,0)))</f>
        <v/>
      </c>
      <c r="H195" s="18">
        <f>IF(F195="","",F195*G195)</f>
        <v/>
      </c>
      <c r="I195" s="18">
        <f>IF(H195="","",SUM($H$2:H195))</f>
        <v/>
      </c>
      <c r="J195" s="10" t="n"/>
    </row>
    <row r="196">
      <c r="A196" s="17" t="n"/>
      <c r="B196" s="10" t="n"/>
      <c r="C196" s="10" t="n"/>
      <c r="D196" s="10" t="n"/>
      <c r="E196" s="10" t="n"/>
      <c r="F196" s="10" t="n"/>
      <c r="G196" s="11">
        <f>IF(E196="","",INDEX(Rates!$B$2:$B$5,MATCH(E196,Rates!$A$2:$A$5,0)))</f>
        <v/>
      </c>
      <c r="H196" s="18">
        <f>IF(F196="","",F196*G196)</f>
        <v/>
      </c>
      <c r="I196" s="18">
        <f>IF(H196="","",SUM($H$2:H196))</f>
        <v/>
      </c>
      <c r="J196" s="10" t="n"/>
    </row>
    <row r="197">
      <c r="A197" s="17" t="n"/>
      <c r="B197" s="10" t="n"/>
      <c r="C197" s="10" t="n"/>
      <c r="D197" s="10" t="n"/>
      <c r="E197" s="10" t="n"/>
      <c r="F197" s="10" t="n"/>
      <c r="G197" s="11">
        <f>IF(E197="","",INDEX(Rates!$B$2:$B$5,MATCH(E197,Rates!$A$2:$A$5,0)))</f>
        <v/>
      </c>
      <c r="H197" s="18">
        <f>IF(F197="","",F197*G197)</f>
        <v/>
      </c>
      <c r="I197" s="18">
        <f>IF(H197="","",SUM($H$2:H197))</f>
        <v/>
      </c>
      <c r="J197" s="10" t="n"/>
    </row>
    <row r="198">
      <c r="A198" s="17" t="n"/>
      <c r="B198" s="10" t="n"/>
      <c r="C198" s="10" t="n"/>
      <c r="D198" s="10" t="n"/>
      <c r="E198" s="10" t="n"/>
      <c r="F198" s="10" t="n"/>
      <c r="G198" s="11">
        <f>IF(E198="","",INDEX(Rates!$B$2:$B$5,MATCH(E198,Rates!$A$2:$A$5,0)))</f>
        <v/>
      </c>
      <c r="H198" s="18">
        <f>IF(F198="","",F198*G198)</f>
        <v/>
      </c>
      <c r="I198" s="18">
        <f>IF(H198="","",SUM($H$2:H198))</f>
        <v/>
      </c>
      <c r="J198" s="10" t="n"/>
    </row>
    <row r="199">
      <c r="A199" s="17" t="n"/>
      <c r="B199" s="10" t="n"/>
      <c r="C199" s="10" t="n"/>
      <c r="D199" s="10" t="n"/>
      <c r="E199" s="10" t="n"/>
      <c r="F199" s="10" t="n"/>
      <c r="G199" s="11">
        <f>IF(E199="","",INDEX(Rates!$B$2:$B$5,MATCH(E199,Rates!$A$2:$A$5,0)))</f>
        <v/>
      </c>
      <c r="H199" s="18">
        <f>IF(F199="","",F199*G199)</f>
        <v/>
      </c>
      <c r="I199" s="18">
        <f>IF(H199="","",SUM($H$2:H199))</f>
        <v/>
      </c>
      <c r="J199" s="10" t="n"/>
    </row>
    <row r="200">
      <c r="A200" s="17" t="n"/>
      <c r="B200" s="10" t="n"/>
      <c r="C200" s="10" t="n"/>
      <c r="D200" s="10" t="n"/>
      <c r="E200" s="10" t="n"/>
      <c r="F200" s="10" t="n"/>
      <c r="G200" s="11">
        <f>IF(E200="","",INDEX(Rates!$B$2:$B$5,MATCH(E200,Rates!$A$2:$A$5,0)))</f>
        <v/>
      </c>
      <c r="H200" s="18">
        <f>IF(F200="","",F200*G200)</f>
        <v/>
      </c>
      <c r="I200" s="18">
        <f>IF(H200="","",SUM($H$2:H200))</f>
        <v/>
      </c>
      <c r="J200" s="10" t="n"/>
    </row>
    <row r="201">
      <c r="A201" s="17" t="n"/>
      <c r="B201" s="10" t="n"/>
      <c r="C201" s="10" t="n"/>
      <c r="D201" s="10" t="n"/>
      <c r="E201" s="10" t="n"/>
      <c r="F201" s="10" t="n"/>
      <c r="G201" s="11">
        <f>IF(E201="","",INDEX(Rates!$B$2:$B$5,MATCH(E201,Rates!$A$2:$A$5,0)))</f>
        <v/>
      </c>
      <c r="H201" s="18">
        <f>IF(F201="","",F201*G201)</f>
        <v/>
      </c>
      <c r="I201" s="18">
        <f>IF(H201="","",SUM($H$2:H201))</f>
        <v/>
      </c>
      <c r="J201" s="10" t="n"/>
    </row>
    <row r="202">
      <c r="A202" s="17" t="n"/>
      <c r="B202" s="10" t="n"/>
      <c r="C202" s="10" t="n"/>
      <c r="D202" s="10" t="n"/>
      <c r="E202" s="10" t="n"/>
      <c r="F202" s="10" t="n"/>
      <c r="G202" s="11">
        <f>IF(E202="","",INDEX(Rates!$B$2:$B$5,MATCH(E202,Rates!$A$2:$A$5,0)))</f>
        <v/>
      </c>
      <c r="H202" s="18">
        <f>IF(F202="","",F202*G202)</f>
        <v/>
      </c>
      <c r="I202" s="18">
        <f>IF(H202="","",SUM($H$2:H202))</f>
        <v/>
      </c>
      <c r="J202" s="10" t="n"/>
    </row>
    <row r="203">
      <c r="A203" s="17" t="n"/>
      <c r="B203" s="10" t="n"/>
      <c r="C203" s="10" t="n"/>
      <c r="D203" s="10" t="n"/>
      <c r="E203" s="10" t="n"/>
      <c r="F203" s="10" t="n"/>
      <c r="G203" s="11">
        <f>IF(E203="","",INDEX(Rates!$B$2:$B$5,MATCH(E203,Rates!$A$2:$A$5,0)))</f>
        <v/>
      </c>
      <c r="H203" s="18">
        <f>IF(F203="","",F203*G203)</f>
        <v/>
      </c>
      <c r="I203" s="18">
        <f>IF(H203="","",SUM($H$2:H203))</f>
        <v/>
      </c>
      <c r="J203" s="10" t="n"/>
    </row>
    <row r="204">
      <c r="A204" s="17" t="n"/>
      <c r="B204" s="10" t="n"/>
      <c r="C204" s="10" t="n"/>
      <c r="D204" s="10" t="n"/>
      <c r="E204" s="10" t="n"/>
      <c r="F204" s="10" t="n"/>
      <c r="G204" s="11">
        <f>IF(E204="","",INDEX(Rates!$B$2:$B$5,MATCH(E204,Rates!$A$2:$A$5,0)))</f>
        <v/>
      </c>
      <c r="H204" s="18">
        <f>IF(F204="","",F204*G204)</f>
        <v/>
      </c>
      <c r="I204" s="18">
        <f>IF(H204="","",SUM($H$2:H204))</f>
        <v/>
      </c>
      <c r="J204" s="10" t="n"/>
    </row>
    <row r="205">
      <c r="A205" s="17" t="n"/>
      <c r="B205" s="10" t="n"/>
      <c r="C205" s="10" t="n"/>
      <c r="D205" s="10" t="n"/>
      <c r="E205" s="10" t="n"/>
      <c r="F205" s="10" t="n"/>
      <c r="G205" s="11">
        <f>IF(E205="","",INDEX(Rates!$B$2:$B$5,MATCH(E205,Rates!$A$2:$A$5,0)))</f>
        <v/>
      </c>
      <c r="H205" s="18">
        <f>IF(F205="","",F205*G205)</f>
        <v/>
      </c>
      <c r="I205" s="18">
        <f>IF(H205="","",SUM($H$2:H205))</f>
        <v/>
      </c>
      <c r="J205" s="10" t="n"/>
    </row>
    <row r="206">
      <c r="A206" s="17" t="n"/>
      <c r="B206" s="10" t="n"/>
      <c r="C206" s="10" t="n"/>
      <c r="D206" s="10" t="n"/>
      <c r="E206" s="10" t="n"/>
      <c r="F206" s="10" t="n"/>
      <c r="G206" s="11">
        <f>IF(E206="","",INDEX(Rates!$B$2:$B$5,MATCH(E206,Rates!$A$2:$A$5,0)))</f>
        <v/>
      </c>
      <c r="H206" s="18">
        <f>IF(F206="","",F206*G206)</f>
        <v/>
      </c>
      <c r="I206" s="18">
        <f>IF(H206="","",SUM($H$2:H206))</f>
        <v/>
      </c>
      <c r="J206" s="10" t="n"/>
    </row>
    <row r="207">
      <c r="A207" s="17" t="n"/>
      <c r="B207" s="10" t="n"/>
      <c r="C207" s="10" t="n"/>
      <c r="D207" s="10" t="n"/>
      <c r="E207" s="10" t="n"/>
      <c r="F207" s="10" t="n"/>
      <c r="G207" s="11">
        <f>IF(E207="","",INDEX(Rates!$B$2:$B$5,MATCH(E207,Rates!$A$2:$A$5,0)))</f>
        <v/>
      </c>
      <c r="H207" s="18">
        <f>IF(F207="","",F207*G207)</f>
        <v/>
      </c>
      <c r="I207" s="18">
        <f>IF(H207="","",SUM($H$2:H207))</f>
        <v/>
      </c>
      <c r="J207" s="10" t="n"/>
    </row>
    <row r="208">
      <c r="A208" s="17" t="n"/>
      <c r="B208" s="10" t="n"/>
      <c r="C208" s="10" t="n"/>
      <c r="D208" s="10" t="n"/>
      <c r="E208" s="10" t="n"/>
      <c r="F208" s="10" t="n"/>
      <c r="G208" s="11">
        <f>IF(E208="","",INDEX(Rates!$B$2:$B$5,MATCH(E208,Rates!$A$2:$A$5,0)))</f>
        <v/>
      </c>
      <c r="H208" s="18">
        <f>IF(F208="","",F208*G208)</f>
        <v/>
      </c>
      <c r="I208" s="18">
        <f>IF(H208="","",SUM($H$2:H208))</f>
        <v/>
      </c>
      <c r="J208" s="10" t="n"/>
    </row>
    <row r="209">
      <c r="A209" s="17" t="n"/>
      <c r="B209" s="10" t="n"/>
      <c r="C209" s="10" t="n"/>
      <c r="D209" s="10" t="n"/>
      <c r="E209" s="10" t="n"/>
      <c r="F209" s="10" t="n"/>
      <c r="G209" s="11">
        <f>IF(E209="","",INDEX(Rates!$B$2:$B$5,MATCH(E209,Rates!$A$2:$A$5,0)))</f>
        <v/>
      </c>
      <c r="H209" s="18">
        <f>IF(F209="","",F209*G209)</f>
        <v/>
      </c>
      <c r="I209" s="18">
        <f>IF(H209="","",SUM($H$2:H209))</f>
        <v/>
      </c>
      <c r="J209" s="10" t="n"/>
    </row>
    <row r="210">
      <c r="A210" s="17" t="n"/>
      <c r="B210" s="10" t="n"/>
      <c r="C210" s="10" t="n"/>
      <c r="D210" s="10" t="n"/>
      <c r="E210" s="10" t="n"/>
      <c r="F210" s="10" t="n"/>
      <c r="G210" s="11">
        <f>IF(E210="","",INDEX(Rates!$B$2:$B$5,MATCH(E210,Rates!$A$2:$A$5,0)))</f>
        <v/>
      </c>
      <c r="H210" s="18">
        <f>IF(F210="","",F210*G210)</f>
        <v/>
      </c>
      <c r="I210" s="18">
        <f>IF(H210="","",SUM($H$2:H210))</f>
        <v/>
      </c>
      <c r="J210" s="10" t="n"/>
    </row>
    <row r="211">
      <c r="A211" s="17" t="n"/>
      <c r="B211" s="10" t="n"/>
      <c r="C211" s="10" t="n"/>
      <c r="D211" s="10" t="n"/>
      <c r="E211" s="10" t="n"/>
      <c r="F211" s="10" t="n"/>
      <c r="G211" s="11">
        <f>IF(E211="","",INDEX(Rates!$B$2:$B$5,MATCH(E211,Rates!$A$2:$A$5,0)))</f>
        <v/>
      </c>
      <c r="H211" s="18">
        <f>IF(F211="","",F211*G211)</f>
        <v/>
      </c>
      <c r="I211" s="18">
        <f>IF(H211="","",SUM($H$2:H211))</f>
        <v/>
      </c>
      <c r="J211" s="10" t="n"/>
    </row>
    <row r="212">
      <c r="A212" s="17" t="n"/>
      <c r="B212" s="10" t="n"/>
      <c r="C212" s="10" t="n"/>
      <c r="D212" s="10" t="n"/>
      <c r="E212" s="10" t="n"/>
      <c r="F212" s="10" t="n"/>
      <c r="G212" s="11">
        <f>IF(E212="","",INDEX(Rates!$B$2:$B$5,MATCH(E212,Rates!$A$2:$A$5,0)))</f>
        <v/>
      </c>
      <c r="H212" s="18">
        <f>IF(F212="","",F212*G212)</f>
        <v/>
      </c>
      <c r="I212" s="18">
        <f>IF(H212="","",SUM($H$2:H212))</f>
        <v/>
      </c>
      <c r="J212" s="10" t="n"/>
    </row>
    <row r="213">
      <c r="A213" s="17" t="n"/>
      <c r="B213" s="10" t="n"/>
      <c r="C213" s="10" t="n"/>
      <c r="D213" s="10" t="n"/>
      <c r="E213" s="10" t="n"/>
      <c r="F213" s="10" t="n"/>
      <c r="G213" s="11">
        <f>IF(E213="","",INDEX(Rates!$B$2:$B$5,MATCH(E213,Rates!$A$2:$A$5,0)))</f>
        <v/>
      </c>
      <c r="H213" s="18">
        <f>IF(F213="","",F213*G213)</f>
        <v/>
      </c>
      <c r="I213" s="18">
        <f>IF(H213="","",SUM($H$2:H213))</f>
        <v/>
      </c>
      <c r="J213" s="10" t="n"/>
    </row>
    <row r="214">
      <c r="A214" s="17" t="n"/>
      <c r="B214" s="10" t="n"/>
      <c r="C214" s="10" t="n"/>
      <c r="D214" s="10" t="n"/>
      <c r="E214" s="10" t="n"/>
      <c r="F214" s="10" t="n"/>
      <c r="G214" s="11">
        <f>IF(E214="","",INDEX(Rates!$B$2:$B$5,MATCH(E214,Rates!$A$2:$A$5,0)))</f>
        <v/>
      </c>
      <c r="H214" s="18">
        <f>IF(F214="","",F214*G214)</f>
        <v/>
      </c>
      <c r="I214" s="18">
        <f>IF(H214="","",SUM($H$2:H214))</f>
        <v/>
      </c>
      <c r="J214" s="10" t="n"/>
    </row>
    <row r="215">
      <c r="A215" s="17" t="n"/>
      <c r="B215" s="10" t="n"/>
      <c r="C215" s="10" t="n"/>
      <c r="D215" s="10" t="n"/>
      <c r="E215" s="10" t="n"/>
      <c r="F215" s="10" t="n"/>
      <c r="G215" s="11">
        <f>IF(E215="","",INDEX(Rates!$B$2:$B$5,MATCH(E215,Rates!$A$2:$A$5,0)))</f>
        <v/>
      </c>
      <c r="H215" s="18">
        <f>IF(F215="","",F215*G215)</f>
        <v/>
      </c>
      <c r="I215" s="18">
        <f>IF(H215="","",SUM($H$2:H215))</f>
        <v/>
      </c>
      <c r="J215" s="10" t="n"/>
    </row>
    <row r="216">
      <c r="A216" s="17" t="n"/>
      <c r="B216" s="10" t="n"/>
      <c r="C216" s="10" t="n"/>
      <c r="D216" s="10" t="n"/>
      <c r="E216" s="10" t="n"/>
      <c r="F216" s="10" t="n"/>
      <c r="G216" s="11">
        <f>IF(E216="","",INDEX(Rates!$B$2:$B$5,MATCH(E216,Rates!$A$2:$A$5,0)))</f>
        <v/>
      </c>
      <c r="H216" s="18">
        <f>IF(F216="","",F216*G216)</f>
        <v/>
      </c>
      <c r="I216" s="18">
        <f>IF(H216="","",SUM($H$2:H216))</f>
        <v/>
      </c>
      <c r="J216" s="10" t="n"/>
    </row>
    <row r="217">
      <c r="A217" s="17" t="n"/>
      <c r="B217" s="10" t="n"/>
      <c r="C217" s="10" t="n"/>
      <c r="D217" s="10" t="n"/>
      <c r="E217" s="10" t="n"/>
      <c r="F217" s="10" t="n"/>
      <c r="G217" s="11">
        <f>IF(E217="","",INDEX(Rates!$B$2:$B$5,MATCH(E217,Rates!$A$2:$A$5,0)))</f>
        <v/>
      </c>
      <c r="H217" s="18">
        <f>IF(F217="","",F217*G217)</f>
        <v/>
      </c>
      <c r="I217" s="18">
        <f>IF(H217="","",SUM($H$2:H217))</f>
        <v/>
      </c>
      <c r="J217" s="10" t="n"/>
    </row>
    <row r="218">
      <c r="A218" s="17" t="n"/>
      <c r="B218" s="10" t="n"/>
      <c r="C218" s="10" t="n"/>
      <c r="D218" s="10" t="n"/>
      <c r="E218" s="10" t="n"/>
      <c r="F218" s="10" t="n"/>
      <c r="G218" s="11">
        <f>IF(E218="","",INDEX(Rates!$B$2:$B$5,MATCH(E218,Rates!$A$2:$A$5,0)))</f>
        <v/>
      </c>
      <c r="H218" s="18">
        <f>IF(F218="","",F218*G218)</f>
        <v/>
      </c>
      <c r="I218" s="18">
        <f>IF(H218="","",SUM($H$2:H218))</f>
        <v/>
      </c>
      <c r="J218" s="10" t="n"/>
    </row>
    <row r="219">
      <c r="A219" s="17" t="n"/>
      <c r="B219" s="10" t="n"/>
      <c r="C219" s="10" t="n"/>
      <c r="D219" s="10" t="n"/>
      <c r="E219" s="10" t="n"/>
      <c r="F219" s="10" t="n"/>
      <c r="G219" s="11">
        <f>IF(E219="","",INDEX(Rates!$B$2:$B$5,MATCH(E219,Rates!$A$2:$A$5,0)))</f>
        <v/>
      </c>
      <c r="H219" s="18">
        <f>IF(F219="","",F219*G219)</f>
        <v/>
      </c>
      <c r="I219" s="18">
        <f>IF(H219="","",SUM($H$2:H219))</f>
        <v/>
      </c>
      <c r="J219" s="10" t="n"/>
    </row>
    <row r="220">
      <c r="A220" s="17" t="n"/>
      <c r="B220" s="10" t="n"/>
      <c r="C220" s="10" t="n"/>
      <c r="D220" s="10" t="n"/>
      <c r="E220" s="10" t="n"/>
      <c r="F220" s="10" t="n"/>
      <c r="G220" s="11">
        <f>IF(E220="","",INDEX(Rates!$B$2:$B$5,MATCH(E220,Rates!$A$2:$A$5,0)))</f>
        <v/>
      </c>
      <c r="H220" s="18">
        <f>IF(F220="","",F220*G220)</f>
        <v/>
      </c>
      <c r="I220" s="18">
        <f>IF(H220="","",SUM($H$2:H220))</f>
        <v/>
      </c>
      <c r="J220" s="10" t="n"/>
    </row>
    <row r="221">
      <c r="A221" s="17" t="n"/>
      <c r="B221" s="10" t="n"/>
      <c r="C221" s="10" t="n"/>
      <c r="D221" s="10" t="n"/>
      <c r="E221" s="10" t="n"/>
      <c r="F221" s="10" t="n"/>
      <c r="G221" s="11">
        <f>IF(E221="","",INDEX(Rates!$B$2:$B$5,MATCH(E221,Rates!$A$2:$A$5,0)))</f>
        <v/>
      </c>
      <c r="H221" s="18">
        <f>IF(F221="","",F221*G221)</f>
        <v/>
      </c>
      <c r="I221" s="18">
        <f>IF(H221="","",SUM($H$2:H221))</f>
        <v/>
      </c>
      <c r="J221" s="10" t="n"/>
    </row>
    <row r="222">
      <c r="A222" s="17" t="n"/>
      <c r="B222" s="10" t="n"/>
      <c r="C222" s="10" t="n"/>
      <c r="D222" s="10" t="n"/>
      <c r="E222" s="10" t="n"/>
      <c r="F222" s="10" t="n"/>
      <c r="G222" s="11">
        <f>IF(E222="","",INDEX(Rates!$B$2:$B$5,MATCH(E222,Rates!$A$2:$A$5,0)))</f>
        <v/>
      </c>
      <c r="H222" s="18">
        <f>IF(F222="","",F222*G222)</f>
        <v/>
      </c>
      <c r="I222" s="18">
        <f>IF(H222="","",SUM($H$2:H222))</f>
        <v/>
      </c>
      <c r="J222" s="10" t="n"/>
    </row>
    <row r="223">
      <c r="A223" s="17" t="n"/>
      <c r="B223" s="10" t="n"/>
      <c r="C223" s="10" t="n"/>
      <c r="D223" s="10" t="n"/>
      <c r="E223" s="10" t="n"/>
      <c r="F223" s="10" t="n"/>
      <c r="G223" s="11">
        <f>IF(E223="","",INDEX(Rates!$B$2:$B$5,MATCH(E223,Rates!$A$2:$A$5,0)))</f>
        <v/>
      </c>
      <c r="H223" s="18">
        <f>IF(F223="","",F223*G223)</f>
        <v/>
      </c>
      <c r="I223" s="18">
        <f>IF(H223="","",SUM($H$2:H223))</f>
        <v/>
      </c>
      <c r="J223" s="10" t="n"/>
    </row>
    <row r="224">
      <c r="A224" s="17" t="n"/>
      <c r="B224" s="10" t="n"/>
      <c r="C224" s="10" t="n"/>
      <c r="D224" s="10" t="n"/>
      <c r="E224" s="10" t="n"/>
      <c r="F224" s="10" t="n"/>
      <c r="G224" s="11">
        <f>IF(E224="","",INDEX(Rates!$B$2:$B$5,MATCH(E224,Rates!$A$2:$A$5,0)))</f>
        <v/>
      </c>
      <c r="H224" s="18">
        <f>IF(F224="","",F224*G224)</f>
        <v/>
      </c>
      <c r="I224" s="18">
        <f>IF(H224="","",SUM($H$2:H224))</f>
        <v/>
      </c>
      <c r="J224" s="10" t="n"/>
    </row>
    <row r="225">
      <c r="A225" s="17" t="n"/>
      <c r="B225" s="10" t="n"/>
      <c r="C225" s="10" t="n"/>
      <c r="D225" s="10" t="n"/>
      <c r="E225" s="10" t="n"/>
      <c r="F225" s="10" t="n"/>
      <c r="G225" s="11">
        <f>IF(E225="","",INDEX(Rates!$B$2:$B$5,MATCH(E225,Rates!$A$2:$A$5,0)))</f>
        <v/>
      </c>
      <c r="H225" s="18">
        <f>IF(F225="","",F225*G225)</f>
        <v/>
      </c>
      <c r="I225" s="18">
        <f>IF(H225="","",SUM($H$2:H225))</f>
        <v/>
      </c>
      <c r="J225" s="10" t="n"/>
    </row>
    <row r="226">
      <c r="A226" s="17" t="n"/>
      <c r="B226" s="10" t="n"/>
      <c r="C226" s="10" t="n"/>
      <c r="D226" s="10" t="n"/>
      <c r="E226" s="10" t="n"/>
      <c r="F226" s="10" t="n"/>
      <c r="G226" s="11">
        <f>IF(E226="","",INDEX(Rates!$B$2:$B$5,MATCH(E226,Rates!$A$2:$A$5,0)))</f>
        <v/>
      </c>
      <c r="H226" s="18">
        <f>IF(F226="","",F226*G226)</f>
        <v/>
      </c>
      <c r="I226" s="18">
        <f>IF(H226="","",SUM($H$2:H226))</f>
        <v/>
      </c>
      <c r="J226" s="10" t="n"/>
    </row>
    <row r="227">
      <c r="A227" s="17" t="n"/>
      <c r="B227" s="10" t="n"/>
      <c r="C227" s="10" t="n"/>
      <c r="D227" s="10" t="n"/>
      <c r="E227" s="10" t="n"/>
      <c r="F227" s="10" t="n"/>
      <c r="G227" s="11">
        <f>IF(E227="","",INDEX(Rates!$B$2:$B$5,MATCH(E227,Rates!$A$2:$A$5,0)))</f>
        <v/>
      </c>
      <c r="H227" s="18">
        <f>IF(F227="","",F227*G227)</f>
        <v/>
      </c>
      <c r="I227" s="18">
        <f>IF(H227="","",SUM($H$2:H227))</f>
        <v/>
      </c>
      <c r="J227" s="10" t="n"/>
    </row>
    <row r="228">
      <c r="A228" s="17" t="n"/>
      <c r="B228" s="10" t="n"/>
      <c r="C228" s="10" t="n"/>
      <c r="D228" s="10" t="n"/>
      <c r="E228" s="10" t="n"/>
      <c r="F228" s="10" t="n"/>
      <c r="G228" s="11">
        <f>IF(E228="","",INDEX(Rates!$B$2:$B$5,MATCH(E228,Rates!$A$2:$A$5,0)))</f>
        <v/>
      </c>
      <c r="H228" s="18">
        <f>IF(F228="","",F228*G228)</f>
        <v/>
      </c>
      <c r="I228" s="18">
        <f>IF(H228="","",SUM($H$2:H228))</f>
        <v/>
      </c>
      <c r="J228" s="10" t="n"/>
    </row>
    <row r="229">
      <c r="A229" s="17" t="n"/>
      <c r="B229" s="10" t="n"/>
      <c r="C229" s="10" t="n"/>
      <c r="D229" s="10" t="n"/>
      <c r="E229" s="10" t="n"/>
      <c r="F229" s="10" t="n"/>
      <c r="G229" s="11">
        <f>IF(E229="","",INDEX(Rates!$B$2:$B$5,MATCH(E229,Rates!$A$2:$A$5,0)))</f>
        <v/>
      </c>
      <c r="H229" s="18">
        <f>IF(F229="","",F229*G229)</f>
        <v/>
      </c>
      <c r="I229" s="18">
        <f>IF(H229="","",SUM($H$2:H229))</f>
        <v/>
      </c>
      <c r="J229" s="10" t="n"/>
    </row>
    <row r="230">
      <c r="A230" s="17" t="n"/>
      <c r="B230" s="10" t="n"/>
      <c r="C230" s="10" t="n"/>
      <c r="D230" s="10" t="n"/>
      <c r="E230" s="10" t="n"/>
      <c r="F230" s="10" t="n"/>
      <c r="G230" s="11">
        <f>IF(E230="","",INDEX(Rates!$B$2:$B$5,MATCH(E230,Rates!$A$2:$A$5,0)))</f>
        <v/>
      </c>
      <c r="H230" s="18">
        <f>IF(F230="","",F230*G230)</f>
        <v/>
      </c>
      <c r="I230" s="18">
        <f>IF(H230="","",SUM($H$2:H230))</f>
        <v/>
      </c>
      <c r="J230" s="10" t="n"/>
    </row>
    <row r="231">
      <c r="A231" s="17" t="n"/>
      <c r="B231" s="10" t="n"/>
      <c r="C231" s="10" t="n"/>
      <c r="D231" s="10" t="n"/>
      <c r="E231" s="10" t="n"/>
      <c r="F231" s="10" t="n"/>
      <c r="G231" s="11">
        <f>IF(E231="","",INDEX(Rates!$B$2:$B$5,MATCH(E231,Rates!$A$2:$A$5,0)))</f>
        <v/>
      </c>
      <c r="H231" s="18">
        <f>IF(F231="","",F231*G231)</f>
        <v/>
      </c>
      <c r="I231" s="18">
        <f>IF(H231="","",SUM($H$2:H231))</f>
        <v/>
      </c>
      <c r="J231" s="10" t="n"/>
    </row>
    <row r="232">
      <c r="A232" s="17" t="n"/>
      <c r="B232" s="10" t="n"/>
      <c r="C232" s="10" t="n"/>
      <c r="D232" s="10" t="n"/>
      <c r="E232" s="10" t="n"/>
      <c r="F232" s="10" t="n"/>
      <c r="G232" s="11">
        <f>IF(E232="","",INDEX(Rates!$B$2:$B$5,MATCH(E232,Rates!$A$2:$A$5,0)))</f>
        <v/>
      </c>
      <c r="H232" s="18">
        <f>IF(F232="","",F232*G232)</f>
        <v/>
      </c>
      <c r="I232" s="18">
        <f>IF(H232="","",SUM($H$2:H232))</f>
        <v/>
      </c>
      <c r="J232" s="10" t="n"/>
    </row>
    <row r="233">
      <c r="A233" s="17" t="n"/>
      <c r="B233" s="10" t="n"/>
      <c r="C233" s="10" t="n"/>
      <c r="D233" s="10" t="n"/>
      <c r="E233" s="10" t="n"/>
      <c r="F233" s="10" t="n"/>
      <c r="G233" s="11">
        <f>IF(E233="","",INDEX(Rates!$B$2:$B$5,MATCH(E233,Rates!$A$2:$A$5,0)))</f>
        <v/>
      </c>
      <c r="H233" s="18">
        <f>IF(F233="","",F233*G233)</f>
        <v/>
      </c>
      <c r="I233" s="18">
        <f>IF(H233="","",SUM($H$2:H233))</f>
        <v/>
      </c>
      <c r="J233" s="10" t="n"/>
    </row>
    <row r="234">
      <c r="A234" s="17" t="n"/>
      <c r="B234" s="10" t="n"/>
      <c r="C234" s="10" t="n"/>
      <c r="D234" s="10" t="n"/>
      <c r="E234" s="10" t="n"/>
      <c r="F234" s="10" t="n"/>
      <c r="G234" s="11">
        <f>IF(E234="","",INDEX(Rates!$B$2:$B$5,MATCH(E234,Rates!$A$2:$A$5,0)))</f>
        <v/>
      </c>
      <c r="H234" s="18">
        <f>IF(F234="","",F234*G234)</f>
        <v/>
      </c>
      <c r="I234" s="18">
        <f>IF(H234="","",SUM($H$2:H234))</f>
        <v/>
      </c>
      <c r="J234" s="10" t="n"/>
    </row>
    <row r="235">
      <c r="A235" s="17" t="n"/>
      <c r="B235" s="10" t="n"/>
      <c r="C235" s="10" t="n"/>
      <c r="D235" s="10" t="n"/>
      <c r="E235" s="10" t="n"/>
      <c r="F235" s="10" t="n"/>
      <c r="G235" s="11">
        <f>IF(E235="","",INDEX(Rates!$B$2:$B$5,MATCH(E235,Rates!$A$2:$A$5,0)))</f>
        <v/>
      </c>
      <c r="H235" s="18">
        <f>IF(F235="","",F235*G235)</f>
        <v/>
      </c>
      <c r="I235" s="18">
        <f>IF(H235="","",SUM($H$2:H235))</f>
        <v/>
      </c>
      <c r="J235" s="10" t="n"/>
    </row>
    <row r="236">
      <c r="A236" s="17" t="n"/>
      <c r="B236" s="10" t="n"/>
      <c r="C236" s="10" t="n"/>
      <c r="D236" s="10" t="n"/>
      <c r="E236" s="10" t="n"/>
      <c r="F236" s="10" t="n"/>
      <c r="G236" s="11">
        <f>IF(E236="","",INDEX(Rates!$B$2:$B$5,MATCH(E236,Rates!$A$2:$A$5,0)))</f>
        <v/>
      </c>
      <c r="H236" s="18">
        <f>IF(F236="","",F236*G236)</f>
        <v/>
      </c>
      <c r="I236" s="18">
        <f>IF(H236="","",SUM($H$2:H236))</f>
        <v/>
      </c>
      <c r="J236" s="10" t="n"/>
    </row>
    <row r="237">
      <c r="A237" s="17" t="n"/>
      <c r="B237" s="10" t="n"/>
      <c r="C237" s="10" t="n"/>
      <c r="D237" s="10" t="n"/>
      <c r="E237" s="10" t="n"/>
      <c r="F237" s="10" t="n"/>
      <c r="G237" s="11">
        <f>IF(E237="","",INDEX(Rates!$B$2:$B$5,MATCH(E237,Rates!$A$2:$A$5,0)))</f>
        <v/>
      </c>
      <c r="H237" s="18">
        <f>IF(F237="","",F237*G237)</f>
        <v/>
      </c>
      <c r="I237" s="18">
        <f>IF(H237="","",SUM($H$2:H237))</f>
        <v/>
      </c>
      <c r="J237" s="10" t="n"/>
    </row>
    <row r="238">
      <c r="A238" s="17" t="n"/>
      <c r="B238" s="10" t="n"/>
      <c r="C238" s="10" t="n"/>
      <c r="D238" s="10" t="n"/>
      <c r="E238" s="10" t="n"/>
      <c r="F238" s="10" t="n"/>
      <c r="G238" s="11">
        <f>IF(E238="","",INDEX(Rates!$B$2:$B$5,MATCH(E238,Rates!$A$2:$A$5,0)))</f>
        <v/>
      </c>
      <c r="H238" s="18">
        <f>IF(F238="","",F238*G238)</f>
        <v/>
      </c>
      <c r="I238" s="18">
        <f>IF(H238="","",SUM($H$2:H238))</f>
        <v/>
      </c>
      <c r="J238" s="10" t="n"/>
    </row>
    <row r="239">
      <c r="A239" s="17" t="n"/>
      <c r="B239" s="10" t="n"/>
      <c r="C239" s="10" t="n"/>
      <c r="D239" s="10" t="n"/>
      <c r="E239" s="10" t="n"/>
      <c r="F239" s="10" t="n"/>
      <c r="G239" s="11">
        <f>IF(E239="","",INDEX(Rates!$B$2:$B$5,MATCH(E239,Rates!$A$2:$A$5,0)))</f>
        <v/>
      </c>
      <c r="H239" s="18">
        <f>IF(F239="","",F239*G239)</f>
        <v/>
      </c>
      <c r="I239" s="18">
        <f>IF(H239="","",SUM($H$2:H239))</f>
        <v/>
      </c>
      <c r="J239" s="10" t="n"/>
    </row>
    <row r="240">
      <c r="A240" s="17" t="n"/>
      <c r="B240" s="10" t="n"/>
      <c r="C240" s="10" t="n"/>
      <c r="D240" s="10" t="n"/>
      <c r="E240" s="10" t="n"/>
      <c r="F240" s="10" t="n"/>
      <c r="G240" s="11">
        <f>IF(E240="","",INDEX(Rates!$B$2:$B$5,MATCH(E240,Rates!$A$2:$A$5,0)))</f>
        <v/>
      </c>
      <c r="H240" s="18">
        <f>IF(F240="","",F240*G240)</f>
        <v/>
      </c>
      <c r="I240" s="18">
        <f>IF(H240="","",SUM($H$2:H240))</f>
        <v/>
      </c>
      <c r="J240" s="10" t="n"/>
    </row>
    <row r="241">
      <c r="A241" s="17" t="n"/>
      <c r="B241" s="10" t="n"/>
      <c r="C241" s="10" t="n"/>
      <c r="D241" s="10" t="n"/>
      <c r="E241" s="10" t="n"/>
      <c r="F241" s="10" t="n"/>
      <c r="G241" s="11">
        <f>IF(E241="","",INDEX(Rates!$B$2:$B$5,MATCH(E241,Rates!$A$2:$A$5,0)))</f>
        <v/>
      </c>
      <c r="H241" s="18">
        <f>IF(F241="","",F241*G241)</f>
        <v/>
      </c>
      <c r="I241" s="18">
        <f>IF(H241="","",SUM($H$2:H241))</f>
        <v/>
      </c>
      <c r="J241" s="10" t="n"/>
    </row>
    <row r="242">
      <c r="A242" s="17" t="n"/>
      <c r="B242" s="10" t="n"/>
      <c r="C242" s="10" t="n"/>
      <c r="D242" s="10" t="n"/>
      <c r="E242" s="10" t="n"/>
      <c r="F242" s="10" t="n"/>
      <c r="G242" s="11">
        <f>IF(E242="","",INDEX(Rates!$B$2:$B$5,MATCH(E242,Rates!$A$2:$A$5,0)))</f>
        <v/>
      </c>
      <c r="H242" s="18">
        <f>IF(F242="","",F242*G242)</f>
        <v/>
      </c>
      <c r="I242" s="18">
        <f>IF(H242="","",SUM($H$2:H242))</f>
        <v/>
      </c>
      <c r="J242" s="10" t="n"/>
    </row>
    <row r="243">
      <c r="A243" s="17" t="n"/>
      <c r="B243" s="10" t="n"/>
      <c r="C243" s="10" t="n"/>
      <c r="D243" s="10" t="n"/>
      <c r="E243" s="10" t="n"/>
      <c r="F243" s="10" t="n"/>
      <c r="G243" s="11">
        <f>IF(E243="","",INDEX(Rates!$B$2:$B$5,MATCH(E243,Rates!$A$2:$A$5,0)))</f>
        <v/>
      </c>
      <c r="H243" s="18">
        <f>IF(F243="","",F243*G243)</f>
        <v/>
      </c>
      <c r="I243" s="18">
        <f>IF(H243="","",SUM($H$2:H243))</f>
        <v/>
      </c>
      <c r="J243" s="10" t="n"/>
    </row>
    <row r="244">
      <c r="A244" s="17" t="n"/>
      <c r="B244" s="10" t="n"/>
      <c r="C244" s="10" t="n"/>
      <c r="D244" s="10" t="n"/>
      <c r="E244" s="10" t="n"/>
      <c r="F244" s="10" t="n"/>
      <c r="G244" s="11">
        <f>IF(E244="","",INDEX(Rates!$B$2:$B$5,MATCH(E244,Rates!$A$2:$A$5,0)))</f>
        <v/>
      </c>
      <c r="H244" s="18">
        <f>IF(F244="","",F244*G244)</f>
        <v/>
      </c>
      <c r="I244" s="18">
        <f>IF(H244="","",SUM($H$2:H244))</f>
        <v/>
      </c>
      <c r="J244" s="10" t="n"/>
    </row>
    <row r="245">
      <c r="A245" s="17" t="n"/>
      <c r="B245" s="10" t="n"/>
      <c r="C245" s="10" t="n"/>
      <c r="D245" s="10" t="n"/>
      <c r="E245" s="10" t="n"/>
      <c r="F245" s="10" t="n"/>
      <c r="G245" s="11">
        <f>IF(E245="","",INDEX(Rates!$B$2:$B$5,MATCH(E245,Rates!$A$2:$A$5,0)))</f>
        <v/>
      </c>
      <c r="H245" s="18">
        <f>IF(F245="","",F245*G245)</f>
        <v/>
      </c>
      <c r="I245" s="18">
        <f>IF(H245="","",SUM($H$2:H245))</f>
        <v/>
      </c>
      <c r="J245" s="10" t="n"/>
    </row>
    <row r="246">
      <c r="A246" s="17" t="n"/>
      <c r="B246" s="10" t="n"/>
      <c r="C246" s="10" t="n"/>
      <c r="D246" s="10" t="n"/>
      <c r="E246" s="10" t="n"/>
      <c r="F246" s="10" t="n"/>
      <c r="G246" s="11">
        <f>IF(E246="","",INDEX(Rates!$B$2:$B$5,MATCH(E246,Rates!$A$2:$A$5,0)))</f>
        <v/>
      </c>
      <c r="H246" s="18">
        <f>IF(F246="","",F246*G246)</f>
        <v/>
      </c>
      <c r="I246" s="18">
        <f>IF(H246="","",SUM($H$2:H246))</f>
        <v/>
      </c>
      <c r="J246" s="10" t="n"/>
    </row>
    <row r="247">
      <c r="A247" s="17" t="n"/>
      <c r="B247" s="10" t="n"/>
      <c r="C247" s="10" t="n"/>
      <c r="D247" s="10" t="n"/>
      <c r="E247" s="10" t="n"/>
      <c r="F247" s="10" t="n"/>
      <c r="G247" s="11">
        <f>IF(E247="","",INDEX(Rates!$B$2:$B$5,MATCH(E247,Rates!$A$2:$A$5,0)))</f>
        <v/>
      </c>
      <c r="H247" s="18">
        <f>IF(F247="","",F247*G247)</f>
        <v/>
      </c>
      <c r="I247" s="18">
        <f>IF(H247="","",SUM($H$2:H247))</f>
        <v/>
      </c>
      <c r="J247" s="10" t="n"/>
    </row>
    <row r="248">
      <c r="A248" s="17" t="n"/>
      <c r="B248" s="10" t="n"/>
      <c r="C248" s="10" t="n"/>
      <c r="D248" s="10" t="n"/>
      <c r="E248" s="10" t="n"/>
      <c r="F248" s="10" t="n"/>
      <c r="G248" s="11">
        <f>IF(E248="","",INDEX(Rates!$B$2:$B$5,MATCH(E248,Rates!$A$2:$A$5,0)))</f>
        <v/>
      </c>
      <c r="H248" s="18">
        <f>IF(F248="","",F248*G248)</f>
        <v/>
      </c>
      <c r="I248" s="18">
        <f>IF(H248="","",SUM($H$2:H248))</f>
        <v/>
      </c>
      <c r="J248" s="10" t="n"/>
    </row>
    <row r="249">
      <c r="A249" s="17" t="n"/>
      <c r="B249" s="10" t="n"/>
      <c r="C249" s="10" t="n"/>
      <c r="D249" s="10" t="n"/>
      <c r="E249" s="10" t="n"/>
      <c r="F249" s="10" t="n"/>
      <c r="G249" s="11">
        <f>IF(E249="","",INDEX(Rates!$B$2:$B$5,MATCH(E249,Rates!$A$2:$A$5,0)))</f>
        <v/>
      </c>
      <c r="H249" s="18">
        <f>IF(F249="","",F249*G249)</f>
        <v/>
      </c>
      <c r="I249" s="18">
        <f>IF(H249="","",SUM($H$2:H249))</f>
        <v/>
      </c>
      <c r="J249" s="10" t="n"/>
    </row>
    <row r="250">
      <c r="A250" s="17" t="n"/>
      <c r="B250" s="10" t="n"/>
      <c r="C250" s="10" t="n"/>
      <c r="D250" s="10" t="n"/>
      <c r="E250" s="10" t="n"/>
      <c r="F250" s="10" t="n"/>
      <c r="G250" s="11">
        <f>IF(E250="","",INDEX(Rates!$B$2:$B$5,MATCH(E250,Rates!$A$2:$A$5,0)))</f>
        <v/>
      </c>
      <c r="H250" s="18">
        <f>IF(F250="","",F250*G250)</f>
        <v/>
      </c>
      <c r="I250" s="18">
        <f>IF(H250="","",SUM($H$2:H250))</f>
        <v/>
      </c>
      <c r="J250" s="10" t="n"/>
    </row>
    <row r="251">
      <c r="A251" s="17" t="n"/>
      <c r="B251" s="10" t="n"/>
      <c r="C251" s="10" t="n"/>
      <c r="D251" s="10" t="n"/>
      <c r="E251" s="10" t="n"/>
      <c r="F251" s="10" t="n"/>
      <c r="G251" s="11">
        <f>IF(E251="","",INDEX(Rates!$B$2:$B$5,MATCH(E251,Rates!$A$2:$A$5,0)))</f>
        <v/>
      </c>
      <c r="H251" s="18">
        <f>IF(F251="","",F251*G251)</f>
        <v/>
      </c>
      <c r="I251" s="18">
        <f>IF(H251="","",SUM($H$2:H251))</f>
        <v/>
      </c>
      <c r="J251" s="10" t="n"/>
    </row>
  </sheetData>
  <dataValidations count="3">
    <dataValidation sqref="B2:B251" showDropDown="0" showInputMessage="0" showErrorMessage="0" allowBlank="1" type="list">
      <formula1>"Pre-Trip,Norway,London,Scotland,Ireland,Portugal,Other"</formula1>
    </dataValidation>
    <dataValidation sqref="C2:C251" showDropDown="0" showInputMessage="0" showErrorMessage="0" allowBlank="1" type="list">
      <formula1>"Accommodation,Food,Transport,Activities,Gear/Insurance,Other"</formula1>
    </dataValidation>
    <dataValidation sqref="E2:E251" showDropDown="0" showInputMessage="0" showErrorMessage="0" allowBlank="1" type="list">
      <formula1>=Rates!$A$2:$A$5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2026-07-12T16:43:32Z</dcterms:created>
  <dcterms:modified xmlns:dcterms="http://purl.org/dc/terms/" xmlns:xsi="http://www.w3.org/2001/XMLSchema-instance" xsi:type="dcterms:W3CDTF">2026-07-12T16:43:33Z</dcterms:modified>
</cp:coreProperties>
</file>