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עמרי\Shmags 2\projects\travel\"/>
    </mc:Choice>
  </mc:AlternateContent>
  <xr:revisionPtr revIDLastSave="0" documentId="11_D0BCCB3D45669470A7AD9801D6E641A59D488171" xr6:coauthVersionLast="47" xr6:coauthVersionMax="47" xr10:uidLastSave="{00000000-0000-0000-0000-000000000000}"/>
  <bookViews>
    <workbookView xWindow="1800" yWindow="1800" windowWidth="14400" windowHeight="7830" xr2:uid="{00000000-000D-0000-FFFF-FFFF00000000}"/>
  </bookViews>
  <sheets>
    <sheet name="Summary" sheetId="1" r:id="rId1"/>
    <sheet name="Rates" sheetId="2" r:id="rId2"/>
    <sheet name="Funding Sources" sheetId="3" r:id="rId3"/>
    <sheet name="Budget Plan" sheetId="4" r:id="rId4"/>
    <sheet name="Expense Log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1" i="5" l="1"/>
  <c r="I251" i="5" s="1"/>
  <c r="G251" i="5"/>
  <c r="H250" i="5"/>
  <c r="I250" i="5" s="1"/>
  <c r="G250" i="5"/>
  <c r="H249" i="5"/>
  <c r="I249" i="5" s="1"/>
  <c r="G249" i="5"/>
  <c r="I248" i="5"/>
  <c r="H248" i="5"/>
  <c r="G248" i="5"/>
  <c r="I247" i="5"/>
  <c r="H247" i="5"/>
  <c r="G247" i="5"/>
  <c r="I246" i="5"/>
  <c r="H246" i="5"/>
  <c r="G246" i="5"/>
  <c r="I245" i="5"/>
  <c r="H245" i="5"/>
  <c r="G245" i="5"/>
  <c r="I244" i="5"/>
  <c r="H244" i="5"/>
  <c r="G244" i="5"/>
  <c r="I243" i="5"/>
  <c r="H243" i="5"/>
  <c r="G243" i="5"/>
  <c r="H242" i="5"/>
  <c r="I242" i="5" s="1"/>
  <c r="G242" i="5"/>
  <c r="H241" i="5"/>
  <c r="I241" i="5" s="1"/>
  <c r="G241" i="5"/>
  <c r="I240" i="5"/>
  <c r="H240" i="5"/>
  <c r="G240" i="5"/>
  <c r="I239" i="5"/>
  <c r="H239" i="5"/>
  <c r="G239" i="5"/>
  <c r="I238" i="5"/>
  <c r="H238" i="5"/>
  <c r="G238" i="5"/>
  <c r="I237" i="5"/>
  <c r="H237" i="5"/>
  <c r="G237" i="5"/>
  <c r="I236" i="5"/>
  <c r="H236" i="5"/>
  <c r="G236" i="5"/>
  <c r="I235" i="5"/>
  <c r="H235" i="5"/>
  <c r="G235" i="5"/>
  <c r="H234" i="5"/>
  <c r="I234" i="5" s="1"/>
  <c r="G234" i="5"/>
  <c r="H233" i="5"/>
  <c r="I233" i="5" s="1"/>
  <c r="G233" i="5"/>
  <c r="I232" i="5"/>
  <c r="H232" i="5"/>
  <c r="G232" i="5"/>
  <c r="I231" i="5"/>
  <c r="H231" i="5"/>
  <c r="G231" i="5"/>
  <c r="I230" i="5"/>
  <c r="H230" i="5"/>
  <c r="G230" i="5"/>
  <c r="I229" i="5"/>
  <c r="H229" i="5"/>
  <c r="G229" i="5"/>
  <c r="I228" i="5"/>
  <c r="H228" i="5"/>
  <c r="G228" i="5"/>
  <c r="I227" i="5"/>
  <c r="H227" i="5"/>
  <c r="G227" i="5"/>
  <c r="H226" i="5"/>
  <c r="I226" i="5" s="1"/>
  <c r="G226" i="5"/>
  <c r="H225" i="5"/>
  <c r="I225" i="5" s="1"/>
  <c r="G225" i="5"/>
  <c r="I224" i="5"/>
  <c r="H224" i="5"/>
  <c r="G224" i="5"/>
  <c r="I223" i="5"/>
  <c r="H223" i="5"/>
  <c r="G223" i="5"/>
  <c r="I222" i="5"/>
  <c r="H222" i="5"/>
  <c r="G222" i="5"/>
  <c r="I221" i="5"/>
  <c r="H221" i="5"/>
  <c r="G221" i="5"/>
  <c r="I220" i="5"/>
  <c r="H220" i="5"/>
  <c r="G220" i="5"/>
  <c r="I219" i="5"/>
  <c r="H219" i="5"/>
  <c r="G219" i="5"/>
  <c r="H218" i="5"/>
  <c r="I218" i="5" s="1"/>
  <c r="G218" i="5"/>
  <c r="H217" i="5"/>
  <c r="I217" i="5" s="1"/>
  <c r="G217" i="5"/>
  <c r="I216" i="5"/>
  <c r="H216" i="5"/>
  <c r="G216" i="5"/>
  <c r="I215" i="5"/>
  <c r="H215" i="5"/>
  <c r="G215" i="5"/>
  <c r="I214" i="5"/>
  <c r="H214" i="5"/>
  <c r="G214" i="5"/>
  <c r="I213" i="5"/>
  <c r="H213" i="5"/>
  <c r="G213" i="5"/>
  <c r="I212" i="5"/>
  <c r="H212" i="5"/>
  <c r="G212" i="5"/>
  <c r="I211" i="5"/>
  <c r="H211" i="5"/>
  <c r="G211" i="5"/>
  <c r="H210" i="5"/>
  <c r="I210" i="5" s="1"/>
  <c r="G210" i="5"/>
  <c r="H209" i="5"/>
  <c r="I209" i="5" s="1"/>
  <c r="G209" i="5"/>
  <c r="I208" i="5"/>
  <c r="H208" i="5"/>
  <c r="G208" i="5"/>
  <c r="I207" i="5"/>
  <c r="H207" i="5"/>
  <c r="G207" i="5"/>
  <c r="I206" i="5"/>
  <c r="H206" i="5"/>
  <c r="G206" i="5"/>
  <c r="I205" i="5"/>
  <c r="H205" i="5"/>
  <c r="G205" i="5"/>
  <c r="I204" i="5"/>
  <c r="H204" i="5"/>
  <c r="G204" i="5"/>
  <c r="I203" i="5"/>
  <c r="H203" i="5"/>
  <c r="G203" i="5"/>
  <c r="H202" i="5"/>
  <c r="I202" i="5" s="1"/>
  <c r="G202" i="5"/>
  <c r="H201" i="5"/>
  <c r="I201" i="5" s="1"/>
  <c r="G201" i="5"/>
  <c r="I200" i="5"/>
  <c r="H200" i="5"/>
  <c r="G200" i="5"/>
  <c r="I199" i="5"/>
  <c r="H199" i="5"/>
  <c r="G199" i="5"/>
  <c r="I198" i="5"/>
  <c r="H198" i="5"/>
  <c r="G198" i="5"/>
  <c r="I197" i="5"/>
  <c r="H197" i="5"/>
  <c r="G197" i="5"/>
  <c r="I196" i="5"/>
  <c r="H196" i="5"/>
  <c r="G196" i="5"/>
  <c r="I195" i="5"/>
  <c r="H195" i="5"/>
  <c r="G195" i="5"/>
  <c r="H194" i="5"/>
  <c r="I194" i="5" s="1"/>
  <c r="G194" i="5"/>
  <c r="H193" i="5"/>
  <c r="I193" i="5" s="1"/>
  <c r="G193" i="5"/>
  <c r="I192" i="5"/>
  <c r="H192" i="5"/>
  <c r="G192" i="5"/>
  <c r="I191" i="5"/>
  <c r="H191" i="5"/>
  <c r="G191" i="5"/>
  <c r="I190" i="5"/>
  <c r="H190" i="5"/>
  <c r="G190" i="5"/>
  <c r="I189" i="5"/>
  <c r="H189" i="5"/>
  <c r="G189" i="5"/>
  <c r="I188" i="5"/>
  <c r="H188" i="5"/>
  <c r="G188" i="5"/>
  <c r="I187" i="5"/>
  <c r="H187" i="5"/>
  <c r="G187" i="5"/>
  <c r="H186" i="5"/>
  <c r="I186" i="5" s="1"/>
  <c r="G186" i="5"/>
  <c r="H185" i="5"/>
  <c r="I185" i="5" s="1"/>
  <c r="G185" i="5"/>
  <c r="I184" i="5"/>
  <c r="H184" i="5"/>
  <c r="G184" i="5"/>
  <c r="I183" i="5"/>
  <c r="H183" i="5"/>
  <c r="G183" i="5"/>
  <c r="I182" i="5"/>
  <c r="H182" i="5"/>
  <c r="G182" i="5"/>
  <c r="I181" i="5"/>
  <c r="H181" i="5"/>
  <c r="G181" i="5"/>
  <c r="I180" i="5"/>
  <c r="H180" i="5"/>
  <c r="G180" i="5"/>
  <c r="I179" i="5"/>
  <c r="H179" i="5"/>
  <c r="G179" i="5"/>
  <c r="H178" i="5"/>
  <c r="I178" i="5" s="1"/>
  <c r="G178" i="5"/>
  <c r="H177" i="5"/>
  <c r="I177" i="5" s="1"/>
  <c r="G177" i="5"/>
  <c r="I176" i="5"/>
  <c r="H176" i="5"/>
  <c r="G176" i="5"/>
  <c r="I175" i="5"/>
  <c r="H175" i="5"/>
  <c r="G175" i="5"/>
  <c r="I174" i="5"/>
  <c r="H174" i="5"/>
  <c r="G174" i="5"/>
  <c r="I173" i="5"/>
  <c r="H173" i="5"/>
  <c r="G173" i="5"/>
  <c r="I172" i="5"/>
  <c r="H172" i="5"/>
  <c r="G172" i="5"/>
  <c r="I171" i="5"/>
  <c r="H171" i="5"/>
  <c r="G171" i="5"/>
  <c r="H170" i="5"/>
  <c r="I170" i="5" s="1"/>
  <c r="G170" i="5"/>
  <c r="H169" i="5"/>
  <c r="I169" i="5" s="1"/>
  <c r="G169" i="5"/>
  <c r="I168" i="5"/>
  <c r="H168" i="5"/>
  <c r="G168" i="5"/>
  <c r="I167" i="5"/>
  <c r="H167" i="5"/>
  <c r="G167" i="5"/>
  <c r="I166" i="5"/>
  <c r="H166" i="5"/>
  <c r="G166" i="5"/>
  <c r="I165" i="5"/>
  <c r="H165" i="5"/>
  <c r="G165" i="5"/>
  <c r="I164" i="5"/>
  <c r="H164" i="5"/>
  <c r="G164" i="5"/>
  <c r="I163" i="5"/>
  <c r="H163" i="5"/>
  <c r="G163" i="5"/>
  <c r="H162" i="5"/>
  <c r="I162" i="5" s="1"/>
  <c r="G162" i="5"/>
  <c r="H161" i="5"/>
  <c r="I161" i="5" s="1"/>
  <c r="G161" i="5"/>
  <c r="I160" i="5"/>
  <c r="H160" i="5"/>
  <c r="G160" i="5"/>
  <c r="I159" i="5"/>
  <c r="H159" i="5"/>
  <c r="G159" i="5"/>
  <c r="I158" i="5"/>
  <c r="H158" i="5"/>
  <c r="G158" i="5"/>
  <c r="I157" i="5"/>
  <c r="H157" i="5"/>
  <c r="G157" i="5"/>
  <c r="I156" i="5"/>
  <c r="H156" i="5"/>
  <c r="G156" i="5"/>
  <c r="I155" i="5"/>
  <c r="H155" i="5"/>
  <c r="G155" i="5"/>
  <c r="H154" i="5"/>
  <c r="I154" i="5" s="1"/>
  <c r="G154" i="5"/>
  <c r="H153" i="5"/>
  <c r="I153" i="5" s="1"/>
  <c r="G153" i="5"/>
  <c r="I152" i="5"/>
  <c r="H152" i="5"/>
  <c r="G152" i="5"/>
  <c r="I151" i="5"/>
  <c r="H151" i="5"/>
  <c r="G151" i="5"/>
  <c r="I150" i="5"/>
  <c r="H150" i="5"/>
  <c r="G150" i="5"/>
  <c r="I149" i="5"/>
  <c r="H149" i="5"/>
  <c r="G149" i="5"/>
  <c r="I148" i="5"/>
  <c r="H148" i="5"/>
  <c r="G148" i="5"/>
  <c r="I147" i="5"/>
  <c r="H147" i="5"/>
  <c r="G147" i="5"/>
  <c r="H146" i="5"/>
  <c r="I146" i="5" s="1"/>
  <c r="G146" i="5"/>
  <c r="H145" i="5"/>
  <c r="I145" i="5" s="1"/>
  <c r="G145" i="5"/>
  <c r="I144" i="5"/>
  <c r="H144" i="5"/>
  <c r="G144" i="5"/>
  <c r="I143" i="5"/>
  <c r="H143" i="5"/>
  <c r="G143" i="5"/>
  <c r="I142" i="5"/>
  <c r="H142" i="5"/>
  <c r="G142" i="5"/>
  <c r="I141" i="5"/>
  <c r="H141" i="5"/>
  <c r="G141" i="5"/>
  <c r="I140" i="5"/>
  <c r="H140" i="5"/>
  <c r="G140" i="5"/>
  <c r="I139" i="5"/>
  <c r="H139" i="5"/>
  <c r="G139" i="5"/>
  <c r="H138" i="5"/>
  <c r="I138" i="5" s="1"/>
  <c r="G138" i="5"/>
  <c r="H137" i="5"/>
  <c r="I137" i="5" s="1"/>
  <c r="G137" i="5"/>
  <c r="I136" i="5"/>
  <c r="H136" i="5"/>
  <c r="G136" i="5"/>
  <c r="I135" i="5"/>
  <c r="H135" i="5"/>
  <c r="G135" i="5"/>
  <c r="I134" i="5"/>
  <c r="H134" i="5"/>
  <c r="G134" i="5"/>
  <c r="I133" i="5"/>
  <c r="H133" i="5"/>
  <c r="G133" i="5"/>
  <c r="I132" i="5"/>
  <c r="H132" i="5"/>
  <c r="G132" i="5"/>
  <c r="I131" i="5"/>
  <c r="H131" i="5"/>
  <c r="G131" i="5"/>
  <c r="H130" i="5"/>
  <c r="I130" i="5" s="1"/>
  <c r="G130" i="5"/>
  <c r="H129" i="5"/>
  <c r="I129" i="5" s="1"/>
  <c r="G129" i="5"/>
  <c r="I128" i="5"/>
  <c r="H128" i="5"/>
  <c r="G128" i="5"/>
  <c r="I127" i="5"/>
  <c r="H127" i="5"/>
  <c r="G127" i="5"/>
  <c r="I126" i="5"/>
  <c r="H126" i="5"/>
  <c r="G126" i="5"/>
  <c r="I125" i="5"/>
  <c r="H125" i="5"/>
  <c r="G125" i="5"/>
  <c r="I124" i="5"/>
  <c r="H124" i="5"/>
  <c r="G124" i="5"/>
  <c r="I123" i="5"/>
  <c r="H123" i="5"/>
  <c r="G123" i="5"/>
  <c r="H122" i="5"/>
  <c r="I122" i="5" s="1"/>
  <c r="G122" i="5"/>
  <c r="H121" i="5"/>
  <c r="I121" i="5" s="1"/>
  <c r="G121" i="5"/>
  <c r="I120" i="5"/>
  <c r="H120" i="5"/>
  <c r="G120" i="5"/>
  <c r="I119" i="5"/>
  <c r="H119" i="5"/>
  <c r="G119" i="5"/>
  <c r="I118" i="5"/>
  <c r="H118" i="5"/>
  <c r="G118" i="5"/>
  <c r="I117" i="5"/>
  <c r="H117" i="5"/>
  <c r="G117" i="5"/>
  <c r="I116" i="5"/>
  <c r="H116" i="5"/>
  <c r="G116" i="5"/>
  <c r="I115" i="5"/>
  <c r="H115" i="5"/>
  <c r="G115" i="5"/>
  <c r="H114" i="5"/>
  <c r="I114" i="5" s="1"/>
  <c r="G114" i="5"/>
  <c r="H113" i="5"/>
  <c r="I113" i="5" s="1"/>
  <c r="G113" i="5"/>
  <c r="I112" i="5"/>
  <c r="H112" i="5"/>
  <c r="G112" i="5"/>
  <c r="I111" i="5"/>
  <c r="H111" i="5"/>
  <c r="G111" i="5"/>
  <c r="I110" i="5"/>
  <c r="H110" i="5"/>
  <c r="G110" i="5"/>
  <c r="I109" i="5"/>
  <c r="H109" i="5"/>
  <c r="G109" i="5"/>
  <c r="I108" i="5"/>
  <c r="H108" i="5"/>
  <c r="G108" i="5"/>
  <c r="I107" i="5"/>
  <c r="H107" i="5"/>
  <c r="G107" i="5"/>
  <c r="H106" i="5"/>
  <c r="I106" i="5" s="1"/>
  <c r="G106" i="5"/>
  <c r="H105" i="5"/>
  <c r="I105" i="5" s="1"/>
  <c r="G105" i="5"/>
  <c r="I104" i="5"/>
  <c r="H104" i="5"/>
  <c r="G104" i="5"/>
  <c r="I103" i="5"/>
  <c r="H103" i="5"/>
  <c r="G103" i="5"/>
  <c r="I102" i="5"/>
  <c r="H102" i="5"/>
  <c r="G102" i="5"/>
  <c r="I101" i="5"/>
  <c r="H101" i="5"/>
  <c r="G101" i="5"/>
  <c r="I100" i="5"/>
  <c r="H100" i="5"/>
  <c r="G100" i="5"/>
  <c r="I99" i="5"/>
  <c r="H99" i="5"/>
  <c r="G99" i="5"/>
  <c r="H98" i="5"/>
  <c r="I98" i="5" s="1"/>
  <c r="G98" i="5"/>
  <c r="H97" i="5"/>
  <c r="I97" i="5" s="1"/>
  <c r="G97" i="5"/>
  <c r="I96" i="5"/>
  <c r="H96" i="5"/>
  <c r="G96" i="5"/>
  <c r="I95" i="5"/>
  <c r="H95" i="5"/>
  <c r="G95" i="5"/>
  <c r="I94" i="5"/>
  <c r="H94" i="5"/>
  <c r="G94" i="5"/>
  <c r="I93" i="5"/>
  <c r="H93" i="5"/>
  <c r="G93" i="5"/>
  <c r="I92" i="5"/>
  <c r="H92" i="5"/>
  <c r="G92" i="5"/>
  <c r="I91" i="5"/>
  <c r="H91" i="5"/>
  <c r="G91" i="5"/>
  <c r="H90" i="5"/>
  <c r="I90" i="5" s="1"/>
  <c r="G90" i="5"/>
  <c r="H89" i="5"/>
  <c r="I89" i="5" s="1"/>
  <c r="G89" i="5"/>
  <c r="I88" i="5"/>
  <c r="H88" i="5"/>
  <c r="G88" i="5"/>
  <c r="I87" i="5"/>
  <c r="H87" i="5"/>
  <c r="G87" i="5"/>
  <c r="I86" i="5"/>
  <c r="H86" i="5"/>
  <c r="G86" i="5"/>
  <c r="I85" i="5"/>
  <c r="H85" i="5"/>
  <c r="G85" i="5"/>
  <c r="I84" i="5"/>
  <c r="H84" i="5"/>
  <c r="G84" i="5"/>
  <c r="I83" i="5"/>
  <c r="H83" i="5"/>
  <c r="G83" i="5"/>
  <c r="H82" i="5"/>
  <c r="I82" i="5" s="1"/>
  <c r="G82" i="5"/>
  <c r="H81" i="5"/>
  <c r="I81" i="5" s="1"/>
  <c r="G81" i="5"/>
  <c r="I80" i="5"/>
  <c r="H80" i="5"/>
  <c r="G80" i="5"/>
  <c r="I79" i="5"/>
  <c r="H79" i="5"/>
  <c r="G79" i="5"/>
  <c r="I78" i="5"/>
  <c r="H78" i="5"/>
  <c r="G78" i="5"/>
  <c r="I77" i="5"/>
  <c r="H77" i="5"/>
  <c r="G77" i="5"/>
  <c r="I76" i="5"/>
  <c r="H76" i="5"/>
  <c r="G76" i="5"/>
  <c r="I75" i="5"/>
  <c r="H75" i="5"/>
  <c r="G75" i="5"/>
  <c r="H74" i="5"/>
  <c r="I74" i="5" s="1"/>
  <c r="G74" i="5"/>
  <c r="H73" i="5"/>
  <c r="I73" i="5" s="1"/>
  <c r="G73" i="5"/>
  <c r="I72" i="5"/>
  <c r="H72" i="5"/>
  <c r="G72" i="5"/>
  <c r="I71" i="5"/>
  <c r="H71" i="5"/>
  <c r="G71" i="5"/>
  <c r="I70" i="5"/>
  <c r="H70" i="5"/>
  <c r="G70" i="5"/>
  <c r="I69" i="5"/>
  <c r="H69" i="5"/>
  <c r="G69" i="5"/>
  <c r="I68" i="5"/>
  <c r="H68" i="5"/>
  <c r="G68" i="5"/>
  <c r="I67" i="5"/>
  <c r="H67" i="5"/>
  <c r="G67" i="5"/>
  <c r="H66" i="5"/>
  <c r="I66" i="5" s="1"/>
  <c r="G66" i="5"/>
  <c r="H65" i="5"/>
  <c r="I65" i="5" s="1"/>
  <c r="G65" i="5"/>
  <c r="I64" i="5"/>
  <c r="H64" i="5"/>
  <c r="G64" i="5"/>
  <c r="I63" i="5"/>
  <c r="H63" i="5"/>
  <c r="G63" i="5"/>
  <c r="I62" i="5"/>
  <c r="H62" i="5"/>
  <c r="G62" i="5"/>
  <c r="I61" i="5"/>
  <c r="H61" i="5"/>
  <c r="G61" i="5"/>
  <c r="I60" i="5"/>
  <c r="H60" i="5"/>
  <c r="G60" i="5"/>
  <c r="I59" i="5"/>
  <c r="H59" i="5"/>
  <c r="G59" i="5"/>
  <c r="H58" i="5"/>
  <c r="I58" i="5" s="1"/>
  <c r="G58" i="5"/>
  <c r="H57" i="5"/>
  <c r="I57" i="5" s="1"/>
  <c r="G57" i="5"/>
  <c r="I56" i="5"/>
  <c r="H56" i="5"/>
  <c r="G56" i="5"/>
  <c r="I55" i="5"/>
  <c r="H55" i="5"/>
  <c r="G55" i="5"/>
  <c r="I54" i="5"/>
  <c r="H54" i="5"/>
  <c r="G54" i="5"/>
  <c r="I53" i="5"/>
  <c r="H53" i="5"/>
  <c r="G53" i="5"/>
  <c r="I52" i="5"/>
  <c r="H52" i="5"/>
  <c r="G52" i="5"/>
  <c r="I51" i="5"/>
  <c r="H51" i="5"/>
  <c r="G51" i="5"/>
  <c r="H50" i="5"/>
  <c r="I50" i="5" s="1"/>
  <c r="G50" i="5"/>
  <c r="H49" i="5"/>
  <c r="I49" i="5" s="1"/>
  <c r="G49" i="5"/>
  <c r="I48" i="5"/>
  <c r="H48" i="5"/>
  <c r="G48" i="5"/>
  <c r="I47" i="5"/>
  <c r="H47" i="5"/>
  <c r="G47" i="5"/>
  <c r="I46" i="5"/>
  <c r="H46" i="5"/>
  <c r="G46" i="5"/>
  <c r="I45" i="5"/>
  <c r="H45" i="5"/>
  <c r="G45" i="5"/>
  <c r="I44" i="5"/>
  <c r="H44" i="5"/>
  <c r="G44" i="5"/>
  <c r="I43" i="5"/>
  <c r="H43" i="5"/>
  <c r="G43" i="5"/>
  <c r="H42" i="5"/>
  <c r="I42" i="5" s="1"/>
  <c r="G42" i="5"/>
  <c r="H41" i="5"/>
  <c r="I41" i="5" s="1"/>
  <c r="G41" i="5"/>
  <c r="I40" i="5"/>
  <c r="H40" i="5"/>
  <c r="G40" i="5"/>
  <c r="I39" i="5"/>
  <c r="H39" i="5"/>
  <c r="G39" i="5"/>
  <c r="I38" i="5"/>
  <c r="H38" i="5"/>
  <c r="G38" i="5"/>
  <c r="I37" i="5"/>
  <c r="H37" i="5"/>
  <c r="G37" i="5"/>
  <c r="I36" i="5"/>
  <c r="H36" i="5"/>
  <c r="G36" i="5"/>
  <c r="I35" i="5"/>
  <c r="H35" i="5"/>
  <c r="G35" i="5"/>
  <c r="H34" i="5"/>
  <c r="I34" i="5" s="1"/>
  <c r="G34" i="5"/>
  <c r="H33" i="5"/>
  <c r="I33" i="5" s="1"/>
  <c r="G33" i="5"/>
  <c r="I32" i="5"/>
  <c r="H32" i="5"/>
  <c r="G32" i="5"/>
  <c r="I31" i="5"/>
  <c r="H31" i="5"/>
  <c r="G31" i="5"/>
  <c r="H30" i="5"/>
  <c r="I30" i="5" s="1"/>
  <c r="G30" i="5"/>
  <c r="I29" i="5"/>
  <c r="H29" i="5"/>
  <c r="G29" i="5"/>
  <c r="I28" i="5"/>
  <c r="H28" i="5"/>
  <c r="G28" i="5"/>
  <c r="I27" i="5"/>
  <c r="H27" i="5"/>
  <c r="G27" i="5"/>
  <c r="H26" i="5"/>
  <c r="I26" i="5" s="1"/>
  <c r="G26" i="5"/>
  <c r="H25" i="5"/>
  <c r="I25" i="5" s="1"/>
  <c r="G25" i="5"/>
  <c r="I24" i="5"/>
  <c r="H24" i="5"/>
  <c r="G24" i="5"/>
  <c r="I23" i="5"/>
  <c r="H23" i="5"/>
  <c r="G23" i="5"/>
  <c r="H22" i="5"/>
  <c r="I22" i="5" s="1"/>
  <c r="G22" i="5"/>
  <c r="I21" i="5"/>
  <c r="H21" i="5"/>
  <c r="G21" i="5"/>
  <c r="I20" i="5"/>
  <c r="H20" i="5"/>
  <c r="G20" i="5"/>
  <c r="I19" i="5"/>
  <c r="H19" i="5"/>
  <c r="G19" i="5"/>
  <c r="H18" i="5"/>
  <c r="I18" i="5" s="1"/>
  <c r="G18" i="5"/>
  <c r="H17" i="5"/>
  <c r="I17" i="5" s="1"/>
  <c r="G17" i="5"/>
  <c r="I16" i="5"/>
  <c r="H16" i="5"/>
  <c r="G16" i="5"/>
  <c r="I15" i="5"/>
  <c r="H15" i="5"/>
  <c r="G15" i="5"/>
  <c r="H14" i="5"/>
  <c r="I14" i="5" s="1"/>
  <c r="G14" i="5"/>
  <c r="I13" i="5"/>
  <c r="H13" i="5"/>
  <c r="G13" i="5"/>
  <c r="I12" i="5"/>
  <c r="H12" i="5"/>
  <c r="G12" i="5"/>
  <c r="I11" i="5"/>
  <c r="H11" i="5"/>
  <c r="G11" i="5"/>
  <c r="H10" i="5"/>
  <c r="I10" i="5" s="1"/>
  <c r="G10" i="5"/>
  <c r="H9" i="5"/>
  <c r="I9" i="5" s="1"/>
  <c r="G9" i="5"/>
  <c r="I8" i="5"/>
  <c r="H8" i="5"/>
  <c r="G8" i="5"/>
  <c r="I7" i="5"/>
  <c r="H7" i="5"/>
  <c r="G7" i="5"/>
  <c r="H6" i="5"/>
  <c r="I6" i="5" s="1"/>
  <c r="G6" i="5"/>
  <c r="I5" i="5"/>
  <c r="H5" i="5"/>
  <c r="G5" i="5"/>
  <c r="I4" i="5"/>
  <c r="H4" i="5"/>
  <c r="G4" i="5"/>
  <c r="I3" i="5"/>
  <c r="H3" i="5"/>
  <c r="G3" i="5"/>
  <c r="H2" i="5"/>
  <c r="B22" i="1" s="1"/>
  <c r="G2" i="5"/>
  <c r="L8" i="4"/>
  <c r="J8" i="4"/>
  <c r="K8" i="4" s="1"/>
  <c r="K7" i="4"/>
  <c r="J7" i="4"/>
  <c r="L7" i="4" s="1"/>
  <c r="J6" i="4"/>
  <c r="K6" i="4" s="1"/>
  <c r="I6" i="4"/>
  <c r="L6" i="4" s="1"/>
  <c r="H6" i="4"/>
  <c r="D6" i="4"/>
  <c r="J5" i="4"/>
  <c r="I5" i="4"/>
  <c r="L5" i="4" s="1"/>
  <c r="H5" i="4"/>
  <c r="K5" i="4" s="1"/>
  <c r="D5" i="4"/>
  <c r="J4" i="4"/>
  <c r="D4" i="4"/>
  <c r="I4" i="4" s="1"/>
  <c r="L4" i="4" s="1"/>
  <c r="J3" i="4"/>
  <c r="H3" i="4"/>
  <c r="K3" i="4" s="1"/>
  <c r="D3" i="4"/>
  <c r="I3" i="4" s="1"/>
  <c r="L3" i="4" s="1"/>
  <c r="J2" i="4"/>
  <c r="K2" i="4" s="1"/>
  <c r="I2" i="4"/>
  <c r="H2" i="4"/>
  <c r="D2" i="4"/>
  <c r="D5" i="3"/>
  <c r="D4" i="3"/>
  <c r="B7" i="1" s="1"/>
  <c r="D3" i="3"/>
  <c r="D8" i="3" s="1"/>
  <c r="D2" i="3"/>
  <c r="B32" i="1"/>
  <c r="B31" i="1"/>
  <c r="B30" i="1"/>
  <c r="B29" i="1"/>
  <c r="B28" i="1"/>
  <c r="B27" i="1"/>
  <c r="B8" i="1"/>
  <c r="K10" i="4" l="1"/>
  <c r="B12" i="1" s="1"/>
  <c r="L2" i="4"/>
  <c r="L10" i="4" s="1"/>
  <c r="B13" i="1" s="1"/>
  <c r="H4" i="4"/>
  <c r="K4" i="4" s="1"/>
  <c r="D7" i="3"/>
  <c r="B6" i="1" s="1"/>
  <c r="I2" i="5"/>
  <c r="B23" i="1" l="1"/>
  <c r="B9" i="1"/>
  <c r="B17" i="1"/>
  <c r="B16" i="1"/>
  <c r="B19" i="1" l="1"/>
  <c r="B24" i="1"/>
  <c r="B18" i="1"/>
</calcChain>
</file>

<file path=xl/sharedStrings.xml><?xml version="1.0" encoding="utf-8"?>
<sst xmlns="http://schemas.openxmlformats.org/spreadsheetml/2006/main" count="114" uniqueCount="93">
  <si>
    <t>Travel Budget -- September Europe Trip</t>
  </si>
  <si>
    <t>Norway → London → Scotland → Ireland → Portugal, Sept 8 - ~Dec 8 2026 (excludes flights)</t>
  </si>
  <si>
    <t>Last updated:</t>
  </si>
  <si>
    <t>FUNDING</t>
  </si>
  <si>
    <t>Confirmed baseline (grant + savings)</t>
  </si>
  <si>
    <t>+ Parental help (buffer, not fixed)</t>
  </si>
  <si>
    <t>+ Work exchange savings (estimate)</t>
  </si>
  <si>
    <t>Total available incl. buffers</t>
  </si>
  <si>
    <t>BUDGETED COST (plan, before the trip)</t>
  </si>
  <si>
    <t>Budgeted -- Low (frugal, disciplined)</t>
  </si>
  <si>
    <t>Budgeted -- High (moderate comfort)</t>
  </si>
  <si>
    <t>SURPLUS / (SHORTFALL)</t>
  </si>
  <si>
    <t>vs. Confirmed baseline -- Low</t>
  </si>
  <si>
    <t>vs. Confirmed baseline -- High</t>
  </si>
  <si>
    <t>vs. Total incl. buffers -- Low</t>
  </si>
  <si>
    <t>vs. Total incl. buffers -- High</t>
  </si>
  <si>
    <t>ACTUAL SPENDING (live, updates as you fill in the Expense Log)</t>
  </si>
  <si>
    <t>Actual spent so far</t>
  </si>
  <si>
    <t>Remaining vs. confirmed baseline</t>
  </si>
  <si>
    <t>Remaining vs. total incl. buffers</t>
  </si>
  <si>
    <t>SPENDING BY CATEGORY (ILS, live)</t>
  </si>
  <si>
    <t>Accommodation</t>
  </si>
  <si>
    <t>Food</t>
  </si>
  <si>
    <t>Transport</t>
  </si>
  <si>
    <t>Activities</t>
  </si>
  <si>
    <t>Gear/Insurance</t>
  </si>
  <si>
    <t>Other</t>
  </si>
  <si>
    <t>How to use this workbook</t>
  </si>
  <si>
    <t>- Rates tab: update the exchange rates before you leave and periodically while traveling -- everything else recalculates automatically.</t>
  </si>
  <si>
    <t>- Funding Sources tab: adjust Parental Help and Work Exchange Savings as those firm up -- they're deliberately excluded from the confirmed baseline.</t>
  </si>
  <si>
    <t>- Budget Plan tab: the Low/High per-leg estimates are planning assumptions, not fixed rules -- edit freely as you learn real prices.</t>
  </si>
  <si>
    <t>- Expense Log tab: log every real expense here while traveling (pick Leg/Category from the dropdowns, enter the local-currency amount) -- this Summary tab updates live.</t>
  </si>
  <si>
    <t>Currency</t>
  </si>
  <si>
    <t>Rate to ILS (1 unit = ₪)</t>
  </si>
  <si>
    <t>Notes</t>
  </si>
  <si>
    <t>EUR</t>
  </si>
  <si>
    <t>EUR/ILS ~0.2916 ILS/EUR as of 2026-07-12 -- update before/during trip</t>
  </si>
  <si>
    <t>GBP</t>
  </si>
  <si>
    <t>GBP/ILS ~0.249 ILS/GBP as of 2026-07-12</t>
  </si>
  <si>
    <t>NOK</t>
  </si>
  <si>
    <t>NOK/ILS ~0.3107 as of 2026-07-12</t>
  </si>
  <si>
    <t>ILS</t>
  </si>
  <si>
    <t>Base currency</t>
  </si>
  <si>
    <t>Source</t>
  </si>
  <si>
    <t>Amount</t>
  </si>
  <si>
    <t>ILS Equivalent</t>
  </si>
  <si>
    <t>Counted in Baseline?</t>
  </si>
  <si>
    <t>Military service grant</t>
  </si>
  <si>
    <t>Yes</t>
  </si>
  <si>
    <t>Confirmed</t>
  </si>
  <si>
    <t>Savings (last 2 months)</t>
  </si>
  <si>
    <t>Parental help (backup)</t>
  </si>
  <si>
    <t>No</t>
  </si>
  <si>
    <t>Not a fixed amount -- covers travel costs + small things as needed. Treat as a safety buffer, not part of the baseline math. Update if a number firms up.</t>
  </si>
  <si>
    <t>Work/volunteer exchange (estimated savings)</t>
  </si>
  <si>
    <t>Estimate only -- assumes ~2-3 weeks of room+board covered somewhere on the trip. Adjust once an exchange is actually arranged.</t>
  </si>
  <si>
    <t>TOTAL CONFIRMED BASELINE (ILS)</t>
  </si>
  <si>
    <t>TOTAL INCLUDING BUFFERS (ILS)</t>
  </si>
  <si>
    <t>Leg</t>
  </si>
  <si>
    <t>Start Date</t>
  </si>
  <si>
    <t>End Date</t>
  </si>
  <si>
    <t>Days</t>
  </si>
  <si>
    <t>Local Currency</t>
  </si>
  <si>
    <t>Daily Budget - Low</t>
  </si>
  <si>
    <t>Daily Budget - High</t>
  </si>
  <si>
    <t>Total - Low (Local)</t>
  </si>
  <si>
    <t>Total - High (Local)</t>
  </si>
  <si>
    <t>Rate to ILS</t>
  </si>
  <si>
    <t>Total - Low (ILS)</t>
  </si>
  <si>
    <t>Total - High (ILS)</t>
  </si>
  <si>
    <t>Norway</t>
  </si>
  <si>
    <t>Frugal-high range assumes mixed wild camping (allemannsretten, free) / DNT huts / occasional hostel, self-catering most meals. Most expensive leg per day -- the real budget risk.</t>
  </si>
  <si>
    <t>London</t>
  </si>
  <si>
    <t>Hostel dorm + self-catering some meals + advance transport tickets, per UK backpacker averages.</t>
  </si>
  <si>
    <t>Scotland</t>
  </si>
  <si>
    <t>Similar to London, slightly cheaper outside the capital.</t>
  </si>
  <si>
    <t>Ireland</t>
  </si>
  <si>
    <t>Avoid Dublin hostel premium where possible -- prices spike hard there.</t>
  </si>
  <si>
    <t>Portugal</t>
  </si>
  <si>
    <t>Cheapest of the non-Norway legs; cheaper still outside Lisbon/Porto.</t>
  </si>
  <si>
    <t>Pre-Trip Gear &amp; Insurance</t>
  </si>
  <si>
    <t>-</t>
  </si>
  <si>
    <t>Travel insurance, hiking/camping gear, DNT membership, etc. Edit directly -- not day-rate based.</t>
  </si>
  <si>
    <t>Emergency Buffer</t>
  </si>
  <si>
    <t>Unplanned costs: missed connections, gear replacement, illness. Edit directly.</t>
  </si>
  <si>
    <t>TOTAL</t>
  </si>
  <si>
    <t>Date</t>
  </si>
  <si>
    <t>Leg / Location</t>
  </si>
  <si>
    <t>Category</t>
  </si>
  <si>
    <t>Description</t>
  </si>
  <si>
    <t>Amount (Local)</t>
  </si>
  <si>
    <t>Amount (ILS)</t>
  </si>
  <si>
    <t>Running Total (ILS)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</si>
</sst>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₪&quot;"/>
    <numFmt numFmtId="165" formatCode="yyyy\-mm\-dd"/>
  </numFmts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6"/>
      <color rgb="FF2F5496"/>
      <name val="Arial"/>
      <family val="2"/>
    </font>
    <font>
      <i/>
      <sz val="11"/>
      <color rgb="FF595959"/>
      <name val="Arial"/>
      <family val="2"/>
    </font>
    <font>
      <b/>
      <sz val="12"/>
      <color rgb="FF2F549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165" fontId="0" fillId="0" borderId="1" xfId="0" applyNumberFormat="1" applyBorder="1"/>
    <xf numFmtId="164" fontId="0" fillId="0" borderId="1" xfId="0" applyNumberFormat="1" applyBorder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4.25" x14ac:dyDescent="0.65"/>
  <cols>
    <col min="1" max="1" width="38" customWidth="1"/>
    <col min="2" max="2" width="18" customWidth="1"/>
    <col min="3" max="3" width="55" customWidth="1"/>
  </cols>
  <sheetData>
    <row r="1" spans="1:2" ht="20.5" x14ac:dyDescent="0.9">
      <c r="A1" s="1" t="s">
        <v>0</v>
      </c>
    </row>
    <row r="2" spans="1:2" x14ac:dyDescent="0.65">
      <c r="A2" s="2" t="s">
        <v>1</v>
      </c>
    </row>
    <row r="3" spans="1:2" x14ac:dyDescent="0.65">
      <c r="A3" t="s">
        <v>2</v>
      </c>
      <c r="B3" s="3">
        <v>46215</v>
      </c>
    </row>
    <row r="5" spans="1:2" ht="15.5" x14ac:dyDescent="0.7">
      <c r="A5" s="4" t="s">
        <v>3</v>
      </c>
    </row>
    <row r="6" spans="1:2" x14ac:dyDescent="0.65">
      <c r="A6" t="s">
        <v>4</v>
      </c>
      <c r="B6" s="5">
        <f>'Funding Sources'!D7</f>
        <v>18000</v>
      </c>
    </row>
    <row r="7" spans="1:2" x14ac:dyDescent="0.65">
      <c r="A7" t="s">
        <v>5</v>
      </c>
      <c r="B7" s="5">
        <f>'Funding Sources'!D4</f>
        <v>0</v>
      </c>
    </row>
    <row r="8" spans="1:2" x14ac:dyDescent="0.65">
      <c r="A8" t="s">
        <v>6</v>
      </c>
      <c r="B8" s="5">
        <f>'Funding Sources'!D5</f>
        <v>1500</v>
      </c>
    </row>
    <row r="9" spans="1:2" ht="14.5" x14ac:dyDescent="0.7">
      <c r="A9" s="6" t="s">
        <v>7</v>
      </c>
      <c r="B9" s="7">
        <f>B6+B7+B8</f>
        <v>19500</v>
      </c>
    </row>
    <row r="11" spans="1:2" ht="15.5" x14ac:dyDescent="0.7">
      <c r="A11" s="4" t="s">
        <v>8</v>
      </c>
    </row>
    <row r="12" spans="1:2" x14ac:dyDescent="0.65">
      <c r="A12" t="s">
        <v>9</v>
      </c>
      <c r="B12" s="5">
        <f>'Budget Plan'!K10</f>
        <v>18653.849999999999</v>
      </c>
    </row>
    <row r="13" spans="1:2" x14ac:dyDescent="0.65">
      <c r="A13" t="s">
        <v>10</v>
      </c>
      <c r="B13" s="5">
        <f>'Budget Plan'!L10</f>
        <v>29345.75</v>
      </c>
    </row>
    <row r="15" spans="1:2" ht="15.5" x14ac:dyDescent="0.7">
      <c r="A15" s="4" t="s">
        <v>11</v>
      </c>
    </row>
    <row r="16" spans="1:2" x14ac:dyDescent="0.65">
      <c r="A16" t="s">
        <v>12</v>
      </c>
      <c r="B16" s="5">
        <f>B6-B12</f>
        <v>-653.84999999999854</v>
      </c>
    </row>
    <row r="17" spans="1:2" x14ac:dyDescent="0.65">
      <c r="A17" t="s">
        <v>13</v>
      </c>
      <c r="B17" s="5">
        <f>B6-B13</f>
        <v>-11345.75</v>
      </c>
    </row>
    <row r="18" spans="1:2" x14ac:dyDescent="0.65">
      <c r="A18" t="s">
        <v>14</v>
      </c>
      <c r="B18" s="5">
        <f>B9-B12</f>
        <v>846.15000000000146</v>
      </c>
    </row>
    <row r="19" spans="1:2" x14ac:dyDescent="0.65">
      <c r="A19" t="s">
        <v>15</v>
      </c>
      <c r="B19" s="5">
        <f>B9-B13</f>
        <v>-9845.75</v>
      </c>
    </row>
    <row r="21" spans="1:2" ht="15.5" x14ac:dyDescent="0.7">
      <c r="A21" s="4" t="s">
        <v>16</v>
      </c>
    </row>
    <row r="22" spans="1:2" x14ac:dyDescent="0.65">
      <c r="A22" t="s">
        <v>17</v>
      </c>
      <c r="B22" s="5">
        <f>SUM('Expense Log'!H:H)</f>
        <v>0</v>
      </c>
    </row>
    <row r="23" spans="1:2" x14ac:dyDescent="0.65">
      <c r="A23" t="s">
        <v>18</v>
      </c>
      <c r="B23" s="5">
        <f>B6-B22</f>
        <v>18000</v>
      </c>
    </row>
    <row r="24" spans="1:2" x14ac:dyDescent="0.65">
      <c r="A24" t="s">
        <v>19</v>
      </c>
      <c r="B24" s="5">
        <f>B9-B22</f>
        <v>19500</v>
      </c>
    </row>
    <row r="26" spans="1:2" ht="15.5" x14ac:dyDescent="0.7">
      <c r="A26" s="4" t="s">
        <v>20</v>
      </c>
    </row>
    <row r="27" spans="1:2" x14ac:dyDescent="0.65">
      <c r="A27" t="s">
        <v>21</v>
      </c>
      <c r="B27" s="5">
        <f>SUMIF('Expense Log'!C:C,A27,'Expense Log'!H:H)</f>
        <v>0</v>
      </c>
    </row>
    <row r="28" spans="1:2" x14ac:dyDescent="0.65">
      <c r="A28" t="s">
        <v>22</v>
      </c>
      <c r="B28" s="5">
        <f>SUMIF('Expense Log'!C:C,A28,'Expense Log'!H:H)</f>
        <v>0</v>
      </c>
    </row>
    <row r="29" spans="1:2" x14ac:dyDescent="0.65">
      <c r="A29" t="s">
        <v>23</v>
      </c>
      <c r="B29" s="5">
        <f>SUMIF('Expense Log'!C:C,A29,'Expense Log'!H:H)</f>
        <v>0</v>
      </c>
    </row>
    <row r="30" spans="1:2" x14ac:dyDescent="0.65">
      <c r="A30" t="s">
        <v>24</v>
      </c>
      <c r="B30" s="5">
        <f>SUMIF('Expense Log'!C:C,A30,'Expense Log'!H:H)</f>
        <v>0</v>
      </c>
    </row>
    <row r="31" spans="1:2" x14ac:dyDescent="0.65">
      <c r="A31" t="s">
        <v>25</v>
      </c>
      <c r="B31" s="5">
        <f>SUMIF('Expense Log'!C:C,A31,'Expense Log'!H:H)</f>
        <v>0</v>
      </c>
    </row>
    <row r="32" spans="1:2" x14ac:dyDescent="0.65">
      <c r="A32" t="s">
        <v>26</v>
      </c>
      <c r="B32" s="5">
        <f>SUMIF('Expense Log'!C:C,A32,'Expense Log'!H:H)</f>
        <v>0</v>
      </c>
    </row>
    <row r="34" spans="1:3" ht="15.5" x14ac:dyDescent="0.7">
      <c r="A34" s="4" t="s">
        <v>27</v>
      </c>
    </row>
    <row r="35" spans="1:3" ht="30" customHeight="1" x14ac:dyDescent="0.65">
      <c r="A35" s="18" t="s">
        <v>28</v>
      </c>
      <c r="B35" s="19"/>
      <c r="C35" s="19"/>
    </row>
    <row r="36" spans="1:3" ht="30" customHeight="1" x14ac:dyDescent="0.65">
      <c r="A36" s="18" t="s">
        <v>29</v>
      </c>
      <c r="B36" s="19"/>
      <c r="C36" s="19"/>
    </row>
    <row r="37" spans="1:3" ht="30" customHeight="1" x14ac:dyDescent="0.65">
      <c r="A37" s="18" t="s">
        <v>30</v>
      </c>
      <c r="B37" s="19"/>
      <c r="C37" s="19"/>
    </row>
    <row r="38" spans="1:3" ht="30" customHeight="1" x14ac:dyDescent="0.65">
      <c r="A38" s="18" t="s">
        <v>31</v>
      </c>
      <c r="B38" s="19"/>
      <c r="C38" s="19"/>
    </row>
  </sheetData>
  <mergeCells count="4">
    <mergeCell ref="A35:C35"/>
    <mergeCell ref="A37:C37"/>
    <mergeCell ref="A38:C38"/>
    <mergeCell ref="A36:C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25" x14ac:dyDescent="0.65"/>
  <cols>
    <col min="1" max="1" width="12" customWidth="1"/>
    <col min="2" max="2" width="22" customWidth="1"/>
    <col min="3" max="3" width="55" customWidth="1"/>
  </cols>
  <sheetData>
    <row r="1" spans="1:3" ht="14.5" x14ac:dyDescent="0.65">
      <c r="A1" s="8" t="s">
        <v>32</v>
      </c>
      <c r="B1" s="8" t="s">
        <v>33</v>
      </c>
      <c r="C1" s="8" t="s">
        <v>34</v>
      </c>
    </row>
    <row r="2" spans="1:3" x14ac:dyDescent="0.65">
      <c r="A2" s="9" t="s">
        <v>35</v>
      </c>
      <c r="B2" s="10">
        <v>3.43</v>
      </c>
      <c r="C2" s="9" t="s">
        <v>36</v>
      </c>
    </row>
    <row r="3" spans="1:3" x14ac:dyDescent="0.65">
      <c r="A3" s="9" t="s">
        <v>37</v>
      </c>
      <c r="B3" s="10">
        <v>4.0199999999999996</v>
      </c>
      <c r="C3" s="9" t="s">
        <v>38</v>
      </c>
    </row>
    <row r="4" spans="1:3" x14ac:dyDescent="0.65">
      <c r="A4" s="9" t="s">
        <v>39</v>
      </c>
      <c r="B4" s="10">
        <v>0.31</v>
      </c>
      <c r="C4" s="9" t="s">
        <v>40</v>
      </c>
    </row>
    <row r="5" spans="1:3" x14ac:dyDescent="0.65">
      <c r="A5" s="9" t="s">
        <v>41</v>
      </c>
      <c r="B5" s="10">
        <v>1</v>
      </c>
      <c r="C5" s="9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4.25" x14ac:dyDescent="0.65"/>
  <cols>
    <col min="1" max="1" width="38" customWidth="1"/>
    <col min="2" max="2" width="12" customWidth="1"/>
    <col min="3" max="3" width="10" customWidth="1"/>
    <col min="4" max="4" width="16" customWidth="1"/>
    <col min="5" max="5" width="18" customWidth="1"/>
    <col min="6" max="6" width="60" customWidth="1"/>
  </cols>
  <sheetData>
    <row r="1" spans="1:6" ht="29" x14ac:dyDescent="0.65">
      <c r="A1" s="8" t="s">
        <v>43</v>
      </c>
      <c r="B1" s="8" t="s">
        <v>44</v>
      </c>
      <c r="C1" s="8" t="s">
        <v>32</v>
      </c>
      <c r="D1" s="8" t="s">
        <v>45</v>
      </c>
      <c r="E1" s="8" t="s">
        <v>46</v>
      </c>
      <c r="F1" s="8" t="s">
        <v>34</v>
      </c>
    </row>
    <row r="2" spans="1:6" x14ac:dyDescent="0.65">
      <c r="A2" s="11" t="s">
        <v>47</v>
      </c>
      <c r="B2" s="12">
        <v>15000</v>
      </c>
      <c r="C2" s="11" t="s">
        <v>41</v>
      </c>
      <c r="D2" s="13">
        <f>IF(C2="ILS",B2,B2*INDEX(Rates!$B$2:$B$5,MATCH(C2,Rates!$A$2:$A$5,0)))</f>
        <v>15000</v>
      </c>
      <c r="E2" s="11" t="s">
        <v>48</v>
      </c>
      <c r="F2" s="11" t="s">
        <v>49</v>
      </c>
    </row>
    <row r="3" spans="1:6" x14ac:dyDescent="0.65">
      <c r="A3" s="11" t="s">
        <v>50</v>
      </c>
      <c r="B3" s="12">
        <v>3000</v>
      </c>
      <c r="C3" s="11" t="s">
        <v>41</v>
      </c>
      <c r="D3" s="13">
        <f>IF(C3="ILS",B3,B3*INDEX(Rates!$B$2:$B$5,MATCH(C3,Rates!$A$2:$A$5,0)))</f>
        <v>3000</v>
      </c>
      <c r="E3" s="11" t="s">
        <v>48</v>
      </c>
      <c r="F3" s="11" t="s">
        <v>49</v>
      </c>
    </row>
    <row r="4" spans="1:6" ht="42.75" x14ac:dyDescent="0.65">
      <c r="A4" s="11" t="s">
        <v>51</v>
      </c>
      <c r="B4" s="12">
        <v>0</v>
      </c>
      <c r="C4" s="11" t="s">
        <v>41</v>
      </c>
      <c r="D4" s="13">
        <f>IF(C4="ILS",B4,B4*INDEX(Rates!$B$2:$B$5,MATCH(C4,Rates!$A$2:$A$5,0)))</f>
        <v>0</v>
      </c>
      <c r="E4" s="11" t="s">
        <v>52</v>
      </c>
      <c r="F4" s="11" t="s">
        <v>53</v>
      </c>
    </row>
    <row r="5" spans="1:6" ht="28.5" x14ac:dyDescent="0.65">
      <c r="A5" s="11" t="s">
        <v>54</v>
      </c>
      <c r="B5" s="12">
        <v>1500</v>
      </c>
      <c r="C5" s="11" t="s">
        <v>41</v>
      </c>
      <c r="D5" s="13">
        <f>IF(C5="ILS",B5,B5*INDEX(Rates!$B$2:$B$5,MATCH(C5,Rates!$A$2:$A$5,0)))</f>
        <v>1500</v>
      </c>
      <c r="E5" s="11" t="s">
        <v>52</v>
      </c>
      <c r="F5" s="11" t="s">
        <v>55</v>
      </c>
    </row>
    <row r="7" spans="1:6" ht="14.5" x14ac:dyDescent="0.7">
      <c r="A7" s="6" t="s">
        <v>56</v>
      </c>
      <c r="D7" s="7">
        <f>D2+D3</f>
        <v>18000</v>
      </c>
    </row>
    <row r="8" spans="1:6" ht="14.5" x14ac:dyDescent="0.7">
      <c r="A8" s="6" t="s">
        <v>57</v>
      </c>
      <c r="D8" s="7">
        <f>D2+D3+D4+D5</f>
        <v>19500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>
      <pane ySplit="1" topLeftCell="A2" activePane="bottomLeft" state="frozen"/>
      <selection pane="bottomLeft"/>
    </sheetView>
  </sheetViews>
  <sheetFormatPr defaultRowHeight="14.25" x14ac:dyDescent="0.65"/>
  <cols>
    <col min="1" max="1" width="22" customWidth="1"/>
    <col min="2" max="3" width="12" customWidth="1"/>
    <col min="4" max="4" width="7" customWidth="1"/>
    <col min="5" max="5" width="10" customWidth="1"/>
    <col min="6" max="7" width="12" customWidth="1"/>
    <col min="8" max="9" width="14" customWidth="1"/>
    <col min="10" max="10" width="10" customWidth="1"/>
    <col min="11" max="12" width="14" customWidth="1"/>
    <col min="13" max="13" width="45" customWidth="1"/>
  </cols>
  <sheetData>
    <row r="1" spans="1:13" ht="43.5" x14ac:dyDescent="0.65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  <c r="J1" s="8" t="s">
        <v>67</v>
      </c>
      <c r="K1" s="8" t="s">
        <v>68</v>
      </c>
      <c r="L1" s="8" t="s">
        <v>69</v>
      </c>
      <c r="M1" s="8" t="s">
        <v>34</v>
      </c>
    </row>
    <row r="2" spans="1:13" ht="57" x14ac:dyDescent="0.65">
      <c r="A2" s="11" t="s">
        <v>70</v>
      </c>
      <c r="B2" s="14">
        <v>46273</v>
      </c>
      <c r="C2" s="14">
        <v>46300</v>
      </c>
      <c r="D2" s="11">
        <f>C2-B2+1</f>
        <v>28</v>
      </c>
      <c r="E2" s="11" t="s">
        <v>39</v>
      </c>
      <c r="F2" s="12">
        <v>550</v>
      </c>
      <c r="G2" s="12">
        <v>1000</v>
      </c>
      <c r="H2" s="12">
        <f>D2*F2</f>
        <v>15400</v>
      </c>
      <c r="I2" s="12">
        <f>D2*G2</f>
        <v>28000</v>
      </c>
      <c r="J2" s="15">
        <f>INDEX(Rates!$B$2:$B$5,MATCH(E2,Rates!$A$2:$A$5,0))</f>
        <v>0.31</v>
      </c>
      <c r="K2" s="13">
        <f t="shared" ref="K2:K8" si="0">H2*J2</f>
        <v>4774</v>
      </c>
      <c r="L2" s="13">
        <f t="shared" ref="L2:L8" si="1">I2*J2</f>
        <v>8680</v>
      </c>
      <c r="M2" s="11" t="s">
        <v>71</v>
      </c>
    </row>
    <row r="3" spans="1:13" ht="28.5" x14ac:dyDescent="0.65">
      <c r="A3" s="11" t="s">
        <v>72</v>
      </c>
      <c r="B3" s="14">
        <v>46300</v>
      </c>
      <c r="C3" s="14">
        <v>46314</v>
      </c>
      <c r="D3" s="11">
        <f>C3-B3+1</f>
        <v>15</v>
      </c>
      <c r="E3" s="11" t="s">
        <v>37</v>
      </c>
      <c r="F3" s="12">
        <v>40</v>
      </c>
      <c r="G3" s="12">
        <v>60</v>
      </c>
      <c r="H3" s="12">
        <f>D3*F3</f>
        <v>600</v>
      </c>
      <c r="I3" s="12">
        <f>D3*G3</f>
        <v>900</v>
      </c>
      <c r="J3" s="15">
        <f>INDEX(Rates!$B$2:$B$5,MATCH(E3,Rates!$A$2:$A$5,0))</f>
        <v>4.0199999999999996</v>
      </c>
      <c r="K3" s="13">
        <f t="shared" si="0"/>
        <v>2411.9999999999995</v>
      </c>
      <c r="L3" s="13">
        <f t="shared" si="1"/>
        <v>3617.9999999999995</v>
      </c>
      <c r="M3" s="11" t="s">
        <v>73</v>
      </c>
    </row>
    <row r="4" spans="1:13" ht="28.5" x14ac:dyDescent="0.65">
      <c r="A4" s="11" t="s">
        <v>74</v>
      </c>
      <c r="B4" s="14">
        <v>46314</v>
      </c>
      <c r="C4" s="14">
        <v>46328</v>
      </c>
      <c r="D4" s="11">
        <f>C4-B4+1</f>
        <v>15</v>
      </c>
      <c r="E4" s="11" t="s">
        <v>37</v>
      </c>
      <c r="F4" s="12">
        <v>35</v>
      </c>
      <c r="G4" s="12">
        <v>50</v>
      </c>
      <c r="H4" s="12">
        <f>D4*F4</f>
        <v>525</v>
      </c>
      <c r="I4" s="12">
        <f>D4*G4</f>
        <v>750</v>
      </c>
      <c r="J4" s="15">
        <f>INDEX(Rates!$B$2:$B$5,MATCH(E4,Rates!$A$2:$A$5,0))</f>
        <v>4.0199999999999996</v>
      </c>
      <c r="K4" s="13">
        <f t="shared" si="0"/>
        <v>2110.5</v>
      </c>
      <c r="L4" s="13">
        <f t="shared" si="1"/>
        <v>3014.9999999999995</v>
      </c>
      <c r="M4" s="11" t="s">
        <v>75</v>
      </c>
    </row>
    <row r="5" spans="1:13" ht="28.5" x14ac:dyDescent="0.65">
      <c r="A5" s="11" t="s">
        <v>76</v>
      </c>
      <c r="B5" s="14">
        <v>46328</v>
      </c>
      <c r="C5" s="14">
        <v>46342</v>
      </c>
      <c r="D5" s="11">
        <f>C5-B5+1</f>
        <v>15</v>
      </c>
      <c r="E5" s="11" t="s">
        <v>35</v>
      </c>
      <c r="F5" s="12">
        <v>55</v>
      </c>
      <c r="G5" s="12">
        <v>75</v>
      </c>
      <c r="H5" s="12">
        <f>D5*F5</f>
        <v>825</v>
      </c>
      <c r="I5" s="12">
        <f>D5*G5</f>
        <v>1125</v>
      </c>
      <c r="J5" s="15">
        <f>INDEX(Rates!$B$2:$B$5,MATCH(E5,Rates!$A$2:$A$5,0))</f>
        <v>3.43</v>
      </c>
      <c r="K5" s="13">
        <f t="shared" si="0"/>
        <v>2829.75</v>
      </c>
      <c r="L5" s="13">
        <f t="shared" si="1"/>
        <v>3858.75</v>
      </c>
      <c r="M5" s="11" t="s">
        <v>77</v>
      </c>
    </row>
    <row r="6" spans="1:13" ht="28.5" x14ac:dyDescent="0.65">
      <c r="A6" s="11" t="s">
        <v>78</v>
      </c>
      <c r="B6" s="14">
        <v>46342</v>
      </c>
      <c r="C6" s="14">
        <v>46365</v>
      </c>
      <c r="D6" s="11">
        <f>C6-B6+1</f>
        <v>24</v>
      </c>
      <c r="E6" s="11" t="s">
        <v>35</v>
      </c>
      <c r="F6" s="12">
        <v>55</v>
      </c>
      <c r="G6" s="12">
        <v>75</v>
      </c>
      <c r="H6" s="12">
        <f>D6*F6</f>
        <v>1320</v>
      </c>
      <c r="I6" s="12">
        <f>D6*G6</f>
        <v>1800</v>
      </c>
      <c r="J6" s="15">
        <f>INDEX(Rates!$B$2:$B$5,MATCH(E6,Rates!$A$2:$A$5,0))</f>
        <v>3.43</v>
      </c>
      <c r="K6" s="13">
        <f t="shared" si="0"/>
        <v>4527.6000000000004</v>
      </c>
      <c r="L6" s="13">
        <f t="shared" si="1"/>
        <v>6174</v>
      </c>
      <c r="M6" s="11" t="s">
        <v>79</v>
      </c>
    </row>
    <row r="7" spans="1:13" ht="28.5" x14ac:dyDescent="0.65">
      <c r="A7" s="11" t="s">
        <v>80</v>
      </c>
      <c r="B7" s="11"/>
      <c r="C7" s="11"/>
      <c r="D7" s="11" t="s">
        <v>81</v>
      </c>
      <c r="E7" s="11" t="s">
        <v>41</v>
      </c>
      <c r="F7" s="11"/>
      <c r="G7" s="11"/>
      <c r="H7" s="12">
        <v>1500</v>
      </c>
      <c r="I7" s="12">
        <v>2500</v>
      </c>
      <c r="J7" s="15">
        <f>INDEX(Rates!$B$2:$B$5,MATCH(E7,Rates!$A$2:$A$5,0))</f>
        <v>1</v>
      </c>
      <c r="K7" s="13">
        <f t="shared" si="0"/>
        <v>1500</v>
      </c>
      <c r="L7" s="13">
        <f t="shared" si="1"/>
        <v>2500</v>
      </c>
      <c r="M7" s="11" t="s">
        <v>82</v>
      </c>
    </row>
    <row r="8" spans="1:13" ht="28.5" x14ac:dyDescent="0.65">
      <c r="A8" s="11" t="s">
        <v>83</v>
      </c>
      <c r="B8" s="11"/>
      <c r="C8" s="11"/>
      <c r="D8" s="11" t="s">
        <v>81</v>
      </c>
      <c r="E8" s="11" t="s">
        <v>41</v>
      </c>
      <c r="F8" s="11"/>
      <c r="G8" s="11"/>
      <c r="H8" s="12">
        <v>500</v>
      </c>
      <c r="I8" s="12">
        <v>1500</v>
      </c>
      <c r="J8" s="15">
        <f>INDEX(Rates!$B$2:$B$5,MATCH(E8,Rates!$A$2:$A$5,0))</f>
        <v>1</v>
      </c>
      <c r="K8" s="13">
        <f t="shared" si="0"/>
        <v>500</v>
      </c>
      <c r="L8" s="13">
        <f t="shared" si="1"/>
        <v>1500</v>
      </c>
      <c r="M8" s="11" t="s">
        <v>84</v>
      </c>
    </row>
    <row r="10" spans="1:13" ht="14.5" x14ac:dyDescent="0.7">
      <c r="A10" s="6" t="s">
        <v>85</v>
      </c>
      <c r="K10" s="7">
        <f>SUM(K2:K8)</f>
        <v>18653.849999999999</v>
      </c>
      <c r="L10" s="7">
        <f>SUM(L2:L8)</f>
        <v>29345.75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1"/>
  <sheetViews>
    <sheetView workbookViewId="0">
      <pane ySplit="1" topLeftCell="A2" activePane="bottomLeft" state="frozen"/>
      <selection pane="bottomLeft"/>
    </sheetView>
  </sheetViews>
  <sheetFormatPr defaultRowHeight="14.25" x14ac:dyDescent="0.65"/>
  <cols>
    <col min="1" max="1" width="12" customWidth="1"/>
    <col min="2" max="3" width="16" customWidth="1"/>
    <col min="4" max="4" width="28" customWidth="1"/>
    <col min="5" max="5" width="10" customWidth="1"/>
    <col min="6" max="6" width="14" customWidth="1"/>
    <col min="7" max="7" width="10" customWidth="1"/>
    <col min="8" max="8" width="14" customWidth="1"/>
    <col min="9" max="9" width="16" customWidth="1"/>
    <col min="10" max="10" width="30" customWidth="1"/>
  </cols>
  <sheetData>
    <row r="1" spans="1:10" ht="29" x14ac:dyDescent="0.65">
      <c r="A1" s="8" t="s">
        <v>86</v>
      </c>
      <c r="B1" s="8" t="s">
        <v>87</v>
      </c>
      <c r="C1" s="8" t="s">
        <v>88</v>
      </c>
      <c r="D1" s="8" t="s">
        <v>89</v>
      </c>
      <c r="E1" s="8" t="s">
        <v>32</v>
      </c>
      <c r="F1" s="8" t="s">
        <v>90</v>
      </c>
      <c r="G1" s="8" t="s">
        <v>67</v>
      </c>
      <c r="H1" s="8" t="s">
        <v>91</v>
      </c>
      <c r="I1" s="8" t="s">
        <v>92</v>
      </c>
      <c r="J1" s="8" t="s">
        <v>34</v>
      </c>
    </row>
    <row r="2" spans="1:10" x14ac:dyDescent="0.65">
      <c r="A2" s="16"/>
      <c r="B2" s="9"/>
      <c r="C2" s="9"/>
      <c r="D2" s="9"/>
      <c r="E2" s="9"/>
      <c r="F2" s="9"/>
      <c r="G2" s="10" t="str">
        <f>IF(E2="","",INDEX(Rates!$B$2:$B$5,MATCH(E2,Rates!$A$2:$A$5,0)))</f>
        <v/>
      </c>
      <c r="H2" s="17" t="str">
        <f t="shared" ref="H2:H65" si="0">IF(F2="","",F2*G2)</f>
        <v/>
      </c>
      <c r="I2" s="17" t="str">
        <f>IF(H2="","",SUM($H$2:H2))</f>
        <v/>
      </c>
      <c r="J2" s="9"/>
    </row>
    <row r="3" spans="1:10" x14ac:dyDescent="0.65">
      <c r="A3" s="16"/>
      <c r="B3" s="9"/>
      <c r="C3" s="9"/>
      <c r="D3" s="9"/>
      <c r="E3" s="9"/>
      <c r="F3" s="9"/>
      <c r="G3" s="10" t="str">
        <f>IF(E3="","",INDEX(Rates!$B$2:$B$5,MATCH(E3,Rates!$A$2:$A$5,0)))</f>
        <v/>
      </c>
      <c r="H3" s="17" t="str">
        <f t="shared" si="0"/>
        <v/>
      </c>
      <c r="I3" s="17" t="str">
        <f>IF(H3="","",SUM($H$2:H3))</f>
        <v/>
      </c>
      <c r="J3" s="9"/>
    </row>
    <row r="4" spans="1:10" x14ac:dyDescent="0.65">
      <c r="A4" s="16"/>
      <c r="B4" s="9"/>
      <c r="C4" s="9"/>
      <c r="D4" s="9"/>
      <c r="E4" s="9"/>
      <c r="F4" s="9"/>
      <c r="G4" s="10" t="str">
        <f>IF(E4="","",INDEX(Rates!$B$2:$B$5,MATCH(E4,Rates!$A$2:$A$5,0)))</f>
        <v/>
      </c>
      <c r="H4" s="17" t="str">
        <f t="shared" si="0"/>
        <v/>
      </c>
      <c r="I4" s="17" t="str">
        <f>IF(H4="","",SUM($H$2:H4))</f>
        <v/>
      </c>
      <c r="J4" s="9"/>
    </row>
    <row r="5" spans="1:10" x14ac:dyDescent="0.65">
      <c r="A5" s="16"/>
      <c r="B5" s="9"/>
      <c r="C5" s="9"/>
      <c r="D5" s="9"/>
      <c r="E5" s="9"/>
      <c r="F5" s="9"/>
      <c r="G5" s="10" t="str">
        <f>IF(E5="","",INDEX(Rates!$B$2:$B$5,MATCH(E5,Rates!$A$2:$A$5,0)))</f>
        <v/>
      </c>
      <c r="H5" s="17" t="str">
        <f t="shared" si="0"/>
        <v/>
      </c>
      <c r="I5" s="17" t="str">
        <f>IF(H5="","",SUM($H$2:H5))</f>
        <v/>
      </c>
      <c r="J5" s="9"/>
    </row>
    <row r="6" spans="1:10" x14ac:dyDescent="0.65">
      <c r="A6" s="16"/>
      <c r="B6" s="9"/>
      <c r="C6" s="9"/>
      <c r="D6" s="9"/>
      <c r="E6" s="9"/>
      <c r="F6" s="9"/>
      <c r="G6" s="10" t="str">
        <f>IF(E6="","",INDEX(Rates!$B$2:$B$5,MATCH(E6,Rates!$A$2:$A$5,0)))</f>
        <v/>
      </c>
      <c r="H6" s="17" t="str">
        <f t="shared" si="0"/>
        <v/>
      </c>
      <c r="I6" s="17" t="str">
        <f>IF(H6="","",SUM($H$2:H6))</f>
        <v/>
      </c>
      <c r="J6" s="9"/>
    </row>
    <row r="7" spans="1:10" x14ac:dyDescent="0.65">
      <c r="A7" s="16"/>
      <c r="B7" s="9"/>
      <c r="C7" s="9"/>
      <c r="D7" s="9"/>
      <c r="E7" s="9"/>
      <c r="F7" s="9"/>
      <c r="G7" s="10" t="str">
        <f>IF(E7="","",INDEX(Rates!$B$2:$B$5,MATCH(E7,Rates!$A$2:$A$5,0)))</f>
        <v/>
      </c>
      <c r="H7" s="17" t="str">
        <f t="shared" si="0"/>
        <v/>
      </c>
      <c r="I7" s="17" t="str">
        <f>IF(H7="","",SUM($H$2:H7))</f>
        <v/>
      </c>
      <c r="J7" s="9"/>
    </row>
    <row r="8" spans="1:10" x14ac:dyDescent="0.65">
      <c r="A8" s="16"/>
      <c r="B8" s="9"/>
      <c r="C8" s="9"/>
      <c r="D8" s="9"/>
      <c r="E8" s="9"/>
      <c r="F8" s="9"/>
      <c r="G8" s="10" t="str">
        <f>IF(E8="","",INDEX(Rates!$B$2:$B$5,MATCH(E8,Rates!$A$2:$A$5,0)))</f>
        <v/>
      </c>
      <c r="H8" s="17" t="str">
        <f t="shared" si="0"/>
        <v/>
      </c>
      <c r="I8" s="17" t="str">
        <f>IF(H8="","",SUM($H$2:H8))</f>
        <v/>
      </c>
      <c r="J8" s="9"/>
    </row>
    <row r="9" spans="1:10" x14ac:dyDescent="0.65">
      <c r="A9" s="16"/>
      <c r="B9" s="9"/>
      <c r="C9" s="9"/>
      <c r="D9" s="9"/>
      <c r="E9" s="9"/>
      <c r="F9" s="9"/>
      <c r="G9" s="10" t="str">
        <f>IF(E9="","",INDEX(Rates!$B$2:$B$5,MATCH(E9,Rates!$A$2:$A$5,0)))</f>
        <v/>
      </c>
      <c r="H9" s="17" t="str">
        <f t="shared" si="0"/>
        <v/>
      </c>
      <c r="I9" s="17" t="str">
        <f>IF(H9="","",SUM($H$2:H9))</f>
        <v/>
      </c>
      <c r="J9" s="9"/>
    </row>
    <row r="10" spans="1:10" x14ac:dyDescent="0.65">
      <c r="A10" s="16"/>
      <c r="B10" s="9"/>
      <c r="C10" s="9"/>
      <c r="D10" s="9"/>
      <c r="E10" s="9"/>
      <c r="F10" s="9"/>
      <c r="G10" s="10" t="str">
        <f>IF(E10="","",INDEX(Rates!$B$2:$B$5,MATCH(E10,Rates!$A$2:$A$5,0)))</f>
        <v/>
      </c>
      <c r="H10" s="17" t="str">
        <f t="shared" si="0"/>
        <v/>
      </c>
      <c r="I10" s="17" t="str">
        <f>IF(H10="","",SUM($H$2:H10))</f>
        <v/>
      </c>
      <c r="J10" s="9"/>
    </row>
    <row r="11" spans="1:10" x14ac:dyDescent="0.65">
      <c r="A11" s="16"/>
      <c r="B11" s="9"/>
      <c r="C11" s="9"/>
      <c r="D11" s="9"/>
      <c r="E11" s="9"/>
      <c r="F11" s="9"/>
      <c r="G11" s="10" t="str">
        <f>IF(E11="","",INDEX(Rates!$B$2:$B$5,MATCH(E11,Rates!$A$2:$A$5,0)))</f>
        <v/>
      </c>
      <c r="H11" s="17" t="str">
        <f t="shared" si="0"/>
        <v/>
      </c>
      <c r="I11" s="17" t="str">
        <f>IF(H11="","",SUM($H$2:H11))</f>
        <v/>
      </c>
      <c r="J11" s="9"/>
    </row>
    <row r="12" spans="1:10" x14ac:dyDescent="0.65">
      <c r="A12" s="16"/>
      <c r="B12" s="9"/>
      <c r="C12" s="9"/>
      <c r="D12" s="9"/>
      <c r="E12" s="9"/>
      <c r="F12" s="9"/>
      <c r="G12" s="10" t="str">
        <f>IF(E12="","",INDEX(Rates!$B$2:$B$5,MATCH(E12,Rates!$A$2:$A$5,0)))</f>
        <v/>
      </c>
      <c r="H12" s="17" t="str">
        <f t="shared" si="0"/>
        <v/>
      </c>
      <c r="I12" s="17" t="str">
        <f>IF(H12="","",SUM($H$2:H12))</f>
        <v/>
      </c>
      <c r="J12" s="9"/>
    </row>
    <row r="13" spans="1:10" x14ac:dyDescent="0.65">
      <c r="A13" s="16"/>
      <c r="B13" s="9"/>
      <c r="C13" s="9"/>
      <c r="D13" s="9"/>
      <c r="E13" s="9"/>
      <c r="F13" s="9"/>
      <c r="G13" s="10" t="str">
        <f>IF(E13="","",INDEX(Rates!$B$2:$B$5,MATCH(E13,Rates!$A$2:$A$5,0)))</f>
        <v/>
      </c>
      <c r="H13" s="17" t="str">
        <f t="shared" si="0"/>
        <v/>
      </c>
      <c r="I13" s="17" t="str">
        <f>IF(H13="","",SUM($H$2:H13))</f>
        <v/>
      </c>
      <c r="J13" s="9"/>
    </row>
    <row r="14" spans="1:10" x14ac:dyDescent="0.65">
      <c r="A14" s="16"/>
      <c r="B14" s="9"/>
      <c r="C14" s="9"/>
      <c r="D14" s="9"/>
      <c r="E14" s="9"/>
      <c r="F14" s="9"/>
      <c r="G14" s="10" t="str">
        <f>IF(E14="","",INDEX(Rates!$B$2:$B$5,MATCH(E14,Rates!$A$2:$A$5,0)))</f>
        <v/>
      </c>
      <c r="H14" s="17" t="str">
        <f t="shared" si="0"/>
        <v/>
      </c>
      <c r="I14" s="17" t="str">
        <f>IF(H14="","",SUM($H$2:H14))</f>
        <v/>
      </c>
      <c r="J14" s="9"/>
    </row>
    <row r="15" spans="1:10" x14ac:dyDescent="0.65">
      <c r="A15" s="16"/>
      <c r="B15" s="9"/>
      <c r="C15" s="9"/>
      <c r="D15" s="9"/>
      <c r="E15" s="9"/>
      <c r="F15" s="9"/>
      <c r="G15" s="10" t="str">
        <f>IF(E15="","",INDEX(Rates!$B$2:$B$5,MATCH(E15,Rates!$A$2:$A$5,0)))</f>
        <v/>
      </c>
      <c r="H15" s="17" t="str">
        <f t="shared" si="0"/>
        <v/>
      </c>
      <c r="I15" s="17" t="str">
        <f>IF(H15="","",SUM($H$2:H15))</f>
        <v/>
      </c>
      <c r="J15" s="9"/>
    </row>
    <row r="16" spans="1:10" x14ac:dyDescent="0.65">
      <c r="A16" s="16"/>
      <c r="B16" s="9"/>
      <c r="C16" s="9"/>
      <c r="D16" s="9"/>
      <c r="E16" s="9"/>
      <c r="F16" s="9"/>
      <c r="G16" s="10" t="str">
        <f>IF(E16="","",INDEX(Rates!$B$2:$B$5,MATCH(E16,Rates!$A$2:$A$5,0)))</f>
        <v/>
      </c>
      <c r="H16" s="17" t="str">
        <f t="shared" si="0"/>
        <v/>
      </c>
      <c r="I16" s="17" t="str">
        <f>IF(H16="","",SUM($H$2:H16))</f>
        <v/>
      </c>
      <c r="J16" s="9"/>
    </row>
    <row r="17" spans="1:10" x14ac:dyDescent="0.65">
      <c r="A17" s="16"/>
      <c r="B17" s="9"/>
      <c r="C17" s="9"/>
      <c r="D17" s="9"/>
      <c r="E17" s="9"/>
      <c r="F17" s="9"/>
      <c r="G17" s="10" t="str">
        <f>IF(E17="","",INDEX(Rates!$B$2:$B$5,MATCH(E17,Rates!$A$2:$A$5,0)))</f>
        <v/>
      </c>
      <c r="H17" s="17" t="str">
        <f t="shared" si="0"/>
        <v/>
      </c>
      <c r="I17" s="17" t="str">
        <f>IF(H17="","",SUM($H$2:H17))</f>
        <v/>
      </c>
      <c r="J17" s="9"/>
    </row>
    <row r="18" spans="1:10" x14ac:dyDescent="0.65">
      <c r="A18" s="16"/>
      <c r="B18" s="9"/>
      <c r="C18" s="9"/>
      <c r="D18" s="9"/>
      <c r="E18" s="9"/>
      <c r="F18" s="9"/>
      <c r="G18" s="10" t="str">
        <f>IF(E18="","",INDEX(Rates!$B$2:$B$5,MATCH(E18,Rates!$A$2:$A$5,0)))</f>
        <v/>
      </c>
      <c r="H18" s="17" t="str">
        <f t="shared" si="0"/>
        <v/>
      </c>
      <c r="I18" s="17" t="str">
        <f>IF(H18="","",SUM($H$2:H18))</f>
        <v/>
      </c>
      <c r="J18" s="9"/>
    </row>
    <row r="19" spans="1:10" x14ac:dyDescent="0.65">
      <c r="A19" s="16"/>
      <c r="B19" s="9"/>
      <c r="C19" s="9"/>
      <c r="D19" s="9"/>
      <c r="E19" s="9"/>
      <c r="F19" s="9"/>
      <c r="G19" s="10" t="str">
        <f>IF(E19="","",INDEX(Rates!$B$2:$B$5,MATCH(E19,Rates!$A$2:$A$5,0)))</f>
        <v/>
      </c>
      <c r="H19" s="17" t="str">
        <f t="shared" si="0"/>
        <v/>
      </c>
      <c r="I19" s="17" t="str">
        <f>IF(H19="","",SUM($H$2:H19))</f>
        <v/>
      </c>
      <c r="J19" s="9"/>
    </row>
    <row r="20" spans="1:10" x14ac:dyDescent="0.65">
      <c r="A20" s="16"/>
      <c r="B20" s="9"/>
      <c r="C20" s="9"/>
      <c r="D20" s="9"/>
      <c r="E20" s="9"/>
      <c r="F20" s="9"/>
      <c r="G20" s="10" t="str">
        <f>IF(E20="","",INDEX(Rates!$B$2:$B$5,MATCH(E20,Rates!$A$2:$A$5,0)))</f>
        <v/>
      </c>
      <c r="H20" s="17" t="str">
        <f t="shared" si="0"/>
        <v/>
      </c>
      <c r="I20" s="17" t="str">
        <f>IF(H20="","",SUM($H$2:H20))</f>
        <v/>
      </c>
      <c r="J20" s="9"/>
    </row>
    <row r="21" spans="1:10" x14ac:dyDescent="0.65">
      <c r="A21" s="16"/>
      <c r="B21" s="9"/>
      <c r="C21" s="9"/>
      <c r="D21" s="9"/>
      <c r="E21" s="9"/>
      <c r="F21" s="9"/>
      <c r="G21" s="10" t="str">
        <f>IF(E21="","",INDEX(Rates!$B$2:$B$5,MATCH(E21,Rates!$A$2:$A$5,0)))</f>
        <v/>
      </c>
      <c r="H21" s="17" t="str">
        <f t="shared" si="0"/>
        <v/>
      </c>
      <c r="I21" s="17" t="str">
        <f>IF(H21="","",SUM($H$2:H21))</f>
        <v/>
      </c>
      <c r="J21" s="9"/>
    </row>
    <row r="22" spans="1:10" x14ac:dyDescent="0.65">
      <c r="A22" s="16"/>
      <c r="B22" s="9"/>
      <c r="C22" s="9"/>
      <c r="D22" s="9"/>
      <c r="E22" s="9"/>
      <c r="F22" s="9"/>
      <c r="G22" s="10" t="str">
        <f>IF(E22="","",INDEX(Rates!$B$2:$B$5,MATCH(E22,Rates!$A$2:$A$5,0)))</f>
        <v/>
      </c>
      <c r="H22" s="17" t="str">
        <f t="shared" si="0"/>
        <v/>
      </c>
      <c r="I22" s="17" t="str">
        <f>IF(H22="","",SUM($H$2:H22))</f>
        <v/>
      </c>
      <c r="J22" s="9"/>
    </row>
    <row r="23" spans="1:10" x14ac:dyDescent="0.65">
      <c r="A23" s="16"/>
      <c r="B23" s="9"/>
      <c r="C23" s="9"/>
      <c r="D23" s="9"/>
      <c r="E23" s="9"/>
      <c r="F23" s="9"/>
      <c r="G23" s="10" t="str">
        <f>IF(E23="","",INDEX(Rates!$B$2:$B$5,MATCH(E23,Rates!$A$2:$A$5,0)))</f>
        <v/>
      </c>
      <c r="H23" s="17" t="str">
        <f t="shared" si="0"/>
        <v/>
      </c>
      <c r="I23" s="17" t="str">
        <f>IF(H23="","",SUM($H$2:H23))</f>
        <v/>
      </c>
      <c r="J23" s="9"/>
    </row>
    <row r="24" spans="1:10" x14ac:dyDescent="0.65">
      <c r="A24" s="16"/>
      <c r="B24" s="9"/>
      <c r="C24" s="9"/>
      <c r="D24" s="9"/>
      <c r="E24" s="9"/>
      <c r="F24" s="9"/>
      <c r="G24" s="10" t="str">
        <f>IF(E24="","",INDEX(Rates!$B$2:$B$5,MATCH(E24,Rates!$A$2:$A$5,0)))</f>
        <v/>
      </c>
      <c r="H24" s="17" t="str">
        <f t="shared" si="0"/>
        <v/>
      </c>
      <c r="I24" s="17" t="str">
        <f>IF(H24="","",SUM($H$2:H24))</f>
        <v/>
      </c>
      <c r="J24" s="9"/>
    </row>
    <row r="25" spans="1:10" x14ac:dyDescent="0.65">
      <c r="A25" s="16"/>
      <c r="B25" s="9"/>
      <c r="C25" s="9"/>
      <c r="D25" s="9"/>
      <c r="E25" s="9"/>
      <c r="F25" s="9"/>
      <c r="G25" s="10" t="str">
        <f>IF(E25="","",INDEX(Rates!$B$2:$B$5,MATCH(E25,Rates!$A$2:$A$5,0)))</f>
        <v/>
      </c>
      <c r="H25" s="17" t="str">
        <f t="shared" si="0"/>
        <v/>
      </c>
      <c r="I25" s="17" t="str">
        <f>IF(H25="","",SUM($H$2:H25))</f>
        <v/>
      </c>
      <c r="J25" s="9"/>
    </row>
    <row r="26" spans="1:10" x14ac:dyDescent="0.65">
      <c r="A26" s="16"/>
      <c r="B26" s="9"/>
      <c r="C26" s="9"/>
      <c r="D26" s="9"/>
      <c r="E26" s="9"/>
      <c r="F26" s="9"/>
      <c r="G26" s="10" t="str">
        <f>IF(E26="","",INDEX(Rates!$B$2:$B$5,MATCH(E26,Rates!$A$2:$A$5,0)))</f>
        <v/>
      </c>
      <c r="H26" s="17" t="str">
        <f t="shared" si="0"/>
        <v/>
      </c>
      <c r="I26" s="17" t="str">
        <f>IF(H26="","",SUM($H$2:H26))</f>
        <v/>
      </c>
      <c r="J26" s="9"/>
    </row>
    <row r="27" spans="1:10" x14ac:dyDescent="0.65">
      <c r="A27" s="16"/>
      <c r="B27" s="9"/>
      <c r="C27" s="9"/>
      <c r="D27" s="9"/>
      <c r="E27" s="9"/>
      <c r="F27" s="9"/>
      <c r="G27" s="10" t="str">
        <f>IF(E27="","",INDEX(Rates!$B$2:$B$5,MATCH(E27,Rates!$A$2:$A$5,0)))</f>
        <v/>
      </c>
      <c r="H27" s="17" t="str">
        <f t="shared" si="0"/>
        <v/>
      </c>
      <c r="I27" s="17" t="str">
        <f>IF(H27="","",SUM($H$2:H27))</f>
        <v/>
      </c>
      <c r="J27" s="9"/>
    </row>
    <row r="28" spans="1:10" x14ac:dyDescent="0.65">
      <c r="A28" s="16"/>
      <c r="B28" s="9"/>
      <c r="C28" s="9"/>
      <c r="D28" s="9"/>
      <c r="E28" s="9"/>
      <c r="F28" s="9"/>
      <c r="G28" s="10" t="str">
        <f>IF(E28="","",INDEX(Rates!$B$2:$B$5,MATCH(E28,Rates!$A$2:$A$5,0)))</f>
        <v/>
      </c>
      <c r="H28" s="17" t="str">
        <f t="shared" si="0"/>
        <v/>
      </c>
      <c r="I28" s="17" t="str">
        <f>IF(H28="","",SUM($H$2:H28))</f>
        <v/>
      </c>
      <c r="J28" s="9"/>
    </row>
    <row r="29" spans="1:10" x14ac:dyDescent="0.65">
      <c r="A29" s="16"/>
      <c r="B29" s="9"/>
      <c r="C29" s="9"/>
      <c r="D29" s="9"/>
      <c r="E29" s="9"/>
      <c r="F29" s="9"/>
      <c r="G29" s="10" t="str">
        <f>IF(E29="","",INDEX(Rates!$B$2:$B$5,MATCH(E29,Rates!$A$2:$A$5,0)))</f>
        <v/>
      </c>
      <c r="H29" s="17" t="str">
        <f t="shared" si="0"/>
        <v/>
      </c>
      <c r="I29" s="17" t="str">
        <f>IF(H29="","",SUM($H$2:H29))</f>
        <v/>
      </c>
      <c r="J29" s="9"/>
    </row>
    <row r="30" spans="1:10" x14ac:dyDescent="0.65">
      <c r="A30" s="16"/>
      <c r="B30" s="9"/>
      <c r="C30" s="9"/>
      <c r="D30" s="9"/>
      <c r="E30" s="9"/>
      <c r="F30" s="9"/>
      <c r="G30" s="10" t="str">
        <f>IF(E30="","",INDEX(Rates!$B$2:$B$5,MATCH(E30,Rates!$A$2:$A$5,0)))</f>
        <v/>
      </c>
      <c r="H30" s="17" t="str">
        <f t="shared" si="0"/>
        <v/>
      </c>
      <c r="I30" s="17" t="str">
        <f>IF(H30="","",SUM($H$2:H30))</f>
        <v/>
      </c>
      <c r="J30" s="9"/>
    </row>
    <row r="31" spans="1:10" x14ac:dyDescent="0.65">
      <c r="A31" s="16"/>
      <c r="B31" s="9"/>
      <c r="C31" s="9"/>
      <c r="D31" s="9"/>
      <c r="E31" s="9"/>
      <c r="F31" s="9"/>
      <c r="G31" s="10" t="str">
        <f>IF(E31="","",INDEX(Rates!$B$2:$B$5,MATCH(E31,Rates!$A$2:$A$5,0)))</f>
        <v/>
      </c>
      <c r="H31" s="17" t="str">
        <f t="shared" si="0"/>
        <v/>
      </c>
      <c r="I31" s="17" t="str">
        <f>IF(H31="","",SUM($H$2:H31))</f>
        <v/>
      </c>
      <c r="J31" s="9"/>
    </row>
    <row r="32" spans="1:10" x14ac:dyDescent="0.65">
      <c r="A32" s="16"/>
      <c r="B32" s="9"/>
      <c r="C32" s="9"/>
      <c r="D32" s="9"/>
      <c r="E32" s="9"/>
      <c r="F32" s="9"/>
      <c r="G32" s="10" t="str">
        <f>IF(E32="","",INDEX(Rates!$B$2:$B$5,MATCH(E32,Rates!$A$2:$A$5,0)))</f>
        <v/>
      </c>
      <c r="H32" s="17" t="str">
        <f t="shared" si="0"/>
        <v/>
      </c>
      <c r="I32" s="17" t="str">
        <f>IF(H32="","",SUM($H$2:H32))</f>
        <v/>
      </c>
      <c r="J32" s="9"/>
    </row>
    <row r="33" spans="1:10" x14ac:dyDescent="0.65">
      <c r="A33" s="16"/>
      <c r="B33" s="9"/>
      <c r="C33" s="9"/>
      <c r="D33" s="9"/>
      <c r="E33" s="9"/>
      <c r="F33" s="9"/>
      <c r="G33" s="10" t="str">
        <f>IF(E33="","",INDEX(Rates!$B$2:$B$5,MATCH(E33,Rates!$A$2:$A$5,0)))</f>
        <v/>
      </c>
      <c r="H33" s="17" t="str">
        <f t="shared" si="0"/>
        <v/>
      </c>
      <c r="I33" s="17" t="str">
        <f>IF(H33="","",SUM($H$2:H33))</f>
        <v/>
      </c>
      <c r="J33" s="9"/>
    </row>
    <row r="34" spans="1:10" x14ac:dyDescent="0.65">
      <c r="A34" s="16"/>
      <c r="B34" s="9"/>
      <c r="C34" s="9"/>
      <c r="D34" s="9"/>
      <c r="E34" s="9"/>
      <c r="F34" s="9"/>
      <c r="G34" s="10" t="str">
        <f>IF(E34="","",INDEX(Rates!$B$2:$B$5,MATCH(E34,Rates!$A$2:$A$5,0)))</f>
        <v/>
      </c>
      <c r="H34" s="17" t="str">
        <f t="shared" si="0"/>
        <v/>
      </c>
      <c r="I34" s="17" t="str">
        <f>IF(H34="","",SUM($H$2:H34))</f>
        <v/>
      </c>
      <c r="J34" s="9"/>
    </row>
    <row r="35" spans="1:10" x14ac:dyDescent="0.65">
      <c r="A35" s="16"/>
      <c r="B35" s="9"/>
      <c r="C35" s="9"/>
      <c r="D35" s="9"/>
      <c r="E35" s="9"/>
      <c r="F35" s="9"/>
      <c r="G35" s="10" t="str">
        <f>IF(E35="","",INDEX(Rates!$B$2:$B$5,MATCH(E35,Rates!$A$2:$A$5,0)))</f>
        <v/>
      </c>
      <c r="H35" s="17" t="str">
        <f t="shared" si="0"/>
        <v/>
      </c>
      <c r="I35" s="17" t="str">
        <f>IF(H35="","",SUM($H$2:H35))</f>
        <v/>
      </c>
      <c r="J35" s="9"/>
    </row>
    <row r="36" spans="1:10" x14ac:dyDescent="0.65">
      <c r="A36" s="16"/>
      <c r="B36" s="9"/>
      <c r="C36" s="9"/>
      <c r="D36" s="9"/>
      <c r="E36" s="9"/>
      <c r="F36" s="9"/>
      <c r="G36" s="10" t="str">
        <f>IF(E36="","",INDEX(Rates!$B$2:$B$5,MATCH(E36,Rates!$A$2:$A$5,0)))</f>
        <v/>
      </c>
      <c r="H36" s="17" t="str">
        <f t="shared" si="0"/>
        <v/>
      </c>
      <c r="I36" s="17" t="str">
        <f>IF(H36="","",SUM($H$2:H36))</f>
        <v/>
      </c>
      <c r="J36" s="9"/>
    </row>
    <row r="37" spans="1:10" x14ac:dyDescent="0.65">
      <c r="A37" s="16"/>
      <c r="B37" s="9"/>
      <c r="C37" s="9"/>
      <c r="D37" s="9"/>
      <c r="E37" s="9"/>
      <c r="F37" s="9"/>
      <c r="G37" s="10" t="str">
        <f>IF(E37="","",INDEX(Rates!$B$2:$B$5,MATCH(E37,Rates!$A$2:$A$5,0)))</f>
        <v/>
      </c>
      <c r="H37" s="17" t="str">
        <f t="shared" si="0"/>
        <v/>
      </c>
      <c r="I37" s="17" t="str">
        <f>IF(H37="","",SUM($H$2:H37))</f>
        <v/>
      </c>
      <c r="J37" s="9"/>
    </row>
    <row r="38" spans="1:10" x14ac:dyDescent="0.65">
      <c r="A38" s="16"/>
      <c r="B38" s="9"/>
      <c r="C38" s="9"/>
      <c r="D38" s="9"/>
      <c r="E38" s="9"/>
      <c r="F38" s="9"/>
      <c r="G38" s="10" t="str">
        <f>IF(E38="","",INDEX(Rates!$B$2:$B$5,MATCH(E38,Rates!$A$2:$A$5,0)))</f>
        <v/>
      </c>
      <c r="H38" s="17" t="str">
        <f t="shared" si="0"/>
        <v/>
      </c>
      <c r="I38" s="17" t="str">
        <f>IF(H38="","",SUM($H$2:H38))</f>
        <v/>
      </c>
      <c r="J38" s="9"/>
    </row>
    <row r="39" spans="1:10" x14ac:dyDescent="0.65">
      <c r="A39" s="16"/>
      <c r="B39" s="9"/>
      <c r="C39" s="9"/>
      <c r="D39" s="9"/>
      <c r="E39" s="9"/>
      <c r="F39" s="9"/>
      <c r="G39" s="10" t="str">
        <f>IF(E39="","",INDEX(Rates!$B$2:$B$5,MATCH(E39,Rates!$A$2:$A$5,0)))</f>
        <v/>
      </c>
      <c r="H39" s="17" t="str">
        <f t="shared" si="0"/>
        <v/>
      </c>
      <c r="I39" s="17" t="str">
        <f>IF(H39="","",SUM($H$2:H39))</f>
        <v/>
      </c>
      <c r="J39" s="9"/>
    </row>
    <row r="40" spans="1:10" x14ac:dyDescent="0.65">
      <c r="A40" s="16"/>
      <c r="B40" s="9"/>
      <c r="C40" s="9"/>
      <c r="D40" s="9"/>
      <c r="E40" s="9"/>
      <c r="F40" s="9"/>
      <c r="G40" s="10" t="str">
        <f>IF(E40="","",INDEX(Rates!$B$2:$B$5,MATCH(E40,Rates!$A$2:$A$5,0)))</f>
        <v/>
      </c>
      <c r="H40" s="17" t="str">
        <f t="shared" si="0"/>
        <v/>
      </c>
      <c r="I40" s="17" t="str">
        <f>IF(H40="","",SUM($H$2:H40))</f>
        <v/>
      </c>
      <c r="J40" s="9"/>
    </row>
    <row r="41" spans="1:10" x14ac:dyDescent="0.65">
      <c r="A41" s="16"/>
      <c r="B41" s="9"/>
      <c r="C41" s="9"/>
      <c r="D41" s="9"/>
      <c r="E41" s="9"/>
      <c r="F41" s="9"/>
      <c r="G41" s="10" t="str">
        <f>IF(E41="","",INDEX(Rates!$B$2:$B$5,MATCH(E41,Rates!$A$2:$A$5,0)))</f>
        <v/>
      </c>
      <c r="H41" s="17" t="str">
        <f t="shared" si="0"/>
        <v/>
      </c>
      <c r="I41" s="17" t="str">
        <f>IF(H41="","",SUM($H$2:H41))</f>
        <v/>
      </c>
      <c r="J41" s="9"/>
    </row>
    <row r="42" spans="1:10" x14ac:dyDescent="0.65">
      <c r="A42" s="16"/>
      <c r="B42" s="9"/>
      <c r="C42" s="9"/>
      <c r="D42" s="9"/>
      <c r="E42" s="9"/>
      <c r="F42" s="9"/>
      <c r="G42" s="10" t="str">
        <f>IF(E42="","",INDEX(Rates!$B$2:$B$5,MATCH(E42,Rates!$A$2:$A$5,0)))</f>
        <v/>
      </c>
      <c r="H42" s="17" t="str">
        <f t="shared" si="0"/>
        <v/>
      </c>
      <c r="I42" s="17" t="str">
        <f>IF(H42="","",SUM($H$2:H42))</f>
        <v/>
      </c>
      <c r="J42" s="9"/>
    </row>
    <row r="43" spans="1:10" x14ac:dyDescent="0.65">
      <c r="A43" s="16"/>
      <c r="B43" s="9"/>
      <c r="C43" s="9"/>
      <c r="D43" s="9"/>
      <c r="E43" s="9"/>
      <c r="F43" s="9"/>
      <c r="G43" s="10" t="str">
        <f>IF(E43="","",INDEX(Rates!$B$2:$B$5,MATCH(E43,Rates!$A$2:$A$5,0)))</f>
        <v/>
      </c>
      <c r="H43" s="17" t="str">
        <f t="shared" si="0"/>
        <v/>
      </c>
      <c r="I43" s="17" t="str">
        <f>IF(H43="","",SUM($H$2:H43))</f>
        <v/>
      </c>
      <c r="J43" s="9"/>
    </row>
    <row r="44" spans="1:10" x14ac:dyDescent="0.65">
      <c r="A44" s="16"/>
      <c r="B44" s="9"/>
      <c r="C44" s="9"/>
      <c r="D44" s="9"/>
      <c r="E44" s="9"/>
      <c r="F44" s="9"/>
      <c r="G44" s="10" t="str">
        <f>IF(E44="","",INDEX(Rates!$B$2:$B$5,MATCH(E44,Rates!$A$2:$A$5,0)))</f>
        <v/>
      </c>
      <c r="H44" s="17" t="str">
        <f t="shared" si="0"/>
        <v/>
      </c>
      <c r="I44" s="17" t="str">
        <f>IF(H44="","",SUM($H$2:H44))</f>
        <v/>
      </c>
      <c r="J44" s="9"/>
    </row>
    <row r="45" spans="1:10" x14ac:dyDescent="0.65">
      <c r="A45" s="16"/>
      <c r="B45" s="9"/>
      <c r="C45" s="9"/>
      <c r="D45" s="9"/>
      <c r="E45" s="9"/>
      <c r="F45" s="9"/>
      <c r="G45" s="10" t="str">
        <f>IF(E45="","",INDEX(Rates!$B$2:$B$5,MATCH(E45,Rates!$A$2:$A$5,0)))</f>
        <v/>
      </c>
      <c r="H45" s="17" t="str">
        <f t="shared" si="0"/>
        <v/>
      </c>
      <c r="I45" s="17" t="str">
        <f>IF(H45="","",SUM($H$2:H45))</f>
        <v/>
      </c>
      <c r="J45" s="9"/>
    </row>
    <row r="46" spans="1:10" x14ac:dyDescent="0.65">
      <c r="A46" s="16"/>
      <c r="B46" s="9"/>
      <c r="C46" s="9"/>
      <c r="D46" s="9"/>
      <c r="E46" s="9"/>
      <c r="F46" s="9"/>
      <c r="G46" s="10" t="str">
        <f>IF(E46="","",INDEX(Rates!$B$2:$B$5,MATCH(E46,Rates!$A$2:$A$5,0)))</f>
        <v/>
      </c>
      <c r="H46" s="17" t="str">
        <f t="shared" si="0"/>
        <v/>
      </c>
      <c r="I46" s="17" t="str">
        <f>IF(H46="","",SUM($H$2:H46))</f>
        <v/>
      </c>
      <c r="J46" s="9"/>
    </row>
    <row r="47" spans="1:10" x14ac:dyDescent="0.65">
      <c r="A47" s="16"/>
      <c r="B47" s="9"/>
      <c r="C47" s="9"/>
      <c r="D47" s="9"/>
      <c r="E47" s="9"/>
      <c r="F47" s="9"/>
      <c r="G47" s="10" t="str">
        <f>IF(E47="","",INDEX(Rates!$B$2:$B$5,MATCH(E47,Rates!$A$2:$A$5,0)))</f>
        <v/>
      </c>
      <c r="H47" s="17" t="str">
        <f t="shared" si="0"/>
        <v/>
      </c>
      <c r="I47" s="17" t="str">
        <f>IF(H47="","",SUM($H$2:H47))</f>
        <v/>
      </c>
      <c r="J47" s="9"/>
    </row>
    <row r="48" spans="1:10" x14ac:dyDescent="0.65">
      <c r="A48" s="16"/>
      <c r="B48" s="9"/>
      <c r="C48" s="9"/>
      <c r="D48" s="9"/>
      <c r="E48" s="9"/>
      <c r="F48" s="9"/>
      <c r="G48" s="10" t="str">
        <f>IF(E48="","",INDEX(Rates!$B$2:$B$5,MATCH(E48,Rates!$A$2:$A$5,0)))</f>
        <v/>
      </c>
      <c r="H48" s="17" t="str">
        <f t="shared" si="0"/>
        <v/>
      </c>
      <c r="I48" s="17" t="str">
        <f>IF(H48="","",SUM($H$2:H48))</f>
        <v/>
      </c>
      <c r="J48" s="9"/>
    </row>
    <row r="49" spans="1:10" x14ac:dyDescent="0.65">
      <c r="A49" s="16"/>
      <c r="B49" s="9"/>
      <c r="C49" s="9"/>
      <c r="D49" s="9"/>
      <c r="E49" s="9"/>
      <c r="F49" s="9"/>
      <c r="G49" s="10" t="str">
        <f>IF(E49="","",INDEX(Rates!$B$2:$B$5,MATCH(E49,Rates!$A$2:$A$5,0)))</f>
        <v/>
      </c>
      <c r="H49" s="17" t="str">
        <f t="shared" si="0"/>
        <v/>
      </c>
      <c r="I49" s="17" t="str">
        <f>IF(H49="","",SUM($H$2:H49))</f>
        <v/>
      </c>
      <c r="J49" s="9"/>
    </row>
    <row r="50" spans="1:10" x14ac:dyDescent="0.65">
      <c r="A50" s="16"/>
      <c r="B50" s="9"/>
      <c r="C50" s="9"/>
      <c r="D50" s="9"/>
      <c r="E50" s="9"/>
      <c r="F50" s="9"/>
      <c r="G50" s="10" t="str">
        <f>IF(E50="","",INDEX(Rates!$B$2:$B$5,MATCH(E50,Rates!$A$2:$A$5,0)))</f>
        <v/>
      </c>
      <c r="H50" s="17" t="str">
        <f t="shared" si="0"/>
        <v/>
      </c>
      <c r="I50" s="17" t="str">
        <f>IF(H50="","",SUM($H$2:H50))</f>
        <v/>
      </c>
      <c r="J50" s="9"/>
    </row>
    <row r="51" spans="1:10" x14ac:dyDescent="0.65">
      <c r="A51" s="16"/>
      <c r="B51" s="9"/>
      <c r="C51" s="9"/>
      <c r="D51" s="9"/>
      <c r="E51" s="9"/>
      <c r="F51" s="9"/>
      <c r="G51" s="10" t="str">
        <f>IF(E51="","",INDEX(Rates!$B$2:$B$5,MATCH(E51,Rates!$A$2:$A$5,0)))</f>
        <v/>
      </c>
      <c r="H51" s="17" t="str">
        <f t="shared" si="0"/>
        <v/>
      </c>
      <c r="I51" s="17" t="str">
        <f>IF(H51="","",SUM($H$2:H51))</f>
        <v/>
      </c>
      <c r="J51" s="9"/>
    </row>
    <row r="52" spans="1:10" x14ac:dyDescent="0.65">
      <c r="A52" s="16"/>
      <c r="B52" s="9"/>
      <c r="C52" s="9"/>
      <c r="D52" s="9"/>
      <c r="E52" s="9"/>
      <c r="F52" s="9"/>
      <c r="G52" s="10" t="str">
        <f>IF(E52="","",INDEX(Rates!$B$2:$B$5,MATCH(E52,Rates!$A$2:$A$5,0)))</f>
        <v/>
      </c>
      <c r="H52" s="17" t="str">
        <f t="shared" si="0"/>
        <v/>
      </c>
      <c r="I52" s="17" t="str">
        <f>IF(H52="","",SUM($H$2:H52))</f>
        <v/>
      </c>
      <c r="J52" s="9"/>
    </row>
    <row r="53" spans="1:10" x14ac:dyDescent="0.65">
      <c r="A53" s="16"/>
      <c r="B53" s="9"/>
      <c r="C53" s="9"/>
      <c r="D53" s="9"/>
      <c r="E53" s="9"/>
      <c r="F53" s="9"/>
      <c r="G53" s="10" t="str">
        <f>IF(E53="","",INDEX(Rates!$B$2:$B$5,MATCH(E53,Rates!$A$2:$A$5,0)))</f>
        <v/>
      </c>
      <c r="H53" s="17" t="str">
        <f t="shared" si="0"/>
        <v/>
      </c>
      <c r="I53" s="17" t="str">
        <f>IF(H53="","",SUM($H$2:H53))</f>
        <v/>
      </c>
      <c r="J53" s="9"/>
    </row>
    <row r="54" spans="1:10" x14ac:dyDescent="0.65">
      <c r="A54" s="16"/>
      <c r="B54" s="9"/>
      <c r="C54" s="9"/>
      <c r="D54" s="9"/>
      <c r="E54" s="9"/>
      <c r="F54" s="9"/>
      <c r="G54" s="10" t="str">
        <f>IF(E54="","",INDEX(Rates!$B$2:$B$5,MATCH(E54,Rates!$A$2:$A$5,0)))</f>
        <v/>
      </c>
      <c r="H54" s="17" t="str">
        <f t="shared" si="0"/>
        <v/>
      </c>
      <c r="I54" s="17" t="str">
        <f>IF(H54="","",SUM($H$2:H54))</f>
        <v/>
      </c>
      <c r="J54" s="9"/>
    </row>
    <row r="55" spans="1:10" x14ac:dyDescent="0.65">
      <c r="A55" s="16"/>
      <c r="B55" s="9"/>
      <c r="C55" s="9"/>
      <c r="D55" s="9"/>
      <c r="E55" s="9"/>
      <c r="F55" s="9"/>
      <c r="G55" s="10" t="str">
        <f>IF(E55="","",INDEX(Rates!$B$2:$B$5,MATCH(E55,Rates!$A$2:$A$5,0)))</f>
        <v/>
      </c>
      <c r="H55" s="17" t="str">
        <f t="shared" si="0"/>
        <v/>
      </c>
      <c r="I55" s="17" t="str">
        <f>IF(H55="","",SUM($H$2:H55))</f>
        <v/>
      </c>
      <c r="J55" s="9"/>
    </row>
    <row r="56" spans="1:10" x14ac:dyDescent="0.65">
      <c r="A56" s="16"/>
      <c r="B56" s="9"/>
      <c r="C56" s="9"/>
      <c r="D56" s="9"/>
      <c r="E56" s="9"/>
      <c r="F56" s="9"/>
      <c r="G56" s="10" t="str">
        <f>IF(E56="","",INDEX(Rates!$B$2:$B$5,MATCH(E56,Rates!$A$2:$A$5,0)))</f>
        <v/>
      </c>
      <c r="H56" s="17" t="str">
        <f t="shared" si="0"/>
        <v/>
      </c>
      <c r="I56" s="17" t="str">
        <f>IF(H56="","",SUM($H$2:H56))</f>
        <v/>
      </c>
      <c r="J56" s="9"/>
    </row>
    <row r="57" spans="1:10" x14ac:dyDescent="0.65">
      <c r="A57" s="16"/>
      <c r="B57" s="9"/>
      <c r="C57" s="9"/>
      <c r="D57" s="9"/>
      <c r="E57" s="9"/>
      <c r="F57" s="9"/>
      <c r="G57" s="10" t="str">
        <f>IF(E57="","",INDEX(Rates!$B$2:$B$5,MATCH(E57,Rates!$A$2:$A$5,0)))</f>
        <v/>
      </c>
      <c r="H57" s="17" t="str">
        <f t="shared" si="0"/>
        <v/>
      </c>
      <c r="I57" s="17" t="str">
        <f>IF(H57="","",SUM($H$2:H57))</f>
        <v/>
      </c>
      <c r="J57" s="9"/>
    </row>
    <row r="58" spans="1:10" x14ac:dyDescent="0.65">
      <c r="A58" s="16"/>
      <c r="B58" s="9"/>
      <c r="C58" s="9"/>
      <c r="D58" s="9"/>
      <c r="E58" s="9"/>
      <c r="F58" s="9"/>
      <c r="G58" s="10" t="str">
        <f>IF(E58="","",INDEX(Rates!$B$2:$B$5,MATCH(E58,Rates!$A$2:$A$5,0)))</f>
        <v/>
      </c>
      <c r="H58" s="17" t="str">
        <f t="shared" si="0"/>
        <v/>
      </c>
      <c r="I58" s="17" t="str">
        <f>IF(H58="","",SUM($H$2:H58))</f>
        <v/>
      </c>
      <c r="J58" s="9"/>
    </row>
    <row r="59" spans="1:10" x14ac:dyDescent="0.65">
      <c r="A59" s="16"/>
      <c r="B59" s="9"/>
      <c r="C59" s="9"/>
      <c r="D59" s="9"/>
      <c r="E59" s="9"/>
      <c r="F59" s="9"/>
      <c r="G59" s="10" t="str">
        <f>IF(E59="","",INDEX(Rates!$B$2:$B$5,MATCH(E59,Rates!$A$2:$A$5,0)))</f>
        <v/>
      </c>
      <c r="H59" s="17" t="str">
        <f t="shared" si="0"/>
        <v/>
      </c>
      <c r="I59" s="17" t="str">
        <f>IF(H59="","",SUM($H$2:H59))</f>
        <v/>
      </c>
      <c r="J59" s="9"/>
    </row>
    <row r="60" spans="1:10" x14ac:dyDescent="0.65">
      <c r="A60" s="16"/>
      <c r="B60" s="9"/>
      <c r="C60" s="9"/>
      <c r="D60" s="9"/>
      <c r="E60" s="9"/>
      <c r="F60" s="9"/>
      <c r="G60" s="10" t="str">
        <f>IF(E60="","",INDEX(Rates!$B$2:$B$5,MATCH(E60,Rates!$A$2:$A$5,0)))</f>
        <v/>
      </c>
      <c r="H60" s="17" t="str">
        <f t="shared" si="0"/>
        <v/>
      </c>
      <c r="I60" s="17" t="str">
        <f>IF(H60="","",SUM($H$2:H60))</f>
        <v/>
      </c>
      <c r="J60" s="9"/>
    </row>
    <row r="61" spans="1:10" x14ac:dyDescent="0.65">
      <c r="A61" s="16"/>
      <c r="B61" s="9"/>
      <c r="C61" s="9"/>
      <c r="D61" s="9"/>
      <c r="E61" s="9"/>
      <c r="F61" s="9"/>
      <c r="G61" s="10" t="str">
        <f>IF(E61="","",INDEX(Rates!$B$2:$B$5,MATCH(E61,Rates!$A$2:$A$5,0)))</f>
        <v/>
      </c>
      <c r="H61" s="17" t="str">
        <f t="shared" si="0"/>
        <v/>
      </c>
      <c r="I61" s="17" t="str">
        <f>IF(H61="","",SUM($H$2:H61))</f>
        <v/>
      </c>
      <c r="J61" s="9"/>
    </row>
    <row r="62" spans="1:10" x14ac:dyDescent="0.65">
      <c r="A62" s="16"/>
      <c r="B62" s="9"/>
      <c r="C62" s="9"/>
      <c r="D62" s="9"/>
      <c r="E62" s="9"/>
      <c r="F62" s="9"/>
      <c r="G62" s="10" t="str">
        <f>IF(E62="","",INDEX(Rates!$B$2:$B$5,MATCH(E62,Rates!$A$2:$A$5,0)))</f>
        <v/>
      </c>
      <c r="H62" s="17" t="str">
        <f t="shared" si="0"/>
        <v/>
      </c>
      <c r="I62" s="17" t="str">
        <f>IF(H62="","",SUM($H$2:H62))</f>
        <v/>
      </c>
      <c r="J62" s="9"/>
    </row>
    <row r="63" spans="1:10" x14ac:dyDescent="0.65">
      <c r="A63" s="16"/>
      <c r="B63" s="9"/>
      <c r="C63" s="9"/>
      <c r="D63" s="9"/>
      <c r="E63" s="9"/>
      <c r="F63" s="9"/>
      <c r="G63" s="10" t="str">
        <f>IF(E63="","",INDEX(Rates!$B$2:$B$5,MATCH(E63,Rates!$A$2:$A$5,0)))</f>
        <v/>
      </c>
      <c r="H63" s="17" t="str">
        <f t="shared" si="0"/>
        <v/>
      </c>
      <c r="I63" s="17" t="str">
        <f>IF(H63="","",SUM($H$2:H63))</f>
        <v/>
      </c>
      <c r="J63" s="9"/>
    </row>
    <row r="64" spans="1:10" x14ac:dyDescent="0.65">
      <c r="A64" s="16"/>
      <c r="B64" s="9"/>
      <c r="C64" s="9"/>
      <c r="D64" s="9"/>
      <c r="E64" s="9"/>
      <c r="F64" s="9"/>
      <c r="G64" s="10" t="str">
        <f>IF(E64="","",INDEX(Rates!$B$2:$B$5,MATCH(E64,Rates!$A$2:$A$5,0)))</f>
        <v/>
      </c>
      <c r="H64" s="17" t="str">
        <f t="shared" si="0"/>
        <v/>
      </c>
      <c r="I64" s="17" t="str">
        <f>IF(H64="","",SUM($H$2:H64))</f>
        <v/>
      </c>
      <c r="J64" s="9"/>
    </row>
    <row r="65" spans="1:10" x14ac:dyDescent="0.65">
      <c r="A65" s="16"/>
      <c r="B65" s="9"/>
      <c r="C65" s="9"/>
      <c r="D65" s="9"/>
      <c r="E65" s="9"/>
      <c r="F65" s="9"/>
      <c r="G65" s="10" t="str">
        <f>IF(E65="","",INDEX(Rates!$B$2:$B$5,MATCH(E65,Rates!$A$2:$A$5,0)))</f>
        <v/>
      </c>
      <c r="H65" s="17" t="str">
        <f t="shared" si="0"/>
        <v/>
      </c>
      <c r="I65" s="17" t="str">
        <f>IF(H65="","",SUM($H$2:H65))</f>
        <v/>
      </c>
      <c r="J65" s="9"/>
    </row>
    <row r="66" spans="1:10" x14ac:dyDescent="0.65">
      <c r="A66" s="16"/>
      <c r="B66" s="9"/>
      <c r="C66" s="9"/>
      <c r="D66" s="9"/>
      <c r="E66" s="9"/>
      <c r="F66" s="9"/>
      <c r="G66" s="10" t="str">
        <f>IF(E66="","",INDEX(Rates!$B$2:$B$5,MATCH(E66,Rates!$A$2:$A$5,0)))</f>
        <v/>
      </c>
      <c r="H66" s="17" t="str">
        <f t="shared" ref="H66:H129" si="1">IF(F66="","",F66*G66)</f>
        <v/>
      </c>
      <c r="I66" s="17" t="str">
        <f>IF(H66="","",SUM($H$2:H66))</f>
        <v/>
      </c>
      <c r="J66" s="9"/>
    </row>
    <row r="67" spans="1:10" x14ac:dyDescent="0.65">
      <c r="A67" s="16"/>
      <c r="B67" s="9"/>
      <c r="C67" s="9"/>
      <c r="D67" s="9"/>
      <c r="E67" s="9"/>
      <c r="F67" s="9"/>
      <c r="G67" s="10" t="str">
        <f>IF(E67="","",INDEX(Rates!$B$2:$B$5,MATCH(E67,Rates!$A$2:$A$5,0)))</f>
        <v/>
      </c>
      <c r="H67" s="17" t="str">
        <f t="shared" si="1"/>
        <v/>
      </c>
      <c r="I67" s="17" t="str">
        <f>IF(H67="","",SUM($H$2:H67))</f>
        <v/>
      </c>
      <c r="J67" s="9"/>
    </row>
    <row r="68" spans="1:10" x14ac:dyDescent="0.65">
      <c r="A68" s="16"/>
      <c r="B68" s="9"/>
      <c r="C68" s="9"/>
      <c r="D68" s="9"/>
      <c r="E68" s="9"/>
      <c r="F68" s="9"/>
      <c r="G68" s="10" t="str">
        <f>IF(E68="","",INDEX(Rates!$B$2:$B$5,MATCH(E68,Rates!$A$2:$A$5,0)))</f>
        <v/>
      </c>
      <c r="H68" s="17" t="str">
        <f t="shared" si="1"/>
        <v/>
      </c>
      <c r="I68" s="17" t="str">
        <f>IF(H68="","",SUM($H$2:H68))</f>
        <v/>
      </c>
      <c r="J68" s="9"/>
    </row>
    <row r="69" spans="1:10" x14ac:dyDescent="0.65">
      <c r="A69" s="16"/>
      <c r="B69" s="9"/>
      <c r="C69" s="9"/>
      <c r="D69" s="9"/>
      <c r="E69" s="9"/>
      <c r="F69" s="9"/>
      <c r="G69" s="10" t="str">
        <f>IF(E69="","",INDEX(Rates!$B$2:$B$5,MATCH(E69,Rates!$A$2:$A$5,0)))</f>
        <v/>
      </c>
      <c r="H69" s="17" t="str">
        <f t="shared" si="1"/>
        <v/>
      </c>
      <c r="I69" s="17" t="str">
        <f>IF(H69="","",SUM($H$2:H69))</f>
        <v/>
      </c>
      <c r="J69" s="9"/>
    </row>
    <row r="70" spans="1:10" x14ac:dyDescent="0.65">
      <c r="A70" s="16"/>
      <c r="B70" s="9"/>
      <c r="C70" s="9"/>
      <c r="D70" s="9"/>
      <c r="E70" s="9"/>
      <c r="F70" s="9"/>
      <c r="G70" s="10" t="str">
        <f>IF(E70="","",INDEX(Rates!$B$2:$B$5,MATCH(E70,Rates!$A$2:$A$5,0)))</f>
        <v/>
      </c>
      <c r="H70" s="17" t="str">
        <f t="shared" si="1"/>
        <v/>
      </c>
      <c r="I70" s="17" t="str">
        <f>IF(H70="","",SUM($H$2:H70))</f>
        <v/>
      </c>
      <c r="J70" s="9"/>
    </row>
    <row r="71" spans="1:10" x14ac:dyDescent="0.65">
      <c r="A71" s="16"/>
      <c r="B71" s="9"/>
      <c r="C71" s="9"/>
      <c r="D71" s="9"/>
      <c r="E71" s="9"/>
      <c r="F71" s="9"/>
      <c r="G71" s="10" t="str">
        <f>IF(E71="","",INDEX(Rates!$B$2:$B$5,MATCH(E71,Rates!$A$2:$A$5,0)))</f>
        <v/>
      </c>
      <c r="H71" s="17" t="str">
        <f t="shared" si="1"/>
        <v/>
      </c>
      <c r="I71" s="17" t="str">
        <f>IF(H71="","",SUM($H$2:H71))</f>
        <v/>
      </c>
      <c r="J71" s="9"/>
    </row>
    <row r="72" spans="1:10" x14ac:dyDescent="0.65">
      <c r="A72" s="16"/>
      <c r="B72" s="9"/>
      <c r="C72" s="9"/>
      <c r="D72" s="9"/>
      <c r="E72" s="9"/>
      <c r="F72" s="9"/>
      <c r="G72" s="10" t="str">
        <f>IF(E72="","",INDEX(Rates!$B$2:$B$5,MATCH(E72,Rates!$A$2:$A$5,0)))</f>
        <v/>
      </c>
      <c r="H72" s="17" t="str">
        <f t="shared" si="1"/>
        <v/>
      </c>
      <c r="I72" s="17" t="str">
        <f>IF(H72="","",SUM($H$2:H72))</f>
        <v/>
      </c>
      <c r="J72" s="9"/>
    </row>
    <row r="73" spans="1:10" x14ac:dyDescent="0.65">
      <c r="A73" s="16"/>
      <c r="B73" s="9"/>
      <c r="C73" s="9"/>
      <c r="D73" s="9"/>
      <c r="E73" s="9"/>
      <c r="F73" s="9"/>
      <c r="G73" s="10" t="str">
        <f>IF(E73="","",INDEX(Rates!$B$2:$B$5,MATCH(E73,Rates!$A$2:$A$5,0)))</f>
        <v/>
      </c>
      <c r="H73" s="17" t="str">
        <f t="shared" si="1"/>
        <v/>
      </c>
      <c r="I73" s="17" t="str">
        <f>IF(H73="","",SUM($H$2:H73))</f>
        <v/>
      </c>
      <c r="J73" s="9"/>
    </row>
    <row r="74" spans="1:10" x14ac:dyDescent="0.65">
      <c r="A74" s="16"/>
      <c r="B74" s="9"/>
      <c r="C74" s="9"/>
      <c r="D74" s="9"/>
      <c r="E74" s="9"/>
      <c r="F74" s="9"/>
      <c r="G74" s="10" t="str">
        <f>IF(E74="","",INDEX(Rates!$B$2:$B$5,MATCH(E74,Rates!$A$2:$A$5,0)))</f>
        <v/>
      </c>
      <c r="H74" s="17" t="str">
        <f t="shared" si="1"/>
        <v/>
      </c>
      <c r="I74" s="17" t="str">
        <f>IF(H74="","",SUM($H$2:H74))</f>
        <v/>
      </c>
      <c r="J74" s="9"/>
    </row>
    <row r="75" spans="1:10" x14ac:dyDescent="0.65">
      <c r="A75" s="16"/>
      <c r="B75" s="9"/>
      <c r="C75" s="9"/>
      <c r="D75" s="9"/>
      <c r="E75" s="9"/>
      <c r="F75" s="9"/>
      <c r="G75" s="10" t="str">
        <f>IF(E75="","",INDEX(Rates!$B$2:$B$5,MATCH(E75,Rates!$A$2:$A$5,0)))</f>
        <v/>
      </c>
      <c r="H75" s="17" t="str">
        <f t="shared" si="1"/>
        <v/>
      </c>
      <c r="I75" s="17" t="str">
        <f>IF(H75="","",SUM($H$2:H75))</f>
        <v/>
      </c>
      <c r="J75" s="9"/>
    </row>
    <row r="76" spans="1:10" x14ac:dyDescent="0.65">
      <c r="A76" s="16"/>
      <c r="B76" s="9"/>
      <c r="C76" s="9"/>
      <c r="D76" s="9"/>
      <c r="E76" s="9"/>
      <c r="F76" s="9"/>
      <c r="G76" s="10" t="str">
        <f>IF(E76="","",INDEX(Rates!$B$2:$B$5,MATCH(E76,Rates!$A$2:$A$5,0)))</f>
        <v/>
      </c>
      <c r="H76" s="17" t="str">
        <f t="shared" si="1"/>
        <v/>
      </c>
      <c r="I76" s="17" t="str">
        <f>IF(H76="","",SUM($H$2:H76))</f>
        <v/>
      </c>
      <c r="J76" s="9"/>
    </row>
    <row r="77" spans="1:10" x14ac:dyDescent="0.65">
      <c r="A77" s="16"/>
      <c r="B77" s="9"/>
      <c r="C77" s="9"/>
      <c r="D77" s="9"/>
      <c r="E77" s="9"/>
      <c r="F77" s="9"/>
      <c r="G77" s="10" t="str">
        <f>IF(E77="","",INDEX(Rates!$B$2:$B$5,MATCH(E77,Rates!$A$2:$A$5,0)))</f>
        <v/>
      </c>
      <c r="H77" s="17" t="str">
        <f t="shared" si="1"/>
        <v/>
      </c>
      <c r="I77" s="17" t="str">
        <f>IF(H77="","",SUM($H$2:H77))</f>
        <v/>
      </c>
      <c r="J77" s="9"/>
    </row>
    <row r="78" spans="1:10" x14ac:dyDescent="0.65">
      <c r="A78" s="16"/>
      <c r="B78" s="9"/>
      <c r="C78" s="9"/>
      <c r="D78" s="9"/>
      <c r="E78" s="9"/>
      <c r="F78" s="9"/>
      <c r="G78" s="10" t="str">
        <f>IF(E78="","",INDEX(Rates!$B$2:$B$5,MATCH(E78,Rates!$A$2:$A$5,0)))</f>
        <v/>
      </c>
      <c r="H78" s="17" t="str">
        <f t="shared" si="1"/>
        <v/>
      </c>
      <c r="I78" s="17" t="str">
        <f>IF(H78="","",SUM($H$2:H78))</f>
        <v/>
      </c>
      <c r="J78" s="9"/>
    </row>
    <row r="79" spans="1:10" x14ac:dyDescent="0.65">
      <c r="A79" s="16"/>
      <c r="B79" s="9"/>
      <c r="C79" s="9"/>
      <c r="D79" s="9"/>
      <c r="E79" s="9"/>
      <c r="F79" s="9"/>
      <c r="G79" s="10" t="str">
        <f>IF(E79="","",INDEX(Rates!$B$2:$B$5,MATCH(E79,Rates!$A$2:$A$5,0)))</f>
        <v/>
      </c>
      <c r="H79" s="17" t="str">
        <f t="shared" si="1"/>
        <v/>
      </c>
      <c r="I79" s="17" t="str">
        <f>IF(H79="","",SUM($H$2:H79))</f>
        <v/>
      </c>
      <c r="J79" s="9"/>
    </row>
    <row r="80" spans="1:10" x14ac:dyDescent="0.65">
      <c r="A80" s="16"/>
      <c r="B80" s="9"/>
      <c r="C80" s="9"/>
      <c r="D80" s="9"/>
      <c r="E80" s="9"/>
      <c r="F80" s="9"/>
      <c r="G80" s="10" t="str">
        <f>IF(E80="","",INDEX(Rates!$B$2:$B$5,MATCH(E80,Rates!$A$2:$A$5,0)))</f>
        <v/>
      </c>
      <c r="H80" s="17" t="str">
        <f t="shared" si="1"/>
        <v/>
      </c>
      <c r="I80" s="17" t="str">
        <f>IF(H80="","",SUM($H$2:H80))</f>
        <v/>
      </c>
      <c r="J80" s="9"/>
    </row>
    <row r="81" spans="1:10" x14ac:dyDescent="0.65">
      <c r="A81" s="16"/>
      <c r="B81" s="9"/>
      <c r="C81" s="9"/>
      <c r="D81" s="9"/>
      <c r="E81" s="9"/>
      <c r="F81" s="9"/>
      <c r="G81" s="10" t="str">
        <f>IF(E81="","",INDEX(Rates!$B$2:$B$5,MATCH(E81,Rates!$A$2:$A$5,0)))</f>
        <v/>
      </c>
      <c r="H81" s="17" t="str">
        <f t="shared" si="1"/>
        <v/>
      </c>
      <c r="I81" s="17" t="str">
        <f>IF(H81="","",SUM($H$2:H81))</f>
        <v/>
      </c>
      <c r="J81" s="9"/>
    </row>
    <row r="82" spans="1:10" x14ac:dyDescent="0.65">
      <c r="A82" s="16"/>
      <c r="B82" s="9"/>
      <c r="C82" s="9"/>
      <c r="D82" s="9"/>
      <c r="E82" s="9"/>
      <c r="F82" s="9"/>
      <c r="G82" s="10" t="str">
        <f>IF(E82="","",INDEX(Rates!$B$2:$B$5,MATCH(E82,Rates!$A$2:$A$5,0)))</f>
        <v/>
      </c>
      <c r="H82" s="17" t="str">
        <f t="shared" si="1"/>
        <v/>
      </c>
      <c r="I82" s="17" t="str">
        <f>IF(H82="","",SUM($H$2:H82))</f>
        <v/>
      </c>
      <c r="J82" s="9"/>
    </row>
    <row r="83" spans="1:10" x14ac:dyDescent="0.65">
      <c r="A83" s="16"/>
      <c r="B83" s="9"/>
      <c r="C83" s="9"/>
      <c r="D83" s="9"/>
      <c r="E83" s="9"/>
      <c r="F83" s="9"/>
      <c r="G83" s="10" t="str">
        <f>IF(E83="","",INDEX(Rates!$B$2:$B$5,MATCH(E83,Rates!$A$2:$A$5,0)))</f>
        <v/>
      </c>
      <c r="H83" s="17" t="str">
        <f t="shared" si="1"/>
        <v/>
      </c>
      <c r="I83" s="17" t="str">
        <f>IF(H83="","",SUM($H$2:H83))</f>
        <v/>
      </c>
      <c r="J83" s="9"/>
    </row>
    <row r="84" spans="1:10" x14ac:dyDescent="0.65">
      <c r="A84" s="16"/>
      <c r="B84" s="9"/>
      <c r="C84" s="9"/>
      <c r="D84" s="9"/>
      <c r="E84" s="9"/>
      <c r="F84" s="9"/>
      <c r="G84" s="10" t="str">
        <f>IF(E84="","",INDEX(Rates!$B$2:$B$5,MATCH(E84,Rates!$A$2:$A$5,0)))</f>
        <v/>
      </c>
      <c r="H84" s="17" t="str">
        <f t="shared" si="1"/>
        <v/>
      </c>
      <c r="I84" s="17" t="str">
        <f>IF(H84="","",SUM($H$2:H84))</f>
        <v/>
      </c>
      <c r="J84" s="9"/>
    </row>
    <row r="85" spans="1:10" x14ac:dyDescent="0.65">
      <c r="A85" s="16"/>
      <c r="B85" s="9"/>
      <c r="C85" s="9"/>
      <c r="D85" s="9"/>
      <c r="E85" s="9"/>
      <c r="F85" s="9"/>
      <c r="G85" s="10" t="str">
        <f>IF(E85="","",INDEX(Rates!$B$2:$B$5,MATCH(E85,Rates!$A$2:$A$5,0)))</f>
        <v/>
      </c>
      <c r="H85" s="17" t="str">
        <f t="shared" si="1"/>
        <v/>
      </c>
      <c r="I85" s="17" t="str">
        <f>IF(H85="","",SUM($H$2:H85))</f>
        <v/>
      </c>
      <c r="J85" s="9"/>
    </row>
    <row r="86" spans="1:10" x14ac:dyDescent="0.65">
      <c r="A86" s="16"/>
      <c r="B86" s="9"/>
      <c r="C86" s="9"/>
      <c r="D86" s="9"/>
      <c r="E86" s="9"/>
      <c r="F86" s="9"/>
      <c r="G86" s="10" t="str">
        <f>IF(E86="","",INDEX(Rates!$B$2:$B$5,MATCH(E86,Rates!$A$2:$A$5,0)))</f>
        <v/>
      </c>
      <c r="H86" s="17" t="str">
        <f t="shared" si="1"/>
        <v/>
      </c>
      <c r="I86" s="17" t="str">
        <f>IF(H86="","",SUM($H$2:H86))</f>
        <v/>
      </c>
      <c r="J86" s="9"/>
    </row>
    <row r="87" spans="1:10" x14ac:dyDescent="0.65">
      <c r="A87" s="16"/>
      <c r="B87" s="9"/>
      <c r="C87" s="9"/>
      <c r="D87" s="9"/>
      <c r="E87" s="9"/>
      <c r="F87" s="9"/>
      <c r="G87" s="10" t="str">
        <f>IF(E87="","",INDEX(Rates!$B$2:$B$5,MATCH(E87,Rates!$A$2:$A$5,0)))</f>
        <v/>
      </c>
      <c r="H87" s="17" t="str">
        <f t="shared" si="1"/>
        <v/>
      </c>
      <c r="I87" s="17" t="str">
        <f>IF(H87="","",SUM($H$2:H87))</f>
        <v/>
      </c>
      <c r="J87" s="9"/>
    </row>
    <row r="88" spans="1:10" x14ac:dyDescent="0.65">
      <c r="A88" s="16"/>
      <c r="B88" s="9"/>
      <c r="C88" s="9"/>
      <c r="D88" s="9"/>
      <c r="E88" s="9"/>
      <c r="F88" s="9"/>
      <c r="G88" s="10" t="str">
        <f>IF(E88="","",INDEX(Rates!$B$2:$B$5,MATCH(E88,Rates!$A$2:$A$5,0)))</f>
        <v/>
      </c>
      <c r="H88" s="17" t="str">
        <f t="shared" si="1"/>
        <v/>
      </c>
      <c r="I88" s="17" t="str">
        <f>IF(H88="","",SUM($H$2:H88))</f>
        <v/>
      </c>
      <c r="J88" s="9"/>
    </row>
    <row r="89" spans="1:10" x14ac:dyDescent="0.65">
      <c r="A89" s="16"/>
      <c r="B89" s="9"/>
      <c r="C89" s="9"/>
      <c r="D89" s="9"/>
      <c r="E89" s="9"/>
      <c r="F89" s="9"/>
      <c r="G89" s="10" t="str">
        <f>IF(E89="","",INDEX(Rates!$B$2:$B$5,MATCH(E89,Rates!$A$2:$A$5,0)))</f>
        <v/>
      </c>
      <c r="H89" s="17" t="str">
        <f t="shared" si="1"/>
        <v/>
      </c>
      <c r="I89" s="17" t="str">
        <f>IF(H89="","",SUM($H$2:H89))</f>
        <v/>
      </c>
      <c r="J89" s="9"/>
    </row>
    <row r="90" spans="1:10" x14ac:dyDescent="0.65">
      <c r="A90" s="16"/>
      <c r="B90" s="9"/>
      <c r="C90" s="9"/>
      <c r="D90" s="9"/>
      <c r="E90" s="9"/>
      <c r="F90" s="9"/>
      <c r="G90" s="10" t="str">
        <f>IF(E90="","",INDEX(Rates!$B$2:$B$5,MATCH(E90,Rates!$A$2:$A$5,0)))</f>
        <v/>
      </c>
      <c r="H90" s="17" t="str">
        <f t="shared" si="1"/>
        <v/>
      </c>
      <c r="I90" s="17" t="str">
        <f>IF(H90="","",SUM($H$2:H90))</f>
        <v/>
      </c>
      <c r="J90" s="9"/>
    </row>
    <row r="91" spans="1:10" x14ac:dyDescent="0.65">
      <c r="A91" s="16"/>
      <c r="B91" s="9"/>
      <c r="C91" s="9"/>
      <c r="D91" s="9"/>
      <c r="E91" s="9"/>
      <c r="F91" s="9"/>
      <c r="G91" s="10" t="str">
        <f>IF(E91="","",INDEX(Rates!$B$2:$B$5,MATCH(E91,Rates!$A$2:$A$5,0)))</f>
        <v/>
      </c>
      <c r="H91" s="17" t="str">
        <f t="shared" si="1"/>
        <v/>
      </c>
      <c r="I91" s="17" t="str">
        <f>IF(H91="","",SUM($H$2:H91))</f>
        <v/>
      </c>
      <c r="J91" s="9"/>
    </row>
    <row r="92" spans="1:10" x14ac:dyDescent="0.65">
      <c r="A92" s="16"/>
      <c r="B92" s="9"/>
      <c r="C92" s="9"/>
      <c r="D92" s="9"/>
      <c r="E92" s="9"/>
      <c r="F92" s="9"/>
      <c r="G92" s="10" t="str">
        <f>IF(E92="","",INDEX(Rates!$B$2:$B$5,MATCH(E92,Rates!$A$2:$A$5,0)))</f>
        <v/>
      </c>
      <c r="H92" s="17" t="str">
        <f t="shared" si="1"/>
        <v/>
      </c>
      <c r="I92" s="17" t="str">
        <f>IF(H92="","",SUM($H$2:H92))</f>
        <v/>
      </c>
      <c r="J92" s="9"/>
    </row>
    <row r="93" spans="1:10" x14ac:dyDescent="0.65">
      <c r="A93" s="16"/>
      <c r="B93" s="9"/>
      <c r="C93" s="9"/>
      <c r="D93" s="9"/>
      <c r="E93" s="9"/>
      <c r="F93" s="9"/>
      <c r="G93" s="10" t="str">
        <f>IF(E93="","",INDEX(Rates!$B$2:$B$5,MATCH(E93,Rates!$A$2:$A$5,0)))</f>
        <v/>
      </c>
      <c r="H93" s="17" t="str">
        <f t="shared" si="1"/>
        <v/>
      </c>
      <c r="I93" s="17" t="str">
        <f>IF(H93="","",SUM($H$2:H93))</f>
        <v/>
      </c>
      <c r="J93" s="9"/>
    </row>
    <row r="94" spans="1:10" x14ac:dyDescent="0.65">
      <c r="A94" s="16"/>
      <c r="B94" s="9"/>
      <c r="C94" s="9"/>
      <c r="D94" s="9"/>
      <c r="E94" s="9"/>
      <c r="F94" s="9"/>
      <c r="G94" s="10" t="str">
        <f>IF(E94="","",INDEX(Rates!$B$2:$B$5,MATCH(E94,Rates!$A$2:$A$5,0)))</f>
        <v/>
      </c>
      <c r="H94" s="17" t="str">
        <f t="shared" si="1"/>
        <v/>
      </c>
      <c r="I94" s="17" t="str">
        <f>IF(H94="","",SUM($H$2:H94))</f>
        <v/>
      </c>
      <c r="J94" s="9"/>
    </row>
    <row r="95" spans="1:10" x14ac:dyDescent="0.65">
      <c r="A95" s="16"/>
      <c r="B95" s="9"/>
      <c r="C95" s="9"/>
      <c r="D95" s="9"/>
      <c r="E95" s="9"/>
      <c r="F95" s="9"/>
      <c r="G95" s="10" t="str">
        <f>IF(E95="","",INDEX(Rates!$B$2:$B$5,MATCH(E95,Rates!$A$2:$A$5,0)))</f>
        <v/>
      </c>
      <c r="H95" s="17" t="str">
        <f t="shared" si="1"/>
        <v/>
      </c>
      <c r="I95" s="17" t="str">
        <f>IF(H95="","",SUM($H$2:H95))</f>
        <v/>
      </c>
      <c r="J95" s="9"/>
    </row>
    <row r="96" spans="1:10" x14ac:dyDescent="0.65">
      <c r="A96" s="16"/>
      <c r="B96" s="9"/>
      <c r="C96" s="9"/>
      <c r="D96" s="9"/>
      <c r="E96" s="9"/>
      <c r="F96" s="9"/>
      <c r="G96" s="10" t="str">
        <f>IF(E96="","",INDEX(Rates!$B$2:$B$5,MATCH(E96,Rates!$A$2:$A$5,0)))</f>
        <v/>
      </c>
      <c r="H96" s="17" t="str">
        <f t="shared" si="1"/>
        <v/>
      </c>
      <c r="I96" s="17" t="str">
        <f>IF(H96="","",SUM($H$2:H96))</f>
        <v/>
      </c>
      <c r="J96" s="9"/>
    </row>
    <row r="97" spans="1:10" x14ac:dyDescent="0.65">
      <c r="A97" s="16"/>
      <c r="B97" s="9"/>
      <c r="C97" s="9"/>
      <c r="D97" s="9"/>
      <c r="E97" s="9"/>
      <c r="F97" s="9"/>
      <c r="G97" s="10" t="str">
        <f>IF(E97="","",INDEX(Rates!$B$2:$B$5,MATCH(E97,Rates!$A$2:$A$5,0)))</f>
        <v/>
      </c>
      <c r="H97" s="17" t="str">
        <f t="shared" si="1"/>
        <v/>
      </c>
      <c r="I97" s="17" t="str">
        <f>IF(H97="","",SUM($H$2:H97))</f>
        <v/>
      </c>
      <c r="J97" s="9"/>
    </row>
    <row r="98" spans="1:10" x14ac:dyDescent="0.65">
      <c r="A98" s="16"/>
      <c r="B98" s="9"/>
      <c r="C98" s="9"/>
      <c r="D98" s="9"/>
      <c r="E98" s="9"/>
      <c r="F98" s="9"/>
      <c r="G98" s="10" t="str">
        <f>IF(E98="","",INDEX(Rates!$B$2:$B$5,MATCH(E98,Rates!$A$2:$A$5,0)))</f>
        <v/>
      </c>
      <c r="H98" s="17" t="str">
        <f t="shared" si="1"/>
        <v/>
      </c>
      <c r="I98" s="17" t="str">
        <f>IF(H98="","",SUM($H$2:H98))</f>
        <v/>
      </c>
      <c r="J98" s="9"/>
    </row>
    <row r="99" spans="1:10" x14ac:dyDescent="0.65">
      <c r="A99" s="16"/>
      <c r="B99" s="9"/>
      <c r="C99" s="9"/>
      <c r="D99" s="9"/>
      <c r="E99" s="9"/>
      <c r="F99" s="9"/>
      <c r="G99" s="10" t="str">
        <f>IF(E99="","",INDEX(Rates!$B$2:$B$5,MATCH(E99,Rates!$A$2:$A$5,0)))</f>
        <v/>
      </c>
      <c r="H99" s="17" t="str">
        <f t="shared" si="1"/>
        <v/>
      </c>
      <c r="I99" s="17" t="str">
        <f>IF(H99="","",SUM($H$2:H99))</f>
        <v/>
      </c>
      <c r="J99" s="9"/>
    </row>
    <row r="100" spans="1:10" x14ac:dyDescent="0.65">
      <c r="A100" s="16"/>
      <c r="B100" s="9"/>
      <c r="C100" s="9"/>
      <c r="D100" s="9"/>
      <c r="E100" s="9"/>
      <c r="F100" s="9"/>
      <c r="G100" s="10" t="str">
        <f>IF(E100="","",INDEX(Rates!$B$2:$B$5,MATCH(E100,Rates!$A$2:$A$5,0)))</f>
        <v/>
      </c>
      <c r="H100" s="17" t="str">
        <f t="shared" si="1"/>
        <v/>
      </c>
      <c r="I100" s="17" t="str">
        <f>IF(H100="","",SUM($H$2:H100))</f>
        <v/>
      </c>
      <c r="J100" s="9"/>
    </row>
    <row r="101" spans="1:10" x14ac:dyDescent="0.65">
      <c r="A101" s="16"/>
      <c r="B101" s="9"/>
      <c r="C101" s="9"/>
      <c r="D101" s="9"/>
      <c r="E101" s="9"/>
      <c r="F101" s="9"/>
      <c r="G101" s="10" t="str">
        <f>IF(E101="","",INDEX(Rates!$B$2:$B$5,MATCH(E101,Rates!$A$2:$A$5,0)))</f>
        <v/>
      </c>
      <c r="H101" s="17" t="str">
        <f t="shared" si="1"/>
        <v/>
      </c>
      <c r="I101" s="17" t="str">
        <f>IF(H101="","",SUM($H$2:H101))</f>
        <v/>
      </c>
      <c r="J101" s="9"/>
    </row>
    <row r="102" spans="1:10" x14ac:dyDescent="0.65">
      <c r="A102" s="16"/>
      <c r="B102" s="9"/>
      <c r="C102" s="9"/>
      <c r="D102" s="9"/>
      <c r="E102" s="9"/>
      <c r="F102" s="9"/>
      <c r="G102" s="10" t="str">
        <f>IF(E102="","",INDEX(Rates!$B$2:$B$5,MATCH(E102,Rates!$A$2:$A$5,0)))</f>
        <v/>
      </c>
      <c r="H102" s="17" t="str">
        <f t="shared" si="1"/>
        <v/>
      </c>
      <c r="I102" s="17" t="str">
        <f>IF(H102="","",SUM($H$2:H102))</f>
        <v/>
      </c>
      <c r="J102" s="9"/>
    </row>
    <row r="103" spans="1:10" x14ac:dyDescent="0.65">
      <c r="A103" s="16"/>
      <c r="B103" s="9"/>
      <c r="C103" s="9"/>
      <c r="D103" s="9"/>
      <c r="E103" s="9"/>
      <c r="F103" s="9"/>
      <c r="G103" s="10" t="str">
        <f>IF(E103="","",INDEX(Rates!$B$2:$B$5,MATCH(E103,Rates!$A$2:$A$5,0)))</f>
        <v/>
      </c>
      <c r="H103" s="17" t="str">
        <f t="shared" si="1"/>
        <v/>
      </c>
      <c r="I103" s="17" t="str">
        <f>IF(H103="","",SUM($H$2:H103))</f>
        <v/>
      </c>
      <c r="J103" s="9"/>
    </row>
    <row r="104" spans="1:10" x14ac:dyDescent="0.65">
      <c r="A104" s="16"/>
      <c r="B104" s="9"/>
      <c r="C104" s="9"/>
      <c r="D104" s="9"/>
      <c r="E104" s="9"/>
      <c r="F104" s="9"/>
      <c r="G104" s="10" t="str">
        <f>IF(E104="","",INDEX(Rates!$B$2:$B$5,MATCH(E104,Rates!$A$2:$A$5,0)))</f>
        <v/>
      </c>
      <c r="H104" s="17" t="str">
        <f t="shared" si="1"/>
        <v/>
      </c>
      <c r="I104" s="17" t="str">
        <f>IF(H104="","",SUM($H$2:H104))</f>
        <v/>
      </c>
      <c r="J104" s="9"/>
    </row>
    <row r="105" spans="1:10" x14ac:dyDescent="0.65">
      <c r="A105" s="16"/>
      <c r="B105" s="9"/>
      <c r="C105" s="9"/>
      <c r="D105" s="9"/>
      <c r="E105" s="9"/>
      <c r="F105" s="9"/>
      <c r="G105" s="10" t="str">
        <f>IF(E105="","",INDEX(Rates!$B$2:$B$5,MATCH(E105,Rates!$A$2:$A$5,0)))</f>
        <v/>
      </c>
      <c r="H105" s="17" t="str">
        <f t="shared" si="1"/>
        <v/>
      </c>
      <c r="I105" s="17" t="str">
        <f>IF(H105="","",SUM($H$2:H105))</f>
        <v/>
      </c>
      <c r="J105" s="9"/>
    </row>
    <row r="106" spans="1:10" x14ac:dyDescent="0.65">
      <c r="A106" s="16"/>
      <c r="B106" s="9"/>
      <c r="C106" s="9"/>
      <c r="D106" s="9"/>
      <c r="E106" s="9"/>
      <c r="F106" s="9"/>
      <c r="G106" s="10" t="str">
        <f>IF(E106="","",INDEX(Rates!$B$2:$B$5,MATCH(E106,Rates!$A$2:$A$5,0)))</f>
        <v/>
      </c>
      <c r="H106" s="17" t="str">
        <f t="shared" si="1"/>
        <v/>
      </c>
      <c r="I106" s="17" t="str">
        <f>IF(H106="","",SUM($H$2:H106))</f>
        <v/>
      </c>
      <c r="J106" s="9"/>
    </row>
    <row r="107" spans="1:10" x14ac:dyDescent="0.65">
      <c r="A107" s="16"/>
      <c r="B107" s="9"/>
      <c r="C107" s="9"/>
      <c r="D107" s="9"/>
      <c r="E107" s="9"/>
      <c r="F107" s="9"/>
      <c r="G107" s="10" t="str">
        <f>IF(E107="","",INDEX(Rates!$B$2:$B$5,MATCH(E107,Rates!$A$2:$A$5,0)))</f>
        <v/>
      </c>
      <c r="H107" s="17" t="str">
        <f t="shared" si="1"/>
        <v/>
      </c>
      <c r="I107" s="17" t="str">
        <f>IF(H107="","",SUM($H$2:H107))</f>
        <v/>
      </c>
      <c r="J107" s="9"/>
    </row>
    <row r="108" spans="1:10" x14ac:dyDescent="0.65">
      <c r="A108" s="16"/>
      <c r="B108" s="9"/>
      <c r="C108" s="9"/>
      <c r="D108" s="9"/>
      <c r="E108" s="9"/>
      <c r="F108" s="9"/>
      <c r="G108" s="10" t="str">
        <f>IF(E108="","",INDEX(Rates!$B$2:$B$5,MATCH(E108,Rates!$A$2:$A$5,0)))</f>
        <v/>
      </c>
      <c r="H108" s="17" t="str">
        <f t="shared" si="1"/>
        <v/>
      </c>
      <c r="I108" s="17" t="str">
        <f>IF(H108="","",SUM($H$2:H108))</f>
        <v/>
      </c>
      <c r="J108" s="9"/>
    </row>
    <row r="109" spans="1:10" x14ac:dyDescent="0.65">
      <c r="A109" s="16"/>
      <c r="B109" s="9"/>
      <c r="C109" s="9"/>
      <c r="D109" s="9"/>
      <c r="E109" s="9"/>
      <c r="F109" s="9"/>
      <c r="G109" s="10" t="str">
        <f>IF(E109="","",INDEX(Rates!$B$2:$B$5,MATCH(E109,Rates!$A$2:$A$5,0)))</f>
        <v/>
      </c>
      <c r="H109" s="17" t="str">
        <f t="shared" si="1"/>
        <v/>
      </c>
      <c r="I109" s="17" t="str">
        <f>IF(H109="","",SUM($H$2:H109))</f>
        <v/>
      </c>
      <c r="J109" s="9"/>
    </row>
    <row r="110" spans="1:10" x14ac:dyDescent="0.65">
      <c r="A110" s="16"/>
      <c r="B110" s="9"/>
      <c r="C110" s="9"/>
      <c r="D110" s="9"/>
      <c r="E110" s="9"/>
      <c r="F110" s="9"/>
      <c r="G110" s="10" t="str">
        <f>IF(E110="","",INDEX(Rates!$B$2:$B$5,MATCH(E110,Rates!$A$2:$A$5,0)))</f>
        <v/>
      </c>
      <c r="H110" s="17" t="str">
        <f t="shared" si="1"/>
        <v/>
      </c>
      <c r="I110" s="17" t="str">
        <f>IF(H110="","",SUM($H$2:H110))</f>
        <v/>
      </c>
      <c r="J110" s="9"/>
    </row>
    <row r="111" spans="1:10" x14ac:dyDescent="0.65">
      <c r="A111" s="16"/>
      <c r="B111" s="9"/>
      <c r="C111" s="9"/>
      <c r="D111" s="9"/>
      <c r="E111" s="9"/>
      <c r="F111" s="9"/>
      <c r="G111" s="10" t="str">
        <f>IF(E111="","",INDEX(Rates!$B$2:$B$5,MATCH(E111,Rates!$A$2:$A$5,0)))</f>
        <v/>
      </c>
      <c r="H111" s="17" t="str">
        <f t="shared" si="1"/>
        <v/>
      </c>
      <c r="I111" s="17" t="str">
        <f>IF(H111="","",SUM($H$2:H111))</f>
        <v/>
      </c>
      <c r="J111" s="9"/>
    </row>
    <row r="112" spans="1:10" x14ac:dyDescent="0.65">
      <c r="A112" s="16"/>
      <c r="B112" s="9"/>
      <c r="C112" s="9"/>
      <c r="D112" s="9"/>
      <c r="E112" s="9"/>
      <c r="F112" s="9"/>
      <c r="G112" s="10" t="str">
        <f>IF(E112="","",INDEX(Rates!$B$2:$B$5,MATCH(E112,Rates!$A$2:$A$5,0)))</f>
        <v/>
      </c>
      <c r="H112" s="17" t="str">
        <f t="shared" si="1"/>
        <v/>
      </c>
      <c r="I112" s="17" t="str">
        <f>IF(H112="","",SUM($H$2:H112))</f>
        <v/>
      </c>
      <c r="J112" s="9"/>
    </row>
    <row r="113" spans="1:10" x14ac:dyDescent="0.65">
      <c r="A113" s="16"/>
      <c r="B113" s="9"/>
      <c r="C113" s="9"/>
      <c r="D113" s="9"/>
      <c r="E113" s="9"/>
      <c r="F113" s="9"/>
      <c r="G113" s="10" t="str">
        <f>IF(E113="","",INDEX(Rates!$B$2:$B$5,MATCH(E113,Rates!$A$2:$A$5,0)))</f>
        <v/>
      </c>
      <c r="H113" s="17" t="str">
        <f t="shared" si="1"/>
        <v/>
      </c>
      <c r="I113" s="17" t="str">
        <f>IF(H113="","",SUM($H$2:H113))</f>
        <v/>
      </c>
      <c r="J113" s="9"/>
    </row>
    <row r="114" spans="1:10" x14ac:dyDescent="0.65">
      <c r="A114" s="16"/>
      <c r="B114" s="9"/>
      <c r="C114" s="9"/>
      <c r="D114" s="9"/>
      <c r="E114" s="9"/>
      <c r="F114" s="9"/>
      <c r="G114" s="10" t="str">
        <f>IF(E114="","",INDEX(Rates!$B$2:$B$5,MATCH(E114,Rates!$A$2:$A$5,0)))</f>
        <v/>
      </c>
      <c r="H114" s="17" t="str">
        <f t="shared" si="1"/>
        <v/>
      </c>
      <c r="I114" s="17" t="str">
        <f>IF(H114="","",SUM($H$2:H114))</f>
        <v/>
      </c>
      <c r="J114" s="9"/>
    </row>
    <row r="115" spans="1:10" x14ac:dyDescent="0.65">
      <c r="A115" s="16"/>
      <c r="B115" s="9"/>
      <c r="C115" s="9"/>
      <c r="D115" s="9"/>
      <c r="E115" s="9"/>
      <c r="F115" s="9"/>
      <c r="G115" s="10" t="str">
        <f>IF(E115="","",INDEX(Rates!$B$2:$B$5,MATCH(E115,Rates!$A$2:$A$5,0)))</f>
        <v/>
      </c>
      <c r="H115" s="17" t="str">
        <f t="shared" si="1"/>
        <v/>
      </c>
      <c r="I115" s="17" t="str">
        <f>IF(H115="","",SUM($H$2:H115))</f>
        <v/>
      </c>
      <c r="J115" s="9"/>
    </row>
    <row r="116" spans="1:10" x14ac:dyDescent="0.65">
      <c r="A116" s="16"/>
      <c r="B116" s="9"/>
      <c r="C116" s="9"/>
      <c r="D116" s="9"/>
      <c r="E116" s="9"/>
      <c r="F116" s="9"/>
      <c r="G116" s="10" t="str">
        <f>IF(E116="","",INDEX(Rates!$B$2:$B$5,MATCH(E116,Rates!$A$2:$A$5,0)))</f>
        <v/>
      </c>
      <c r="H116" s="17" t="str">
        <f t="shared" si="1"/>
        <v/>
      </c>
      <c r="I116" s="17" t="str">
        <f>IF(H116="","",SUM($H$2:H116))</f>
        <v/>
      </c>
      <c r="J116" s="9"/>
    </row>
    <row r="117" spans="1:10" x14ac:dyDescent="0.65">
      <c r="A117" s="16"/>
      <c r="B117" s="9"/>
      <c r="C117" s="9"/>
      <c r="D117" s="9"/>
      <c r="E117" s="9"/>
      <c r="F117" s="9"/>
      <c r="G117" s="10" t="str">
        <f>IF(E117="","",INDEX(Rates!$B$2:$B$5,MATCH(E117,Rates!$A$2:$A$5,0)))</f>
        <v/>
      </c>
      <c r="H117" s="17" t="str">
        <f t="shared" si="1"/>
        <v/>
      </c>
      <c r="I117" s="17" t="str">
        <f>IF(H117="","",SUM($H$2:H117))</f>
        <v/>
      </c>
      <c r="J117" s="9"/>
    </row>
    <row r="118" spans="1:10" x14ac:dyDescent="0.65">
      <c r="A118" s="16"/>
      <c r="B118" s="9"/>
      <c r="C118" s="9"/>
      <c r="D118" s="9"/>
      <c r="E118" s="9"/>
      <c r="F118" s="9"/>
      <c r="G118" s="10" t="str">
        <f>IF(E118="","",INDEX(Rates!$B$2:$B$5,MATCH(E118,Rates!$A$2:$A$5,0)))</f>
        <v/>
      </c>
      <c r="H118" s="17" t="str">
        <f t="shared" si="1"/>
        <v/>
      </c>
      <c r="I118" s="17" t="str">
        <f>IF(H118="","",SUM($H$2:H118))</f>
        <v/>
      </c>
      <c r="J118" s="9"/>
    </row>
    <row r="119" spans="1:10" x14ac:dyDescent="0.65">
      <c r="A119" s="16"/>
      <c r="B119" s="9"/>
      <c r="C119" s="9"/>
      <c r="D119" s="9"/>
      <c r="E119" s="9"/>
      <c r="F119" s="9"/>
      <c r="G119" s="10" t="str">
        <f>IF(E119="","",INDEX(Rates!$B$2:$B$5,MATCH(E119,Rates!$A$2:$A$5,0)))</f>
        <v/>
      </c>
      <c r="H119" s="17" t="str">
        <f t="shared" si="1"/>
        <v/>
      </c>
      <c r="I119" s="17" t="str">
        <f>IF(H119="","",SUM($H$2:H119))</f>
        <v/>
      </c>
      <c r="J119" s="9"/>
    </row>
    <row r="120" spans="1:10" x14ac:dyDescent="0.65">
      <c r="A120" s="16"/>
      <c r="B120" s="9"/>
      <c r="C120" s="9"/>
      <c r="D120" s="9"/>
      <c r="E120" s="9"/>
      <c r="F120" s="9"/>
      <c r="G120" s="10" t="str">
        <f>IF(E120="","",INDEX(Rates!$B$2:$B$5,MATCH(E120,Rates!$A$2:$A$5,0)))</f>
        <v/>
      </c>
      <c r="H120" s="17" t="str">
        <f t="shared" si="1"/>
        <v/>
      </c>
      <c r="I120" s="17" t="str">
        <f>IF(H120="","",SUM($H$2:H120))</f>
        <v/>
      </c>
      <c r="J120" s="9"/>
    </row>
    <row r="121" spans="1:10" x14ac:dyDescent="0.65">
      <c r="A121" s="16"/>
      <c r="B121" s="9"/>
      <c r="C121" s="9"/>
      <c r="D121" s="9"/>
      <c r="E121" s="9"/>
      <c r="F121" s="9"/>
      <c r="G121" s="10" t="str">
        <f>IF(E121="","",INDEX(Rates!$B$2:$B$5,MATCH(E121,Rates!$A$2:$A$5,0)))</f>
        <v/>
      </c>
      <c r="H121" s="17" t="str">
        <f t="shared" si="1"/>
        <v/>
      </c>
      <c r="I121" s="17" t="str">
        <f>IF(H121="","",SUM($H$2:H121))</f>
        <v/>
      </c>
      <c r="J121" s="9"/>
    </row>
    <row r="122" spans="1:10" x14ac:dyDescent="0.65">
      <c r="A122" s="16"/>
      <c r="B122" s="9"/>
      <c r="C122" s="9"/>
      <c r="D122" s="9"/>
      <c r="E122" s="9"/>
      <c r="F122" s="9"/>
      <c r="G122" s="10" t="str">
        <f>IF(E122="","",INDEX(Rates!$B$2:$B$5,MATCH(E122,Rates!$A$2:$A$5,0)))</f>
        <v/>
      </c>
      <c r="H122" s="17" t="str">
        <f t="shared" si="1"/>
        <v/>
      </c>
      <c r="I122" s="17" t="str">
        <f>IF(H122="","",SUM($H$2:H122))</f>
        <v/>
      </c>
      <c r="J122" s="9"/>
    </row>
    <row r="123" spans="1:10" x14ac:dyDescent="0.65">
      <c r="A123" s="16"/>
      <c r="B123" s="9"/>
      <c r="C123" s="9"/>
      <c r="D123" s="9"/>
      <c r="E123" s="9"/>
      <c r="F123" s="9"/>
      <c r="G123" s="10" t="str">
        <f>IF(E123="","",INDEX(Rates!$B$2:$B$5,MATCH(E123,Rates!$A$2:$A$5,0)))</f>
        <v/>
      </c>
      <c r="H123" s="17" t="str">
        <f t="shared" si="1"/>
        <v/>
      </c>
      <c r="I123" s="17" t="str">
        <f>IF(H123="","",SUM($H$2:H123))</f>
        <v/>
      </c>
      <c r="J123" s="9"/>
    </row>
    <row r="124" spans="1:10" x14ac:dyDescent="0.65">
      <c r="A124" s="16"/>
      <c r="B124" s="9"/>
      <c r="C124" s="9"/>
      <c r="D124" s="9"/>
      <c r="E124" s="9"/>
      <c r="F124" s="9"/>
      <c r="G124" s="10" t="str">
        <f>IF(E124="","",INDEX(Rates!$B$2:$B$5,MATCH(E124,Rates!$A$2:$A$5,0)))</f>
        <v/>
      </c>
      <c r="H124" s="17" t="str">
        <f t="shared" si="1"/>
        <v/>
      </c>
      <c r="I124" s="17" t="str">
        <f>IF(H124="","",SUM($H$2:H124))</f>
        <v/>
      </c>
      <c r="J124" s="9"/>
    </row>
    <row r="125" spans="1:10" x14ac:dyDescent="0.65">
      <c r="A125" s="16"/>
      <c r="B125" s="9"/>
      <c r="C125" s="9"/>
      <c r="D125" s="9"/>
      <c r="E125" s="9"/>
      <c r="F125" s="9"/>
      <c r="G125" s="10" t="str">
        <f>IF(E125="","",INDEX(Rates!$B$2:$B$5,MATCH(E125,Rates!$A$2:$A$5,0)))</f>
        <v/>
      </c>
      <c r="H125" s="17" t="str">
        <f t="shared" si="1"/>
        <v/>
      </c>
      <c r="I125" s="17" t="str">
        <f>IF(H125="","",SUM($H$2:H125))</f>
        <v/>
      </c>
      <c r="J125" s="9"/>
    </row>
    <row r="126" spans="1:10" x14ac:dyDescent="0.65">
      <c r="A126" s="16"/>
      <c r="B126" s="9"/>
      <c r="C126" s="9"/>
      <c r="D126" s="9"/>
      <c r="E126" s="9"/>
      <c r="F126" s="9"/>
      <c r="G126" s="10" t="str">
        <f>IF(E126="","",INDEX(Rates!$B$2:$B$5,MATCH(E126,Rates!$A$2:$A$5,0)))</f>
        <v/>
      </c>
      <c r="H126" s="17" t="str">
        <f t="shared" si="1"/>
        <v/>
      </c>
      <c r="I126" s="17" t="str">
        <f>IF(H126="","",SUM($H$2:H126))</f>
        <v/>
      </c>
      <c r="J126" s="9"/>
    </row>
    <row r="127" spans="1:10" x14ac:dyDescent="0.65">
      <c r="A127" s="16"/>
      <c r="B127" s="9"/>
      <c r="C127" s="9"/>
      <c r="D127" s="9"/>
      <c r="E127" s="9"/>
      <c r="F127" s="9"/>
      <c r="G127" s="10" t="str">
        <f>IF(E127="","",INDEX(Rates!$B$2:$B$5,MATCH(E127,Rates!$A$2:$A$5,0)))</f>
        <v/>
      </c>
      <c r="H127" s="17" t="str">
        <f t="shared" si="1"/>
        <v/>
      </c>
      <c r="I127" s="17" t="str">
        <f>IF(H127="","",SUM($H$2:H127))</f>
        <v/>
      </c>
      <c r="J127" s="9"/>
    </row>
    <row r="128" spans="1:10" x14ac:dyDescent="0.65">
      <c r="A128" s="16"/>
      <c r="B128" s="9"/>
      <c r="C128" s="9"/>
      <c r="D128" s="9"/>
      <c r="E128" s="9"/>
      <c r="F128" s="9"/>
      <c r="G128" s="10" t="str">
        <f>IF(E128="","",INDEX(Rates!$B$2:$B$5,MATCH(E128,Rates!$A$2:$A$5,0)))</f>
        <v/>
      </c>
      <c r="H128" s="17" t="str">
        <f t="shared" si="1"/>
        <v/>
      </c>
      <c r="I128" s="17" t="str">
        <f>IF(H128="","",SUM($H$2:H128))</f>
        <v/>
      </c>
      <c r="J128" s="9"/>
    </row>
    <row r="129" spans="1:10" x14ac:dyDescent="0.65">
      <c r="A129" s="16"/>
      <c r="B129" s="9"/>
      <c r="C129" s="9"/>
      <c r="D129" s="9"/>
      <c r="E129" s="9"/>
      <c r="F129" s="9"/>
      <c r="G129" s="10" t="str">
        <f>IF(E129="","",INDEX(Rates!$B$2:$B$5,MATCH(E129,Rates!$A$2:$A$5,0)))</f>
        <v/>
      </c>
      <c r="H129" s="17" t="str">
        <f t="shared" si="1"/>
        <v/>
      </c>
      <c r="I129" s="17" t="str">
        <f>IF(H129="","",SUM($H$2:H129))</f>
        <v/>
      </c>
      <c r="J129" s="9"/>
    </row>
    <row r="130" spans="1:10" x14ac:dyDescent="0.65">
      <c r="A130" s="16"/>
      <c r="B130" s="9"/>
      <c r="C130" s="9"/>
      <c r="D130" s="9"/>
      <c r="E130" s="9"/>
      <c r="F130" s="9"/>
      <c r="G130" s="10" t="str">
        <f>IF(E130="","",INDEX(Rates!$B$2:$B$5,MATCH(E130,Rates!$A$2:$A$5,0)))</f>
        <v/>
      </c>
      <c r="H130" s="17" t="str">
        <f t="shared" ref="H130:H193" si="2">IF(F130="","",F130*G130)</f>
        <v/>
      </c>
      <c r="I130" s="17" t="str">
        <f>IF(H130="","",SUM($H$2:H130))</f>
        <v/>
      </c>
      <c r="J130" s="9"/>
    </row>
    <row r="131" spans="1:10" x14ac:dyDescent="0.65">
      <c r="A131" s="16"/>
      <c r="B131" s="9"/>
      <c r="C131" s="9"/>
      <c r="D131" s="9"/>
      <c r="E131" s="9"/>
      <c r="F131" s="9"/>
      <c r="G131" s="10" t="str">
        <f>IF(E131="","",INDEX(Rates!$B$2:$B$5,MATCH(E131,Rates!$A$2:$A$5,0)))</f>
        <v/>
      </c>
      <c r="H131" s="17" t="str">
        <f t="shared" si="2"/>
        <v/>
      </c>
      <c r="I131" s="17" t="str">
        <f>IF(H131="","",SUM($H$2:H131))</f>
        <v/>
      </c>
      <c r="J131" s="9"/>
    </row>
    <row r="132" spans="1:10" x14ac:dyDescent="0.65">
      <c r="A132" s="16"/>
      <c r="B132" s="9"/>
      <c r="C132" s="9"/>
      <c r="D132" s="9"/>
      <c r="E132" s="9"/>
      <c r="F132" s="9"/>
      <c r="G132" s="10" t="str">
        <f>IF(E132="","",INDEX(Rates!$B$2:$B$5,MATCH(E132,Rates!$A$2:$A$5,0)))</f>
        <v/>
      </c>
      <c r="H132" s="17" t="str">
        <f t="shared" si="2"/>
        <v/>
      </c>
      <c r="I132" s="17" t="str">
        <f>IF(H132="","",SUM($H$2:H132))</f>
        <v/>
      </c>
      <c r="J132" s="9"/>
    </row>
    <row r="133" spans="1:10" x14ac:dyDescent="0.65">
      <c r="A133" s="16"/>
      <c r="B133" s="9"/>
      <c r="C133" s="9"/>
      <c r="D133" s="9"/>
      <c r="E133" s="9"/>
      <c r="F133" s="9"/>
      <c r="G133" s="10" t="str">
        <f>IF(E133="","",INDEX(Rates!$B$2:$B$5,MATCH(E133,Rates!$A$2:$A$5,0)))</f>
        <v/>
      </c>
      <c r="H133" s="17" t="str">
        <f t="shared" si="2"/>
        <v/>
      </c>
      <c r="I133" s="17" t="str">
        <f>IF(H133="","",SUM($H$2:H133))</f>
        <v/>
      </c>
      <c r="J133" s="9"/>
    </row>
    <row r="134" spans="1:10" x14ac:dyDescent="0.65">
      <c r="A134" s="16"/>
      <c r="B134" s="9"/>
      <c r="C134" s="9"/>
      <c r="D134" s="9"/>
      <c r="E134" s="9"/>
      <c r="F134" s="9"/>
      <c r="G134" s="10" t="str">
        <f>IF(E134="","",INDEX(Rates!$B$2:$B$5,MATCH(E134,Rates!$A$2:$A$5,0)))</f>
        <v/>
      </c>
      <c r="H134" s="17" t="str">
        <f t="shared" si="2"/>
        <v/>
      </c>
      <c r="I134" s="17" t="str">
        <f>IF(H134="","",SUM($H$2:H134))</f>
        <v/>
      </c>
      <c r="J134" s="9"/>
    </row>
    <row r="135" spans="1:10" x14ac:dyDescent="0.65">
      <c r="A135" s="16"/>
      <c r="B135" s="9"/>
      <c r="C135" s="9"/>
      <c r="D135" s="9"/>
      <c r="E135" s="9"/>
      <c r="F135" s="9"/>
      <c r="G135" s="10" t="str">
        <f>IF(E135="","",INDEX(Rates!$B$2:$B$5,MATCH(E135,Rates!$A$2:$A$5,0)))</f>
        <v/>
      </c>
      <c r="H135" s="17" t="str">
        <f t="shared" si="2"/>
        <v/>
      </c>
      <c r="I135" s="17" t="str">
        <f>IF(H135="","",SUM($H$2:H135))</f>
        <v/>
      </c>
      <c r="J135" s="9"/>
    </row>
    <row r="136" spans="1:10" x14ac:dyDescent="0.65">
      <c r="A136" s="16"/>
      <c r="B136" s="9"/>
      <c r="C136" s="9"/>
      <c r="D136" s="9"/>
      <c r="E136" s="9"/>
      <c r="F136" s="9"/>
      <c r="G136" s="10" t="str">
        <f>IF(E136="","",INDEX(Rates!$B$2:$B$5,MATCH(E136,Rates!$A$2:$A$5,0)))</f>
        <v/>
      </c>
      <c r="H136" s="17" t="str">
        <f t="shared" si="2"/>
        <v/>
      </c>
      <c r="I136" s="17" t="str">
        <f>IF(H136="","",SUM($H$2:H136))</f>
        <v/>
      </c>
      <c r="J136" s="9"/>
    </row>
    <row r="137" spans="1:10" x14ac:dyDescent="0.65">
      <c r="A137" s="16"/>
      <c r="B137" s="9"/>
      <c r="C137" s="9"/>
      <c r="D137" s="9"/>
      <c r="E137" s="9"/>
      <c r="F137" s="9"/>
      <c r="G137" s="10" t="str">
        <f>IF(E137="","",INDEX(Rates!$B$2:$B$5,MATCH(E137,Rates!$A$2:$A$5,0)))</f>
        <v/>
      </c>
      <c r="H137" s="17" t="str">
        <f t="shared" si="2"/>
        <v/>
      </c>
      <c r="I137" s="17" t="str">
        <f>IF(H137="","",SUM($H$2:H137))</f>
        <v/>
      </c>
      <c r="J137" s="9"/>
    </row>
    <row r="138" spans="1:10" x14ac:dyDescent="0.65">
      <c r="A138" s="16"/>
      <c r="B138" s="9"/>
      <c r="C138" s="9"/>
      <c r="D138" s="9"/>
      <c r="E138" s="9"/>
      <c r="F138" s="9"/>
      <c r="G138" s="10" t="str">
        <f>IF(E138="","",INDEX(Rates!$B$2:$B$5,MATCH(E138,Rates!$A$2:$A$5,0)))</f>
        <v/>
      </c>
      <c r="H138" s="17" t="str">
        <f t="shared" si="2"/>
        <v/>
      </c>
      <c r="I138" s="17" t="str">
        <f>IF(H138="","",SUM($H$2:H138))</f>
        <v/>
      </c>
      <c r="J138" s="9"/>
    </row>
    <row r="139" spans="1:10" x14ac:dyDescent="0.65">
      <c r="A139" s="16"/>
      <c r="B139" s="9"/>
      <c r="C139" s="9"/>
      <c r="D139" s="9"/>
      <c r="E139" s="9"/>
      <c r="F139" s="9"/>
      <c r="G139" s="10" t="str">
        <f>IF(E139="","",INDEX(Rates!$B$2:$B$5,MATCH(E139,Rates!$A$2:$A$5,0)))</f>
        <v/>
      </c>
      <c r="H139" s="17" t="str">
        <f t="shared" si="2"/>
        <v/>
      </c>
      <c r="I139" s="17" t="str">
        <f>IF(H139="","",SUM($H$2:H139))</f>
        <v/>
      </c>
      <c r="J139" s="9"/>
    </row>
    <row r="140" spans="1:10" x14ac:dyDescent="0.65">
      <c r="A140" s="16"/>
      <c r="B140" s="9"/>
      <c r="C140" s="9"/>
      <c r="D140" s="9"/>
      <c r="E140" s="9"/>
      <c r="F140" s="9"/>
      <c r="G140" s="10" t="str">
        <f>IF(E140="","",INDEX(Rates!$B$2:$B$5,MATCH(E140,Rates!$A$2:$A$5,0)))</f>
        <v/>
      </c>
      <c r="H140" s="17" t="str">
        <f t="shared" si="2"/>
        <v/>
      </c>
      <c r="I140" s="17" t="str">
        <f>IF(H140="","",SUM($H$2:H140))</f>
        <v/>
      </c>
      <c r="J140" s="9"/>
    </row>
    <row r="141" spans="1:10" x14ac:dyDescent="0.65">
      <c r="A141" s="16"/>
      <c r="B141" s="9"/>
      <c r="C141" s="9"/>
      <c r="D141" s="9"/>
      <c r="E141" s="9"/>
      <c r="F141" s="9"/>
      <c r="G141" s="10" t="str">
        <f>IF(E141="","",INDEX(Rates!$B$2:$B$5,MATCH(E141,Rates!$A$2:$A$5,0)))</f>
        <v/>
      </c>
      <c r="H141" s="17" t="str">
        <f t="shared" si="2"/>
        <v/>
      </c>
      <c r="I141" s="17" t="str">
        <f>IF(H141="","",SUM($H$2:H141))</f>
        <v/>
      </c>
      <c r="J141" s="9"/>
    </row>
    <row r="142" spans="1:10" x14ac:dyDescent="0.65">
      <c r="A142" s="16"/>
      <c r="B142" s="9"/>
      <c r="C142" s="9"/>
      <c r="D142" s="9"/>
      <c r="E142" s="9"/>
      <c r="F142" s="9"/>
      <c r="G142" s="10" t="str">
        <f>IF(E142="","",INDEX(Rates!$B$2:$B$5,MATCH(E142,Rates!$A$2:$A$5,0)))</f>
        <v/>
      </c>
      <c r="H142" s="17" t="str">
        <f t="shared" si="2"/>
        <v/>
      </c>
      <c r="I142" s="17" t="str">
        <f>IF(H142="","",SUM($H$2:H142))</f>
        <v/>
      </c>
      <c r="J142" s="9"/>
    </row>
    <row r="143" spans="1:10" x14ac:dyDescent="0.65">
      <c r="A143" s="16"/>
      <c r="B143" s="9"/>
      <c r="C143" s="9"/>
      <c r="D143" s="9"/>
      <c r="E143" s="9"/>
      <c r="F143" s="9"/>
      <c r="G143" s="10" t="str">
        <f>IF(E143="","",INDEX(Rates!$B$2:$B$5,MATCH(E143,Rates!$A$2:$A$5,0)))</f>
        <v/>
      </c>
      <c r="H143" s="17" t="str">
        <f t="shared" si="2"/>
        <v/>
      </c>
      <c r="I143" s="17" t="str">
        <f>IF(H143="","",SUM($H$2:H143))</f>
        <v/>
      </c>
      <c r="J143" s="9"/>
    </row>
    <row r="144" spans="1:10" x14ac:dyDescent="0.65">
      <c r="A144" s="16"/>
      <c r="B144" s="9"/>
      <c r="C144" s="9"/>
      <c r="D144" s="9"/>
      <c r="E144" s="9"/>
      <c r="F144" s="9"/>
      <c r="G144" s="10" t="str">
        <f>IF(E144="","",INDEX(Rates!$B$2:$B$5,MATCH(E144,Rates!$A$2:$A$5,0)))</f>
        <v/>
      </c>
      <c r="H144" s="17" t="str">
        <f t="shared" si="2"/>
        <v/>
      </c>
      <c r="I144" s="17" t="str">
        <f>IF(H144="","",SUM($H$2:H144))</f>
        <v/>
      </c>
      <c r="J144" s="9"/>
    </row>
    <row r="145" spans="1:10" x14ac:dyDescent="0.65">
      <c r="A145" s="16"/>
      <c r="B145" s="9"/>
      <c r="C145" s="9"/>
      <c r="D145" s="9"/>
      <c r="E145" s="9"/>
      <c r="F145" s="9"/>
      <c r="G145" s="10" t="str">
        <f>IF(E145="","",INDEX(Rates!$B$2:$B$5,MATCH(E145,Rates!$A$2:$A$5,0)))</f>
        <v/>
      </c>
      <c r="H145" s="17" t="str">
        <f t="shared" si="2"/>
        <v/>
      </c>
      <c r="I145" s="17" t="str">
        <f>IF(H145="","",SUM($H$2:H145))</f>
        <v/>
      </c>
      <c r="J145" s="9"/>
    </row>
    <row r="146" spans="1:10" x14ac:dyDescent="0.65">
      <c r="A146" s="16"/>
      <c r="B146" s="9"/>
      <c r="C146" s="9"/>
      <c r="D146" s="9"/>
      <c r="E146" s="9"/>
      <c r="F146" s="9"/>
      <c r="G146" s="10" t="str">
        <f>IF(E146="","",INDEX(Rates!$B$2:$B$5,MATCH(E146,Rates!$A$2:$A$5,0)))</f>
        <v/>
      </c>
      <c r="H146" s="17" t="str">
        <f t="shared" si="2"/>
        <v/>
      </c>
      <c r="I146" s="17" t="str">
        <f>IF(H146="","",SUM($H$2:H146))</f>
        <v/>
      </c>
      <c r="J146" s="9"/>
    </row>
    <row r="147" spans="1:10" x14ac:dyDescent="0.65">
      <c r="A147" s="16"/>
      <c r="B147" s="9"/>
      <c r="C147" s="9"/>
      <c r="D147" s="9"/>
      <c r="E147" s="9"/>
      <c r="F147" s="9"/>
      <c r="G147" s="10" t="str">
        <f>IF(E147="","",INDEX(Rates!$B$2:$B$5,MATCH(E147,Rates!$A$2:$A$5,0)))</f>
        <v/>
      </c>
      <c r="H147" s="17" t="str">
        <f t="shared" si="2"/>
        <v/>
      </c>
      <c r="I147" s="17" t="str">
        <f>IF(H147="","",SUM($H$2:H147))</f>
        <v/>
      </c>
      <c r="J147" s="9"/>
    </row>
    <row r="148" spans="1:10" x14ac:dyDescent="0.65">
      <c r="A148" s="16"/>
      <c r="B148" s="9"/>
      <c r="C148" s="9"/>
      <c r="D148" s="9"/>
      <c r="E148" s="9"/>
      <c r="F148" s="9"/>
      <c r="G148" s="10" t="str">
        <f>IF(E148="","",INDEX(Rates!$B$2:$B$5,MATCH(E148,Rates!$A$2:$A$5,0)))</f>
        <v/>
      </c>
      <c r="H148" s="17" t="str">
        <f t="shared" si="2"/>
        <v/>
      </c>
      <c r="I148" s="17" t="str">
        <f>IF(H148="","",SUM($H$2:H148))</f>
        <v/>
      </c>
      <c r="J148" s="9"/>
    </row>
    <row r="149" spans="1:10" x14ac:dyDescent="0.65">
      <c r="A149" s="16"/>
      <c r="B149" s="9"/>
      <c r="C149" s="9"/>
      <c r="D149" s="9"/>
      <c r="E149" s="9"/>
      <c r="F149" s="9"/>
      <c r="G149" s="10" t="str">
        <f>IF(E149="","",INDEX(Rates!$B$2:$B$5,MATCH(E149,Rates!$A$2:$A$5,0)))</f>
        <v/>
      </c>
      <c r="H149" s="17" t="str">
        <f t="shared" si="2"/>
        <v/>
      </c>
      <c r="I149" s="17" t="str">
        <f>IF(H149="","",SUM($H$2:H149))</f>
        <v/>
      </c>
      <c r="J149" s="9"/>
    </row>
    <row r="150" spans="1:10" x14ac:dyDescent="0.65">
      <c r="A150" s="16"/>
      <c r="B150" s="9"/>
      <c r="C150" s="9"/>
      <c r="D150" s="9"/>
      <c r="E150" s="9"/>
      <c r="F150" s="9"/>
      <c r="G150" s="10" t="str">
        <f>IF(E150="","",INDEX(Rates!$B$2:$B$5,MATCH(E150,Rates!$A$2:$A$5,0)))</f>
        <v/>
      </c>
      <c r="H150" s="17" t="str">
        <f t="shared" si="2"/>
        <v/>
      </c>
      <c r="I150" s="17" t="str">
        <f>IF(H150="","",SUM($H$2:H150))</f>
        <v/>
      </c>
      <c r="J150" s="9"/>
    </row>
    <row r="151" spans="1:10" x14ac:dyDescent="0.65">
      <c r="A151" s="16"/>
      <c r="B151" s="9"/>
      <c r="C151" s="9"/>
      <c r="D151" s="9"/>
      <c r="E151" s="9"/>
      <c r="F151" s="9"/>
      <c r="G151" s="10" t="str">
        <f>IF(E151="","",INDEX(Rates!$B$2:$B$5,MATCH(E151,Rates!$A$2:$A$5,0)))</f>
        <v/>
      </c>
      <c r="H151" s="17" t="str">
        <f t="shared" si="2"/>
        <v/>
      </c>
      <c r="I151" s="17" t="str">
        <f>IF(H151="","",SUM($H$2:H151))</f>
        <v/>
      </c>
      <c r="J151" s="9"/>
    </row>
    <row r="152" spans="1:10" x14ac:dyDescent="0.65">
      <c r="A152" s="16"/>
      <c r="B152" s="9"/>
      <c r="C152" s="9"/>
      <c r="D152" s="9"/>
      <c r="E152" s="9"/>
      <c r="F152" s="9"/>
      <c r="G152" s="10" t="str">
        <f>IF(E152="","",INDEX(Rates!$B$2:$B$5,MATCH(E152,Rates!$A$2:$A$5,0)))</f>
        <v/>
      </c>
      <c r="H152" s="17" t="str">
        <f t="shared" si="2"/>
        <v/>
      </c>
      <c r="I152" s="17" t="str">
        <f>IF(H152="","",SUM($H$2:H152))</f>
        <v/>
      </c>
      <c r="J152" s="9"/>
    </row>
    <row r="153" spans="1:10" x14ac:dyDescent="0.65">
      <c r="A153" s="16"/>
      <c r="B153" s="9"/>
      <c r="C153" s="9"/>
      <c r="D153" s="9"/>
      <c r="E153" s="9"/>
      <c r="F153" s="9"/>
      <c r="G153" s="10" t="str">
        <f>IF(E153="","",INDEX(Rates!$B$2:$B$5,MATCH(E153,Rates!$A$2:$A$5,0)))</f>
        <v/>
      </c>
      <c r="H153" s="17" t="str">
        <f t="shared" si="2"/>
        <v/>
      </c>
      <c r="I153" s="17" t="str">
        <f>IF(H153="","",SUM($H$2:H153))</f>
        <v/>
      </c>
      <c r="J153" s="9"/>
    </row>
    <row r="154" spans="1:10" x14ac:dyDescent="0.65">
      <c r="A154" s="16"/>
      <c r="B154" s="9"/>
      <c r="C154" s="9"/>
      <c r="D154" s="9"/>
      <c r="E154" s="9"/>
      <c r="F154" s="9"/>
      <c r="G154" s="10" t="str">
        <f>IF(E154="","",INDEX(Rates!$B$2:$B$5,MATCH(E154,Rates!$A$2:$A$5,0)))</f>
        <v/>
      </c>
      <c r="H154" s="17" t="str">
        <f t="shared" si="2"/>
        <v/>
      </c>
      <c r="I154" s="17" t="str">
        <f>IF(H154="","",SUM($H$2:H154))</f>
        <v/>
      </c>
      <c r="J154" s="9"/>
    </row>
    <row r="155" spans="1:10" x14ac:dyDescent="0.65">
      <c r="A155" s="16"/>
      <c r="B155" s="9"/>
      <c r="C155" s="9"/>
      <c r="D155" s="9"/>
      <c r="E155" s="9"/>
      <c r="F155" s="9"/>
      <c r="G155" s="10" t="str">
        <f>IF(E155="","",INDEX(Rates!$B$2:$B$5,MATCH(E155,Rates!$A$2:$A$5,0)))</f>
        <v/>
      </c>
      <c r="H155" s="17" t="str">
        <f t="shared" si="2"/>
        <v/>
      </c>
      <c r="I155" s="17" t="str">
        <f>IF(H155="","",SUM($H$2:H155))</f>
        <v/>
      </c>
      <c r="J155" s="9"/>
    </row>
    <row r="156" spans="1:10" x14ac:dyDescent="0.65">
      <c r="A156" s="16"/>
      <c r="B156" s="9"/>
      <c r="C156" s="9"/>
      <c r="D156" s="9"/>
      <c r="E156" s="9"/>
      <c r="F156" s="9"/>
      <c r="G156" s="10" t="str">
        <f>IF(E156="","",INDEX(Rates!$B$2:$B$5,MATCH(E156,Rates!$A$2:$A$5,0)))</f>
        <v/>
      </c>
      <c r="H156" s="17" t="str">
        <f t="shared" si="2"/>
        <v/>
      </c>
      <c r="I156" s="17" t="str">
        <f>IF(H156="","",SUM($H$2:H156))</f>
        <v/>
      </c>
      <c r="J156" s="9"/>
    </row>
    <row r="157" spans="1:10" x14ac:dyDescent="0.65">
      <c r="A157" s="16"/>
      <c r="B157" s="9"/>
      <c r="C157" s="9"/>
      <c r="D157" s="9"/>
      <c r="E157" s="9"/>
      <c r="F157" s="9"/>
      <c r="G157" s="10" t="str">
        <f>IF(E157="","",INDEX(Rates!$B$2:$B$5,MATCH(E157,Rates!$A$2:$A$5,0)))</f>
        <v/>
      </c>
      <c r="H157" s="17" t="str">
        <f t="shared" si="2"/>
        <v/>
      </c>
      <c r="I157" s="17" t="str">
        <f>IF(H157="","",SUM($H$2:H157))</f>
        <v/>
      </c>
      <c r="J157" s="9"/>
    </row>
    <row r="158" spans="1:10" x14ac:dyDescent="0.65">
      <c r="A158" s="16"/>
      <c r="B158" s="9"/>
      <c r="C158" s="9"/>
      <c r="D158" s="9"/>
      <c r="E158" s="9"/>
      <c r="F158" s="9"/>
      <c r="G158" s="10" t="str">
        <f>IF(E158="","",INDEX(Rates!$B$2:$B$5,MATCH(E158,Rates!$A$2:$A$5,0)))</f>
        <v/>
      </c>
      <c r="H158" s="17" t="str">
        <f t="shared" si="2"/>
        <v/>
      </c>
      <c r="I158" s="17" t="str">
        <f>IF(H158="","",SUM($H$2:H158))</f>
        <v/>
      </c>
      <c r="J158" s="9"/>
    </row>
    <row r="159" spans="1:10" x14ac:dyDescent="0.65">
      <c r="A159" s="16"/>
      <c r="B159" s="9"/>
      <c r="C159" s="9"/>
      <c r="D159" s="9"/>
      <c r="E159" s="9"/>
      <c r="F159" s="9"/>
      <c r="G159" s="10" t="str">
        <f>IF(E159="","",INDEX(Rates!$B$2:$B$5,MATCH(E159,Rates!$A$2:$A$5,0)))</f>
        <v/>
      </c>
      <c r="H159" s="17" t="str">
        <f t="shared" si="2"/>
        <v/>
      </c>
      <c r="I159" s="17" t="str">
        <f>IF(H159="","",SUM($H$2:H159))</f>
        <v/>
      </c>
      <c r="J159" s="9"/>
    </row>
    <row r="160" spans="1:10" x14ac:dyDescent="0.65">
      <c r="A160" s="16"/>
      <c r="B160" s="9"/>
      <c r="C160" s="9"/>
      <c r="D160" s="9"/>
      <c r="E160" s="9"/>
      <c r="F160" s="9"/>
      <c r="G160" s="10" t="str">
        <f>IF(E160="","",INDEX(Rates!$B$2:$B$5,MATCH(E160,Rates!$A$2:$A$5,0)))</f>
        <v/>
      </c>
      <c r="H160" s="17" t="str">
        <f t="shared" si="2"/>
        <v/>
      </c>
      <c r="I160" s="17" t="str">
        <f>IF(H160="","",SUM($H$2:H160))</f>
        <v/>
      </c>
      <c r="J160" s="9"/>
    </row>
    <row r="161" spans="1:10" x14ac:dyDescent="0.65">
      <c r="A161" s="16"/>
      <c r="B161" s="9"/>
      <c r="C161" s="9"/>
      <c r="D161" s="9"/>
      <c r="E161" s="9"/>
      <c r="F161" s="9"/>
      <c r="G161" s="10" t="str">
        <f>IF(E161="","",INDEX(Rates!$B$2:$B$5,MATCH(E161,Rates!$A$2:$A$5,0)))</f>
        <v/>
      </c>
      <c r="H161" s="17" t="str">
        <f t="shared" si="2"/>
        <v/>
      </c>
      <c r="I161" s="17" t="str">
        <f>IF(H161="","",SUM($H$2:H161))</f>
        <v/>
      </c>
      <c r="J161" s="9"/>
    </row>
    <row r="162" spans="1:10" x14ac:dyDescent="0.65">
      <c r="A162" s="16"/>
      <c r="B162" s="9"/>
      <c r="C162" s="9"/>
      <c r="D162" s="9"/>
      <c r="E162" s="9"/>
      <c r="F162" s="9"/>
      <c r="G162" s="10" t="str">
        <f>IF(E162="","",INDEX(Rates!$B$2:$B$5,MATCH(E162,Rates!$A$2:$A$5,0)))</f>
        <v/>
      </c>
      <c r="H162" s="17" t="str">
        <f t="shared" si="2"/>
        <v/>
      </c>
      <c r="I162" s="17" t="str">
        <f>IF(H162="","",SUM($H$2:H162))</f>
        <v/>
      </c>
      <c r="J162" s="9"/>
    </row>
    <row r="163" spans="1:10" x14ac:dyDescent="0.65">
      <c r="A163" s="16"/>
      <c r="B163" s="9"/>
      <c r="C163" s="9"/>
      <c r="D163" s="9"/>
      <c r="E163" s="9"/>
      <c r="F163" s="9"/>
      <c r="G163" s="10" t="str">
        <f>IF(E163="","",INDEX(Rates!$B$2:$B$5,MATCH(E163,Rates!$A$2:$A$5,0)))</f>
        <v/>
      </c>
      <c r="H163" s="17" t="str">
        <f t="shared" si="2"/>
        <v/>
      </c>
      <c r="I163" s="17" t="str">
        <f>IF(H163="","",SUM($H$2:H163))</f>
        <v/>
      </c>
      <c r="J163" s="9"/>
    </row>
    <row r="164" spans="1:10" x14ac:dyDescent="0.65">
      <c r="A164" s="16"/>
      <c r="B164" s="9"/>
      <c r="C164" s="9"/>
      <c r="D164" s="9"/>
      <c r="E164" s="9"/>
      <c r="F164" s="9"/>
      <c r="G164" s="10" t="str">
        <f>IF(E164="","",INDEX(Rates!$B$2:$B$5,MATCH(E164,Rates!$A$2:$A$5,0)))</f>
        <v/>
      </c>
      <c r="H164" s="17" t="str">
        <f t="shared" si="2"/>
        <v/>
      </c>
      <c r="I164" s="17" t="str">
        <f>IF(H164="","",SUM($H$2:H164))</f>
        <v/>
      </c>
      <c r="J164" s="9"/>
    </row>
    <row r="165" spans="1:10" x14ac:dyDescent="0.65">
      <c r="A165" s="16"/>
      <c r="B165" s="9"/>
      <c r="C165" s="9"/>
      <c r="D165" s="9"/>
      <c r="E165" s="9"/>
      <c r="F165" s="9"/>
      <c r="G165" s="10" t="str">
        <f>IF(E165="","",INDEX(Rates!$B$2:$B$5,MATCH(E165,Rates!$A$2:$A$5,0)))</f>
        <v/>
      </c>
      <c r="H165" s="17" t="str">
        <f t="shared" si="2"/>
        <v/>
      </c>
      <c r="I165" s="17" t="str">
        <f>IF(H165="","",SUM($H$2:H165))</f>
        <v/>
      </c>
      <c r="J165" s="9"/>
    </row>
    <row r="166" spans="1:10" x14ac:dyDescent="0.65">
      <c r="A166" s="16"/>
      <c r="B166" s="9"/>
      <c r="C166" s="9"/>
      <c r="D166" s="9"/>
      <c r="E166" s="9"/>
      <c r="F166" s="9"/>
      <c r="G166" s="10" t="str">
        <f>IF(E166="","",INDEX(Rates!$B$2:$B$5,MATCH(E166,Rates!$A$2:$A$5,0)))</f>
        <v/>
      </c>
      <c r="H166" s="17" t="str">
        <f t="shared" si="2"/>
        <v/>
      </c>
      <c r="I166" s="17" t="str">
        <f>IF(H166="","",SUM($H$2:H166))</f>
        <v/>
      </c>
      <c r="J166" s="9"/>
    </row>
    <row r="167" spans="1:10" x14ac:dyDescent="0.65">
      <c r="A167" s="16"/>
      <c r="B167" s="9"/>
      <c r="C167" s="9"/>
      <c r="D167" s="9"/>
      <c r="E167" s="9"/>
      <c r="F167" s="9"/>
      <c r="G167" s="10" t="str">
        <f>IF(E167="","",INDEX(Rates!$B$2:$B$5,MATCH(E167,Rates!$A$2:$A$5,0)))</f>
        <v/>
      </c>
      <c r="H167" s="17" t="str">
        <f t="shared" si="2"/>
        <v/>
      </c>
      <c r="I167" s="17" t="str">
        <f>IF(H167="","",SUM($H$2:H167))</f>
        <v/>
      </c>
      <c r="J167" s="9"/>
    </row>
    <row r="168" spans="1:10" x14ac:dyDescent="0.65">
      <c r="A168" s="16"/>
      <c r="B168" s="9"/>
      <c r="C168" s="9"/>
      <c r="D168" s="9"/>
      <c r="E168" s="9"/>
      <c r="F168" s="9"/>
      <c r="G168" s="10" t="str">
        <f>IF(E168="","",INDEX(Rates!$B$2:$B$5,MATCH(E168,Rates!$A$2:$A$5,0)))</f>
        <v/>
      </c>
      <c r="H168" s="17" t="str">
        <f t="shared" si="2"/>
        <v/>
      </c>
      <c r="I168" s="17" t="str">
        <f>IF(H168="","",SUM($H$2:H168))</f>
        <v/>
      </c>
      <c r="J168" s="9"/>
    </row>
    <row r="169" spans="1:10" x14ac:dyDescent="0.65">
      <c r="A169" s="16"/>
      <c r="B169" s="9"/>
      <c r="C169" s="9"/>
      <c r="D169" s="9"/>
      <c r="E169" s="9"/>
      <c r="F169" s="9"/>
      <c r="G169" s="10" t="str">
        <f>IF(E169="","",INDEX(Rates!$B$2:$B$5,MATCH(E169,Rates!$A$2:$A$5,0)))</f>
        <v/>
      </c>
      <c r="H169" s="17" t="str">
        <f t="shared" si="2"/>
        <v/>
      </c>
      <c r="I169" s="17" t="str">
        <f>IF(H169="","",SUM($H$2:H169))</f>
        <v/>
      </c>
      <c r="J169" s="9"/>
    </row>
    <row r="170" spans="1:10" x14ac:dyDescent="0.65">
      <c r="A170" s="16"/>
      <c r="B170" s="9"/>
      <c r="C170" s="9"/>
      <c r="D170" s="9"/>
      <c r="E170" s="9"/>
      <c r="F170" s="9"/>
      <c r="G170" s="10" t="str">
        <f>IF(E170="","",INDEX(Rates!$B$2:$B$5,MATCH(E170,Rates!$A$2:$A$5,0)))</f>
        <v/>
      </c>
      <c r="H170" s="17" t="str">
        <f t="shared" si="2"/>
        <v/>
      </c>
      <c r="I170" s="17" t="str">
        <f>IF(H170="","",SUM($H$2:H170))</f>
        <v/>
      </c>
      <c r="J170" s="9"/>
    </row>
    <row r="171" spans="1:10" x14ac:dyDescent="0.65">
      <c r="A171" s="16"/>
      <c r="B171" s="9"/>
      <c r="C171" s="9"/>
      <c r="D171" s="9"/>
      <c r="E171" s="9"/>
      <c r="F171" s="9"/>
      <c r="G171" s="10" t="str">
        <f>IF(E171="","",INDEX(Rates!$B$2:$B$5,MATCH(E171,Rates!$A$2:$A$5,0)))</f>
        <v/>
      </c>
      <c r="H171" s="17" t="str">
        <f t="shared" si="2"/>
        <v/>
      </c>
      <c r="I171" s="17" t="str">
        <f>IF(H171="","",SUM($H$2:H171))</f>
        <v/>
      </c>
      <c r="J171" s="9"/>
    </row>
    <row r="172" spans="1:10" x14ac:dyDescent="0.65">
      <c r="A172" s="16"/>
      <c r="B172" s="9"/>
      <c r="C172" s="9"/>
      <c r="D172" s="9"/>
      <c r="E172" s="9"/>
      <c r="F172" s="9"/>
      <c r="G172" s="10" t="str">
        <f>IF(E172="","",INDEX(Rates!$B$2:$B$5,MATCH(E172,Rates!$A$2:$A$5,0)))</f>
        <v/>
      </c>
      <c r="H172" s="17" t="str">
        <f t="shared" si="2"/>
        <v/>
      </c>
      <c r="I172" s="17" t="str">
        <f>IF(H172="","",SUM($H$2:H172))</f>
        <v/>
      </c>
      <c r="J172" s="9"/>
    </row>
    <row r="173" spans="1:10" x14ac:dyDescent="0.65">
      <c r="A173" s="16"/>
      <c r="B173" s="9"/>
      <c r="C173" s="9"/>
      <c r="D173" s="9"/>
      <c r="E173" s="9"/>
      <c r="F173" s="9"/>
      <c r="G173" s="10" t="str">
        <f>IF(E173="","",INDEX(Rates!$B$2:$B$5,MATCH(E173,Rates!$A$2:$A$5,0)))</f>
        <v/>
      </c>
      <c r="H173" s="17" t="str">
        <f t="shared" si="2"/>
        <v/>
      </c>
      <c r="I173" s="17" t="str">
        <f>IF(H173="","",SUM($H$2:H173))</f>
        <v/>
      </c>
      <c r="J173" s="9"/>
    </row>
    <row r="174" spans="1:10" x14ac:dyDescent="0.65">
      <c r="A174" s="16"/>
      <c r="B174" s="9"/>
      <c r="C174" s="9"/>
      <c r="D174" s="9"/>
      <c r="E174" s="9"/>
      <c r="F174" s="9"/>
      <c r="G174" s="10" t="str">
        <f>IF(E174="","",INDEX(Rates!$B$2:$B$5,MATCH(E174,Rates!$A$2:$A$5,0)))</f>
        <v/>
      </c>
      <c r="H174" s="17" t="str">
        <f t="shared" si="2"/>
        <v/>
      </c>
      <c r="I174" s="17" t="str">
        <f>IF(H174="","",SUM($H$2:H174))</f>
        <v/>
      </c>
      <c r="J174" s="9"/>
    </row>
    <row r="175" spans="1:10" x14ac:dyDescent="0.65">
      <c r="A175" s="16"/>
      <c r="B175" s="9"/>
      <c r="C175" s="9"/>
      <c r="D175" s="9"/>
      <c r="E175" s="9"/>
      <c r="F175" s="9"/>
      <c r="G175" s="10" t="str">
        <f>IF(E175="","",INDEX(Rates!$B$2:$B$5,MATCH(E175,Rates!$A$2:$A$5,0)))</f>
        <v/>
      </c>
      <c r="H175" s="17" t="str">
        <f t="shared" si="2"/>
        <v/>
      </c>
      <c r="I175" s="17" t="str">
        <f>IF(H175="","",SUM($H$2:H175))</f>
        <v/>
      </c>
      <c r="J175" s="9"/>
    </row>
    <row r="176" spans="1:10" x14ac:dyDescent="0.65">
      <c r="A176" s="16"/>
      <c r="B176" s="9"/>
      <c r="C176" s="9"/>
      <c r="D176" s="9"/>
      <c r="E176" s="9"/>
      <c r="F176" s="9"/>
      <c r="G176" s="10" t="str">
        <f>IF(E176="","",INDEX(Rates!$B$2:$B$5,MATCH(E176,Rates!$A$2:$A$5,0)))</f>
        <v/>
      </c>
      <c r="H176" s="17" t="str">
        <f t="shared" si="2"/>
        <v/>
      </c>
      <c r="I176" s="17" t="str">
        <f>IF(H176="","",SUM($H$2:H176))</f>
        <v/>
      </c>
      <c r="J176" s="9"/>
    </row>
    <row r="177" spans="1:10" x14ac:dyDescent="0.65">
      <c r="A177" s="16"/>
      <c r="B177" s="9"/>
      <c r="C177" s="9"/>
      <c r="D177" s="9"/>
      <c r="E177" s="9"/>
      <c r="F177" s="9"/>
      <c r="G177" s="10" t="str">
        <f>IF(E177="","",INDEX(Rates!$B$2:$B$5,MATCH(E177,Rates!$A$2:$A$5,0)))</f>
        <v/>
      </c>
      <c r="H177" s="17" t="str">
        <f t="shared" si="2"/>
        <v/>
      </c>
      <c r="I177" s="17" t="str">
        <f>IF(H177="","",SUM($H$2:H177))</f>
        <v/>
      </c>
      <c r="J177" s="9"/>
    </row>
    <row r="178" spans="1:10" x14ac:dyDescent="0.65">
      <c r="A178" s="16"/>
      <c r="B178" s="9"/>
      <c r="C178" s="9"/>
      <c r="D178" s="9"/>
      <c r="E178" s="9"/>
      <c r="F178" s="9"/>
      <c r="G178" s="10" t="str">
        <f>IF(E178="","",INDEX(Rates!$B$2:$B$5,MATCH(E178,Rates!$A$2:$A$5,0)))</f>
        <v/>
      </c>
      <c r="H178" s="17" t="str">
        <f t="shared" si="2"/>
        <v/>
      </c>
      <c r="I178" s="17" t="str">
        <f>IF(H178="","",SUM($H$2:H178))</f>
        <v/>
      </c>
      <c r="J178" s="9"/>
    </row>
    <row r="179" spans="1:10" x14ac:dyDescent="0.65">
      <c r="A179" s="16"/>
      <c r="B179" s="9"/>
      <c r="C179" s="9"/>
      <c r="D179" s="9"/>
      <c r="E179" s="9"/>
      <c r="F179" s="9"/>
      <c r="G179" s="10" t="str">
        <f>IF(E179="","",INDEX(Rates!$B$2:$B$5,MATCH(E179,Rates!$A$2:$A$5,0)))</f>
        <v/>
      </c>
      <c r="H179" s="17" t="str">
        <f t="shared" si="2"/>
        <v/>
      </c>
      <c r="I179" s="17" t="str">
        <f>IF(H179="","",SUM($H$2:H179))</f>
        <v/>
      </c>
      <c r="J179" s="9"/>
    </row>
    <row r="180" spans="1:10" x14ac:dyDescent="0.65">
      <c r="A180" s="16"/>
      <c r="B180" s="9"/>
      <c r="C180" s="9"/>
      <c r="D180" s="9"/>
      <c r="E180" s="9"/>
      <c r="F180" s="9"/>
      <c r="G180" s="10" t="str">
        <f>IF(E180="","",INDEX(Rates!$B$2:$B$5,MATCH(E180,Rates!$A$2:$A$5,0)))</f>
        <v/>
      </c>
      <c r="H180" s="17" t="str">
        <f t="shared" si="2"/>
        <v/>
      </c>
      <c r="I180" s="17" t="str">
        <f>IF(H180="","",SUM($H$2:H180))</f>
        <v/>
      </c>
      <c r="J180" s="9"/>
    </row>
    <row r="181" spans="1:10" x14ac:dyDescent="0.65">
      <c r="A181" s="16"/>
      <c r="B181" s="9"/>
      <c r="C181" s="9"/>
      <c r="D181" s="9"/>
      <c r="E181" s="9"/>
      <c r="F181" s="9"/>
      <c r="G181" s="10" t="str">
        <f>IF(E181="","",INDEX(Rates!$B$2:$B$5,MATCH(E181,Rates!$A$2:$A$5,0)))</f>
        <v/>
      </c>
      <c r="H181" s="17" t="str">
        <f t="shared" si="2"/>
        <v/>
      </c>
      <c r="I181" s="17" t="str">
        <f>IF(H181="","",SUM($H$2:H181))</f>
        <v/>
      </c>
      <c r="J181" s="9"/>
    </row>
    <row r="182" spans="1:10" x14ac:dyDescent="0.65">
      <c r="A182" s="16"/>
      <c r="B182" s="9"/>
      <c r="C182" s="9"/>
      <c r="D182" s="9"/>
      <c r="E182" s="9"/>
      <c r="F182" s="9"/>
      <c r="G182" s="10" t="str">
        <f>IF(E182="","",INDEX(Rates!$B$2:$B$5,MATCH(E182,Rates!$A$2:$A$5,0)))</f>
        <v/>
      </c>
      <c r="H182" s="17" t="str">
        <f t="shared" si="2"/>
        <v/>
      </c>
      <c r="I182" s="17" t="str">
        <f>IF(H182="","",SUM($H$2:H182))</f>
        <v/>
      </c>
      <c r="J182" s="9"/>
    </row>
    <row r="183" spans="1:10" x14ac:dyDescent="0.65">
      <c r="A183" s="16"/>
      <c r="B183" s="9"/>
      <c r="C183" s="9"/>
      <c r="D183" s="9"/>
      <c r="E183" s="9"/>
      <c r="F183" s="9"/>
      <c r="G183" s="10" t="str">
        <f>IF(E183="","",INDEX(Rates!$B$2:$B$5,MATCH(E183,Rates!$A$2:$A$5,0)))</f>
        <v/>
      </c>
      <c r="H183" s="17" t="str">
        <f t="shared" si="2"/>
        <v/>
      </c>
      <c r="I183" s="17" t="str">
        <f>IF(H183="","",SUM($H$2:H183))</f>
        <v/>
      </c>
      <c r="J183" s="9"/>
    </row>
    <row r="184" spans="1:10" x14ac:dyDescent="0.65">
      <c r="A184" s="16"/>
      <c r="B184" s="9"/>
      <c r="C184" s="9"/>
      <c r="D184" s="9"/>
      <c r="E184" s="9"/>
      <c r="F184" s="9"/>
      <c r="G184" s="10" t="str">
        <f>IF(E184="","",INDEX(Rates!$B$2:$B$5,MATCH(E184,Rates!$A$2:$A$5,0)))</f>
        <v/>
      </c>
      <c r="H184" s="17" t="str">
        <f t="shared" si="2"/>
        <v/>
      </c>
      <c r="I184" s="17" t="str">
        <f>IF(H184="","",SUM($H$2:H184))</f>
        <v/>
      </c>
      <c r="J184" s="9"/>
    </row>
    <row r="185" spans="1:10" x14ac:dyDescent="0.65">
      <c r="A185" s="16"/>
      <c r="B185" s="9"/>
      <c r="C185" s="9"/>
      <c r="D185" s="9"/>
      <c r="E185" s="9"/>
      <c r="F185" s="9"/>
      <c r="G185" s="10" t="str">
        <f>IF(E185="","",INDEX(Rates!$B$2:$B$5,MATCH(E185,Rates!$A$2:$A$5,0)))</f>
        <v/>
      </c>
      <c r="H185" s="17" t="str">
        <f t="shared" si="2"/>
        <v/>
      </c>
      <c r="I185" s="17" t="str">
        <f>IF(H185="","",SUM($H$2:H185))</f>
        <v/>
      </c>
      <c r="J185" s="9"/>
    </row>
    <row r="186" spans="1:10" x14ac:dyDescent="0.65">
      <c r="A186" s="16"/>
      <c r="B186" s="9"/>
      <c r="C186" s="9"/>
      <c r="D186" s="9"/>
      <c r="E186" s="9"/>
      <c r="F186" s="9"/>
      <c r="G186" s="10" t="str">
        <f>IF(E186="","",INDEX(Rates!$B$2:$B$5,MATCH(E186,Rates!$A$2:$A$5,0)))</f>
        <v/>
      </c>
      <c r="H186" s="17" t="str">
        <f t="shared" si="2"/>
        <v/>
      </c>
      <c r="I186" s="17" t="str">
        <f>IF(H186="","",SUM($H$2:H186))</f>
        <v/>
      </c>
      <c r="J186" s="9"/>
    </row>
    <row r="187" spans="1:10" x14ac:dyDescent="0.65">
      <c r="A187" s="16"/>
      <c r="B187" s="9"/>
      <c r="C187" s="9"/>
      <c r="D187" s="9"/>
      <c r="E187" s="9"/>
      <c r="F187" s="9"/>
      <c r="G187" s="10" t="str">
        <f>IF(E187="","",INDEX(Rates!$B$2:$B$5,MATCH(E187,Rates!$A$2:$A$5,0)))</f>
        <v/>
      </c>
      <c r="H187" s="17" t="str">
        <f t="shared" si="2"/>
        <v/>
      </c>
      <c r="I187" s="17" t="str">
        <f>IF(H187="","",SUM($H$2:H187))</f>
        <v/>
      </c>
      <c r="J187" s="9"/>
    </row>
    <row r="188" spans="1:10" x14ac:dyDescent="0.65">
      <c r="A188" s="16"/>
      <c r="B188" s="9"/>
      <c r="C188" s="9"/>
      <c r="D188" s="9"/>
      <c r="E188" s="9"/>
      <c r="F188" s="9"/>
      <c r="G188" s="10" t="str">
        <f>IF(E188="","",INDEX(Rates!$B$2:$B$5,MATCH(E188,Rates!$A$2:$A$5,0)))</f>
        <v/>
      </c>
      <c r="H188" s="17" t="str">
        <f t="shared" si="2"/>
        <v/>
      </c>
      <c r="I188" s="17" t="str">
        <f>IF(H188="","",SUM($H$2:H188))</f>
        <v/>
      </c>
      <c r="J188" s="9"/>
    </row>
    <row r="189" spans="1:10" x14ac:dyDescent="0.65">
      <c r="A189" s="16"/>
      <c r="B189" s="9"/>
      <c r="C189" s="9"/>
      <c r="D189" s="9"/>
      <c r="E189" s="9"/>
      <c r="F189" s="9"/>
      <c r="G189" s="10" t="str">
        <f>IF(E189="","",INDEX(Rates!$B$2:$B$5,MATCH(E189,Rates!$A$2:$A$5,0)))</f>
        <v/>
      </c>
      <c r="H189" s="17" t="str">
        <f t="shared" si="2"/>
        <v/>
      </c>
      <c r="I189" s="17" t="str">
        <f>IF(H189="","",SUM($H$2:H189))</f>
        <v/>
      </c>
      <c r="J189" s="9"/>
    </row>
    <row r="190" spans="1:10" x14ac:dyDescent="0.65">
      <c r="A190" s="16"/>
      <c r="B190" s="9"/>
      <c r="C190" s="9"/>
      <c r="D190" s="9"/>
      <c r="E190" s="9"/>
      <c r="F190" s="9"/>
      <c r="G190" s="10" t="str">
        <f>IF(E190="","",INDEX(Rates!$B$2:$B$5,MATCH(E190,Rates!$A$2:$A$5,0)))</f>
        <v/>
      </c>
      <c r="H190" s="17" t="str">
        <f t="shared" si="2"/>
        <v/>
      </c>
      <c r="I190" s="17" t="str">
        <f>IF(H190="","",SUM($H$2:H190))</f>
        <v/>
      </c>
      <c r="J190" s="9"/>
    </row>
    <row r="191" spans="1:10" x14ac:dyDescent="0.65">
      <c r="A191" s="16"/>
      <c r="B191" s="9"/>
      <c r="C191" s="9"/>
      <c r="D191" s="9"/>
      <c r="E191" s="9"/>
      <c r="F191" s="9"/>
      <c r="G191" s="10" t="str">
        <f>IF(E191="","",INDEX(Rates!$B$2:$B$5,MATCH(E191,Rates!$A$2:$A$5,0)))</f>
        <v/>
      </c>
      <c r="H191" s="17" t="str">
        <f t="shared" si="2"/>
        <v/>
      </c>
      <c r="I191" s="17" t="str">
        <f>IF(H191="","",SUM($H$2:H191))</f>
        <v/>
      </c>
      <c r="J191" s="9"/>
    </row>
    <row r="192" spans="1:10" x14ac:dyDescent="0.65">
      <c r="A192" s="16"/>
      <c r="B192" s="9"/>
      <c r="C192" s="9"/>
      <c r="D192" s="9"/>
      <c r="E192" s="9"/>
      <c r="F192" s="9"/>
      <c r="G192" s="10" t="str">
        <f>IF(E192="","",INDEX(Rates!$B$2:$B$5,MATCH(E192,Rates!$A$2:$A$5,0)))</f>
        <v/>
      </c>
      <c r="H192" s="17" t="str">
        <f t="shared" si="2"/>
        <v/>
      </c>
      <c r="I192" s="17" t="str">
        <f>IF(H192="","",SUM($H$2:H192))</f>
        <v/>
      </c>
      <c r="J192" s="9"/>
    </row>
    <row r="193" spans="1:10" x14ac:dyDescent="0.65">
      <c r="A193" s="16"/>
      <c r="B193" s="9"/>
      <c r="C193" s="9"/>
      <c r="D193" s="9"/>
      <c r="E193" s="9"/>
      <c r="F193" s="9"/>
      <c r="G193" s="10" t="str">
        <f>IF(E193="","",INDEX(Rates!$B$2:$B$5,MATCH(E193,Rates!$A$2:$A$5,0)))</f>
        <v/>
      </c>
      <c r="H193" s="17" t="str">
        <f t="shared" si="2"/>
        <v/>
      </c>
      <c r="I193" s="17" t="str">
        <f>IF(H193="","",SUM($H$2:H193))</f>
        <v/>
      </c>
      <c r="J193" s="9"/>
    </row>
    <row r="194" spans="1:10" x14ac:dyDescent="0.65">
      <c r="A194" s="16"/>
      <c r="B194" s="9"/>
      <c r="C194" s="9"/>
      <c r="D194" s="9"/>
      <c r="E194" s="9"/>
      <c r="F194" s="9"/>
      <c r="G194" s="10" t="str">
        <f>IF(E194="","",INDEX(Rates!$B$2:$B$5,MATCH(E194,Rates!$A$2:$A$5,0)))</f>
        <v/>
      </c>
      <c r="H194" s="17" t="str">
        <f t="shared" ref="H194:H257" si="3">IF(F194="","",F194*G194)</f>
        <v/>
      </c>
      <c r="I194" s="17" t="str">
        <f>IF(H194="","",SUM($H$2:H194))</f>
        <v/>
      </c>
      <c r="J194" s="9"/>
    </row>
    <row r="195" spans="1:10" x14ac:dyDescent="0.65">
      <c r="A195" s="16"/>
      <c r="B195" s="9"/>
      <c r="C195" s="9"/>
      <c r="D195" s="9"/>
      <c r="E195" s="9"/>
      <c r="F195" s="9"/>
      <c r="G195" s="10" t="str">
        <f>IF(E195="","",INDEX(Rates!$B$2:$B$5,MATCH(E195,Rates!$A$2:$A$5,0)))</f>
        <v/>
      </c>
      <c r="H195" s="17" t="str">
        <f t="shared" si="3"/>
        <v/>
      </c>
      <c r="I195" s="17" t="str">
        <f>IF(H195="","",SUM($H$2:H195))</f>
        <v/>
      </c>
      <c r="J195" s="9"/>
    </row>
    <row r="196" spans="1:10" x14ac:dyDescent="0.65">
      <c r="A196" s="16"/>
      <c r="B196" s="9"/>
      <c r="C196" s="9"/>
      <c r="D196" s="9"/>
      <c r="E196" s="9"/>
      <c r="F196" s="9"/>
      <c r="G196" s="10" t="str">
        <f>IF(E196="","",INDEX(Rates!$B$2:$B$5,MATCH(E196,Rates!$A$2:$A$5,0)))</f>
        <v/>
      </c>
      <c r="H196" s="17" t="str">
        <f t="shared" si="3"/>
        <v/>
      </c>
      <c r="I196" s="17" t="str">
        <f>IF(H196="","",SUM($H$2:H196))</f>
        <v/>
      </c>
      <c r="J196" s="9"/>
    </row>
    <row r="197" spans="1:10" x14ac:dyDescent="0.65">
      <c r="A197" s="16"/>
      <c r="B197" s="9"/>
      <c r="C197" s="9"/>
      <c r="D197" s="9"/>
      <c r="E197" s="9"/>
      <c r="F197" s="9"/>
      <c r="G197" s="10" t="str">
        <f>IF(E197="","",INDEX(Rates!$B$2:$B$5,MATCH(E197,Rates!$A$2:$A$5,0)))</f>
        <v/>
      </c>
      <c r="H197" s="17" t="str">
        <f t="shared" si="3"/>
        <v/>
      </c>
      <c r="I197" s="17" t="str">
        <f>IF(H197="","",SUM($H$2:H197))</f>
        <v/>
      </c>
      <c r="J197" s="9"/>
    </row>
    <row r="198" spans="1:10" x14ac:dyDescent="0.65">
      <c r="A198" s="16"/>
      <c r="B198" s="9"/>
      <c r="C198" s="9"/>
      <c r="D198" s="9"/>
      <c r="E198" s="9"/>
      <c r="F198" s="9"/>
      <c r="G198" s="10" t="str">
        <f>IF(E198="","",INDEX(Rates!$B$2:$B$5,MATCH(E198,Rates!$A$2:$A$5,0)))</f>
        <v/>
      </c>
      <c r="H198" s="17" t="str">
        <f t="shared" si="3"/>
        <v/>
      </c>
      <c r="I198" s="17" t="str">
        <f>IF(H198="","",SUM($H$2:H198))</f>
        <v/>
      </c>
      <c r="J198" s="9"/>
    </row>
    <row r="199" spans="1:10" x14ac:dyDescent="0.65">
      <c r="A199" s="16"/>
      <c r="B199" s="9"/>
      <c r="C199" s="9"/>
      <c r="D199" s="9"/>
      <c r="E199" s="9"/>
      <c r="F199" s="9"/>
      <c r="G199" s="10" t="str">
        <f>IF(E199="","",INDEX(Rates!$B$2:$B$5,MATCH(E199,Rates!$A$2:$A$5,0)))</f>
        <v/>
      </c>
      <c r="H199" s="17" t="str">
        <f t="shared" si="3"/>
        <v/>
      </c>
      <c r="I199" s="17" t="str">
        <f>IF(H199="","",SUM($H$2:H199))</f>
        <v/>
      </c>
      <c r="J199" s="9"/>
    </row>
    <row r="200" spans="1:10" x14ac:dyDescent="0.65">
      <c r="A200" s="16"/>
      <c r="B200" s="9"/>
      <c r="C200" s="9"/>
      <c r="D200" s="9"/>
      <c r="E200" s="9"/>
      <c r="F200" s="9"/>
      <c r="G200" s="10" t="str">
        <f>IF(E200="","",INDEX(Rates!$B$2:$B$5,MATCH(E200,Rates!$A$2:$A$5,0)))</f>
        <v/>
      </c>
      <c r="H200" s="17" t="str">
        <f t="shared" si="3"/>
        <v/>
      </c>
      <c r="I200" s="17" t="str">
        <f>IF(H200="","",SUM($H$2:H200))</f>
        <v/>
      </c>
      <c r="J200" s="9"/>
    </row>
    <row r="201" spans="1:10" x14ac:dyDescent="0.65">
      <c r="A201" s="16"/>
      <c r="B201" s="9"/>
      <c r="C201" s="9"/>
      <c r="D201" s="9"/>
      <c r="E201" s="9"/>
      <c r="F201" s="9"/>
      <c r="G201" s="10" t="str">
        <f>IF(E201="","",INDEX(Rates!$B$2:$B$5,MATCH(E201,Rates!$A$2:$A$5,0)))</f>
        <v/>
      </c>
      <c r="H201" s="17" t="str">
        <f t="shared" si="3"/>
        <v/>
      </c>
      <c r="I201" s="17" t="str">
        <f>IF(H201="","",SUM($H$2:H201))</f>
        <v/>
      </c>
      <c r="J201" s="9"/>
    </row>
    <row r="202" spans="1:10" x14ac:dyDescent="0.65">
      <c r="A202" s="16"/>
      <c r="B202" s="9"/>
      <c r="C202" s="9"/>
      <c r="D202" s="9"/>
      <c r="E202" s="9"/>
      <c r="F202" s="9"/>
      <c r="G202" s="10" t="str">
        <f>IF(E202="","",INDEX(Rates!$B$2:$B$5,MATCH(E202,Rates!$A$2:$A$5,0)))</f>
        <v/>
      </c>
      <c r="H202" s="17" t="str">
        <f t="shared" si="3"/>
        <v/>
      </c>
      <c r="I202" s="17" t="str">
        <f>IF(H202="","",SUM($H$2:H202))</f>
        <v/>
      </c>
      <c r="J202" s="9"/>
    </row>
    <row r="203" spans="1:10" x14ac:dyDescent="0.65">
      <c r="A203" s="16"/>
      <c r="B203" s="9"/>
      <c r="C203" s="9"/>
      <c r="D203" s="9"/>
      <c r="E203" s="9"/>
      <c r="F203" s="9"/>
      <c r="G203" s="10" t="str">
        <f>IF(E203="","",INDEX(Rates!$B$2:$B$5,MATCH(E203,Rates!$A$2:$A$5,0)))</f>
        <v/>
      </c>
      <c r="H203" s="17" t="str">
        <f t="shared" si="3"/>
        <v/>
      </c>
      <c r="I203" s="17" t="str">
        <f>IF(H203="","",SUM($H$2:H203))</f>
        <v/>
      </c>
      <c r="J203" s="9"/>
    </row>
    <row r="204" spans="1:10" x14ac:dyDescent="0.65">
      <c r="A204" s="16"/>
      <c r="B204" s="9"/>
      <c r="C204" s="9"/>
      <c r="D204" s="9"/>
      <c r="E204" s="9"/>
      <c r="F204" s="9"/>
      <c r="G204" s="10" t="str">
        <f>IF(E204="","",INDEX(Rates!$B$2:$B$5,MATCH(E204,Rates!$A$2:$A$5,0)))</f>
        <v/>
      </c>
      <c r="H204" s="17" t="str">
        <f t="shared" si="3"/>
        <v/>
      </c>
      <c r="I204" s="17" t="str">
        <f>IF(H204="","",SUM($H$2:H204))</f>
        <v/>
      </c>
      <c r="J204" s="9"/>
    </row>
    <row r="205" spans="1:10" x14ac:dyDescent="0.65">
      <c r="A205" s="16"/>
      <c r="B205" s="9"/>
      <c r="C205" s="9"/>
      <c r="D205" s="9"/>
      <c r="E205" s="9"/>
      <c r="F205" s="9"/>
      <c r="G205" s="10" t="str">
        <f>IF(E205="","",INDEX(Rates!$B$2:$B$5,MATCH(E205,Rates!$A$2:$A$5,0)))</f>
        <v/>
      </c>
      <c r="H205" s="17" t="str">
        <f t="shared" si="3"/>
        <v/>
      </c>
      <c r="I205" s="17" t="str">
        <f>IF(H205="","",SUM($H$2:H205))</f>
        <v/>
      </c>
      <c r="J205" s="9"/>
    </row>
    <row r="206" spans="1:10" x14ac:dyDescent="0.65">
      <c r="A206" s="16"/>
      <c r="B206" s="9"/>
      <c r="C206" s="9"/>
      <c r="D206" s="9"/>
      <c r="E206" s="9"/>
      <c r="F206" s="9"/>
      <c r="G206" s="10" t="str">
        <f>IF(E206="","",INDEX(Rates!$B$2:$B$5,MATCH(E206,Rates!$A$2:$A$5,0)))</f>
        <v/>
      </c>
      <c r="H206" s="17" t="str">
        <f t="shared" si="3"/>
        <v/>
      </c>
      <c r="I206" s="17" t="str">
        <f>IF(H206="","",SUM($H$2:H206))</f>
        <v/>
      </c>
      <c r="J206" s="9"/>
    </row>
    <row r="207" spans="1:10" x14ac:dyDescent="0.65">
      <c r="A207" s="16"/>
      <c r="B207" s="9"/>
      <c r="C207" s="9"/>
      <c r="D207" s="9"/>
      <c r="E207" s="9"/>
      <c r="F207" s="9"/>
      <c r="G207" s="10" t="str">
        <f>IF(E207="","",INDEX(Rates!$B$2:$B$5,MATCH(E207,Rates!$A$2:$A$5,0)))</f>
        <v/>
      </c>
      <c r="H207" s="17" t="str">
        <f t="shared" si="3"/>
        <v/>
      </c>
      <c r="I207" s="17" t="str">
        <f>IF(H207="","",SUM($H$2:H207))</f>
        <v/>
      </c>
      <c r="J207" s="9"/>
    </row>
    <row r="208" spans="1:10" x14ac:dyDescent="0.65">
      <c r="A208" s="16"/>
      <c r="B208" s="9"/>
      <c r="C208" s="9"/>
      <c r="D208" s="9"/>
      <c r="E208" s="9"/>
      <c r="F208" s="9"/>
      <c r="G208" s="10" t="str">
        <f>IF(E208="","",INDEX(Rates!$B$2:$B$5,MATCH(E208,Rates!$A$2:$A$5,0)))</f>
        <v/>
      </c>
      <c r="H208" s="17" t="str">
        <f t="shared" si="3"/>
        <v/>
      </c>
      <c r="I208" s="17" t="str">
        <f>IF(H208="","",SUM($H$2:H208))</f>
        <v/>
      </c>
      <c r="J208" s="9"/>
    </row>
    <row r="209" spans="1:10" x14ac:dyDescent="0.65">
      <c r="A209" s="16"/>
      <c r="B209" s="9"/>
      <c r="C209" s="9"/>
      <c r="D209" s="9"/>
      <c r="E209" s="9"/>
      <c r="F209" s="9"/>
      <c r="G209" s="10" t="str">
        <f>IF(E209="","",INDEX(Rates!$B$2:$B$5,MATCH(E209,Rates!$A$2:$A$5,0)))</f>
        <v/>
      </c>
      <c r="H209" s="17" t="str">
        <f t="shared" si="3"/>
        <v/>
      </c>
      <c r="I209" s="17" t="str">
        <f>IF(H209="","",SUM($H$2:H209))</f>
        <v/>
      </c>
      <c r="J209" s="9"/>
    </row>
    <row r="210" spans="1:10" x14ac:dyDescent="0.65">
      <c r="A210" s="16"/>
      <c r="B210" s="9"/>
      <c r="C210" s="9"/>
      <c r="D210" s="9"/>
      <c r="E210" s="9"/>
      <c r="F210" s="9"/>
      <c r="G210" s="10" t="str">
        <f>IF(E210="","",INDEX(Rates!$B$2:$B$5,MATCH(E210,Rates!$A$2:$A$5,0)))</f>
        <v/>
      </c>
      <c r="H210" s="17" t="str">
        <f t="shared" si="3"/>
        <v/>
      </c>
      <c r="I210" s="17" t="str">
        <f>IF(H210="","",SUM($H$2:H210))</f>
        <v/>
      </c>
      <c r="J210" s="9"/>
    </row>
    <row r="211" spans="1:10" x14ac:dyDescent="0.65">
      <c r="A211" s="16"/>
      <c r="B211" s="9"/>
      <c r="C211" s="9"/>
      <c r="D211" s="9"/>
      <c r="E211" s="9"/>
      <c r="F211" s="9"/>
      <c r="G211" s="10" t="str">
        <f>IF(E211="","",INDEX(Rates!$B$2:$B$5,MATCH(E211,Rates!$A$2:$A$5,0)))</f>
        <v/>
      </c>
      <c r="H211" s="17" t="str">
        <f t="shared" si="3"/>
        <v/>
      </c>
      <c r="I211" s="17" t="str">
        <f>IF(H211="","",SUM($H$2:H211))</f>
        <v/>
      </c>
      <c r="J211" s="9"/>
    </row>
    <row r="212" spans="1:10" x14ac:dyDescent="0.65">
      <c r="A212" s="16"/>
      <c r="B212" s="9"/>
      <c r="C212" s="9"/>
      <c r="D212" s="9"/>
      <c r="E212" s="9"/>
      <c r="F212" s="9"/>
      <c r="G212" s="10" t="str">
        <f>IF(E212="","",INDEX(Rates!$B$2:$B$5,MATCH(E212,Rates!$A$2:$A$5,0)))</f>
        <v/>
      </c>
      <c r="H212" s="17" t="str">
        <f t="shared" si="3"/>
        <v/>
      </c>
      <c r="I212" s="17" t="str">
        <f>IF(H212="","",SUM($H$2:H212))</f>
        <v/>
      </c>
      <c r="J212" s="9"/>
    </row>
    <row r="213" spans="1:10" x14ac:dyDescent="0.65">
      <c r="A213" s="16"/>
      <c r="B213" s="9"/>
      <c r="C213" s="9"/>
      <c r="D213" s="9"/>
      <c r="E213" s="9"/>
      <c r="F213" s="9"/>
      <c r="G213" s="10" t="str">
        <f>IF(E213="","",INDEX(Rates!$B$2:$B$5,MATCH(E213,Rates!$A$2:$A$5,0)))</f>
        <v/>
      </c>
      <c r="H213" s="17" t="str">
        <f t="shared" si="3"/>
        <v/>
      </c>
      <c r="I213" s="17" t="str">
        <f>IF(H213="","",SUM($H$2:H213))</f>
        <v/>
      </c>
      <c r="J213" s="9"/>
    </row>
    <row r="214" spans="1:10" x14ac:dyDescent="0.65">
      <c r="A214" s="16"/>
      <c r="B214" s="9"/>
      <c r="C214" s="9"/>
      <c r="D214" s="9"/>
      <c r="E214" s="9"/>
      <c r="F214" s="9"/>
      <c r="G214" s="10" t="str">
        <f>IF(E214="","",INDEX(Rates!$B$2:$B$5,MATCH(E214,Rates!$A$2:$A$5,0)))</f>
        <v/>
      </c>
      <c r="H214" s="17" t="str">
        <f t="shared" si="3"/>
        <v/>
      </c>
      <c r="I214" s="17" t="str">
        <f>IF(H214="","",SUM($H$2:H214))</f>
        <v/>
      </c>
      <c r="J214" s="9"/>
    </row>
    <row r="215" spans="1:10" x14ac:dyDescent="0.65">
      <c r="A215" s="16"/>
      <c r="B215" s="9"/>
      <c r="C215" s="9"/>
      <c r="D215" s="9"/>
      <c r="E215" s="9"/>
      <c r="F215" s="9"/>
      <c r="G215" s="10" t="str">
        <f>IF(E215="","",INDEX(Rates!$B$2:$B$5,MATCH(E215,Rates!$A$2:$A$5,0)))</f>
        <v/>
      </c>
      <c r="H215" s="17" t="str">
        <f t="shared" si="3"/>
        <v/>
      </c>
      <c r="I215" s="17" t="str">
        <f>IF(H215="","",SUM($H$2:H215))</f>
        <v/>
      </c>
      <c r="J215" s="9"/>
    </row>
    <row r="216" spans="1:10" x14ac:dyDescent="0.65">
      <c r="A216" s="16"/>
      <c r="B216" s="9"/>
      <c r="C216" s="9"/>
      <c r="D216" s="9"/>
      <c r="E216" s="9"/>
      <c r="F216" s="9"/>
      <c r="G216" s="10" t="str">
        <f>IF(E216="","",INDEX(Rates!$B$2:$B$5,MATCH(E216,Rates!$A$2:$A$5,0)))</f>
        <v/>
      </c>
      <c r="H216" s="17" t="str">
        <f t="shared" si="3"/>
        <v/>
      </c>
      <c r="I216" s="17" t="str">
        <f>IF(H216="","",SUM($H$2:H216))</f>
        <v/>
      </c>
      <c r="J216" s="9"/>
    </row>
    <row r="217" spans="1:10" x14ac:dyDescent="0.65">
      <c r="A217" s="16"/>
      <c r="B217" s="9"/>
      <c r="C217" s="9"/>
      <c r="D217" s="9"/>
      <c r="E217" s="9"/>
      <c r="F217" s="9"/>
      <c r="G217" s="10" t="str">
        <f>IF(E217="","",INDEX(Rates!$B$2:$B$5,MATCH(E217,Rates!$A$2:$A$5,0)))</f>
        <v/>
      </c>
      <c r="H217" s="17" t="str">
        <f t="shared" si="3"/>
        <v/>
      </c>
      <c r="I217" s="17" t="str">
        <f>IF(H217="","",SUM($H$2:H217))</f>
        <v/>
      </c>
      <c r="J217" s="9"/>
    </row>
    <row r="218" spans="1:10" x14ac:dyDescent="0.65">
      <c r="A218" s="16"/>
      <c r="B218" s="9"/>
      <c r="C218" s="9"/>
      <c r="D218" s="9"/>
      <c r="E218" s="9"/>
      <c r="F218" s="9"/>
      <c r="G218" s="10" t="str">
        <f>IF(E218="","",INDEX(Rates!$B$2:$B$5,MATCH(E218,Rates!$A$2:$A$5,0)))</f>
        <v/>
      </c>
      <c r="H218" s="17" t="str">
        <f t="shared" si="3"/>
        <v/>
      </c>
      <c r="I218" s="17" t="str">
        <f>IF(H218="","",SUM($H$2:H218))</f>
        <v/>
      </c>
      <c r="J218" s="9"/>
    </row>
    <row r="219" spans="1:10" x14ac:dyDescent="0.65">
      <c r="A219" s="16"/>
      <c r="B219" s="9"/>
      <c r="C219" s="9"/>
      <c r="D219" s="9"/>
      <c r="E219" s="9"/>
      <c r="F219" s="9"/>
      <c r="G219" s="10" t="str">
        <f>IF(E219="","",INDEX(Rates!$B$2:$B$5,MATCH(E219,Rates!$A$2:$A$5,0)))</f>
        <v/>
      </c>
      <c r="H219" s="17" t="str">
        <f t="shared" si="3"/>
        <v/>
      </c>
      <c r="I219" s="17" t="str">
        <f>IF(H219="","",SUM($H$2:H219))</f>
        <v/>
      </c>
      <c r="J219" s="9"/>
    </row>
    <row r="220" spans="1:10" x14ac:dyDescent="0.65">
      <c r="A220" s="16"/>
      <c r="B220" s="9"/>
      <c r="C220" s="9"/>
      <c r="D220" s="9"/>
      <c r="E220" s="9"/>
      <c r="F220" s="9"/>
      <c r="G220" s="10" t="str">
        <f>IF(E220="","",INDEX(Rates!$B$2:$B$5,MATCH(E220,Rates!$A$2:$A$5,0)))</f>
        <v/>
      </c>
      <c r="H220" s="17" t="str">
        <f t="shared" si="3"/>
        <v/>
      </c>
      <c r="I220" s="17" t="str">
        <f>IF(H220="","",SUM($H$2:H220))</f>
        <v/>
      </c>
      <c r="J220" s="9"/>
    </row>
    <row r="221" spans="1:10" x14ac:dyDescent="0.65">
      <c r="A221" s="16"/>
      <c r="B221" s="9"/>
      <c r="C221" s="9"/>
      <c r="D221" s="9"/>
      <c r="E221" s="9"/>
      <c r="F221" s="9"/>
      <c r="G221" s="10" t="str">
        <f>IF(E221="","",INDEX(Rates!$B$2:$B$5,MATCH(E221,Rates!$A$2:$A$5,0)))</f>
        <v/>
      </c>
      <c r="H221" s="17" t="str">
        <f t="shared" si="3"/>
        <v/>
      </c>
      <c r="I221" s="17" t="str">
        <f>IF(H221="","",SUM($H$2:H221))</f>
        <v/>
      </c>
      <c r="J221" s="9"/>
    </row>
    <row r="222" spans="1:10" x14ac:dyDescent="0.65">
      <c r="A222" s="16"/>
      <c r="B222" s="9"/>
      <c r="C222" s="9"/>
      <c r="D222" s="9"/>
      <c r="E222" s="9"/>
      <c r="F222" s="9"/>
      <c r="G222" s="10" t="str">
        <f>IF(E222="","",INDEX(Rates!$B$2:$B$5,MATCH(E222,Rates!$A$2:$A$5,0)))</f>
        <v/>
      </c>
      <c r="H222" s="17" t="str">
        <f t="shared" si="3"/>
        <v/>
      </c>
      <c r="I222" s="17" t="str">
        <f>IF(H222="","",SUM($H$2:H222))</f>
        <v/>
      </c>
      <c r="J222" s="9"/>
    </row>
    <row r="223" spans="1:10" x14ac:dyDescent="0.65">
      <c r="A223" s="16"/>
      <c r="B223" s="9"/>
      <c r="C223" s="9"/>
      <c r="D223" s="9"/>
      <c r="E223" s="9"/>
      <c r="F223" s="9"/>
      <c r="G223" s="10" t="str">
        <f>IF(E223="","",INDEX(Rates!$B$2:$B$5,MATCH(E223,Rates!$A$2:$A$5,0)))</f>
        <v/>
      </c>
      <c r="H223" s="17" t="str">
        <f t="shared" si="3"/>
        <v/>
      </c>
      <c r="I223" s="17" t="str">
        <f>IF(H223="","",SUM($H$2:H223))</f>
        <v/>
      </c>
      <c r="J223" s="9"/>
    </row>
    <row r="224" spans="1:10" x14ac:dyDescent="0.65">
      <c r="A224" s="16"/>
      <c r="B224" s="9"/>
      <c r="C224" s="9"/>
      <c r="D224" s="9"/>
      <c r="E224" s="9"/>
      <c r="F224" s="9"/>
      <c r="G224" s="10" t="str">
        <f>IF(E224="","",INDEX(Rates!$B$2:$B$5,MATCH(E224,Rates!$A$2:$A$5,0)))</f>
        <v/>
      </c>
      <c r="H224" s="17" t="str">
        <f t="shared" si="3"/>
        <v/>
      </c>
      <c r="I224" s="17" t="str">
        <f>IF(H224="","",SUM($H$2:H224))</f>
        <v/>
      </c>
      <c r="J224" s="9"/>
    </row>
    <row r="225" spans="1:10" x14ac:dyDescent="0.65">
      <c r="A225" s="16"/>
      <c r="B225" s="9"/>
      <c r="C225" s="9"/>
      <c r="D225" s="9"/>
      <c r="E225" s="9"/>
      <c r="F225" s="9"/>
      <c r="G225" s="10" t="str">
        <f>IF(E225="","",INDEX(Rates!$B$2:$B$5,MATCH(E225,Rates!$A$2:$A$5,0)))</f>
        <v/>
      </c>
      <c r="H225" s="17" t="str">
        <f t="shared" si="3"/>
        <v/>
      </c>
      <c r="I225" s="17" t="str">
        <f>IF(H225="","",SUM($H$2:H225))</f>
        <v/>
      </c>
      <c r="J225" s="9"/>
    </row>
    <row r="226" spans="1:10" x14ac:dyDescent="0.65">
      <c r="A226" s="16"/>
      <c r="B226" s="9"/>
      <c r="C226" s="9"/>
      <c r="D226" s="9"/>
      <c r="E226" s="9"/>
      <c r="F226" s="9"/>
      <c r="G226" s="10" t="str">
        <f>IF(E226="","",INDEX(Rates!$B$2:$B$5,MATCH(E226,Rates!$A$2:$A$5,0)))</f>
        <v/>
      </c>
      <c r="H226" s="17" t="str">
        <f t="shared" si="3"/>
        <v/>
      </c>
      <c r="I226" s="17" t="str">
        <f>IF(H226="","",SUM($H$2:H226))</f>
        <v/>
      </c>
      <c r="J226" s="9"/>
    </row>
    <row r="227" spans="1:10" x14ac:dyDescent="0.65">
      <c r="A227" s="16"/>
      <c r="B227" s="9"/>
      <c r="C227" s="9"/>
      <c r="D227" s="9"/>
      <c r="E227" s="9"/>
      <c r="F227" s="9"/>
      <c r="G227" s="10" t="str">
        <f>IF(E227="","",INDEX(Rates!$B$2:$B$5,MATCH(E227,Rates!$A$2:$A$5,0)))</f>
        <v/>
      </c>
      <c r="H227" s="17" t="str">
        <f t="shared" si="3"/>
        <v/>
      </c>
      <c r="I227" s="17" t="str">
        <f>IF(H227="","",SUM($H$2:H227))</f>
        <v/>
      </c>
      <c r="J227" s="9"/>
    </row>
    <row r="228" spans="1:10" x14ac:dyDescent="0.65">
      <c r="A228" s="16"/>
      <c r="B228" s="9"/>
      <c r="C228" s="9"/>
      <c r="D228" s="9"/>
      <c r="E228" s="9"/>
      <c r="F228" s="9"/>
      <c r="G228" s="10" t="str">
        <f>IF(E228="","",INDEX(Rates!$B$2:$B$5,MATCH(E228,Rates!$A$2:$A$5,0)))</f>
        <v/>
      </c>
      <c r="H228" s="17" t="str">
        <f t="shared" si="3"/>
        <v/>
      </c>
      <c r="I228" s="17" t="str">
        <f>IF(H228="","",SUM($H$2:H228))</f>
        <v/>
      </c>
      <c r="J228" s="9"/>
    </row>
    <row r="229" spans="1:10" x14ac:dyDescent="0.65">
      <c r="A229" s="16"/>
      <c r="B229" s="9"/>
      <c r="C229" s="9"/>
      <c r="D229" s="9"/>
      <c r="E229" s="9"/>
      <c r="F229" s="9"/>
      <c r="G229" s="10" t="str">
        <f>IF(E229="","",INDEX(Rates!$B$2:$B$5,MATCH(E229,Rates!$A$2:$A$5,0)))</f>
        <v/>
      </c>
      <c r="H229" s="17" t="str">
        <f t="shared" si="3"/>
        <v/>
      </c>
      <c r="I229" s="17" t="str">
        <f>IF(H229="","",SUM($H$2:H229))</f>
        <v/>
      </c>
      <c r="J229" s="9"/>
    </row>
    <row r="230" spans="1:10" x14ac:dyDescent="0.65">
      <c r="A230" s="16"/>
      <c r="B230" s="9"/>
      <c r="C230" s="9"/>
      <c r="D230" s="9"/>
      <c r="E230" s="9"/>
      <c r="F230" s="9"/>
      <c r="G230" s="10" t="str">
        <f>IF(E230="","",INDEX(Rates!$B$2:$B$5,MATCH(E230,Rates!$A$2:$A$5,0)))</f>
        <v/>
      </c>
      <c r="H230" s="17" t="str">
        <f t="shared" si="3"/>
        <v/>
      </c>
      <c r="I230" s="17" t="str">
        <f>IF(H230="","",SUM($H$2:H230))</f>
        <v/>
      </c>
      <c r="J230" s="9"/>
    </row>
    <row r="231" spans="1:10" x14ac:dyDescent="0.65">
      <c r="A231" s="16"/>
      <c r="B231" s="9"/>
      <c r="C231" s="9"/>
      <c r="D231" s="9"/>
      <c r="E231" s="9"/>
      <c r="F231" s="9"/>
      <c r="G231" s="10" t="str">
        <f>IF(E231="","",INDEX(Rates!$B$2:$B$5,MATCH(E231,Rates!$A$2:$A$5,0)))</f>
        <v/>
      </c>
      <c r="H231" s="17" t="str">
        <f t="shared" si="3"/>
        <v/>
      </c>
      <c r="I231" s="17" t="str">
        <f>IF(H231="","",SUM($H$2:H231))</f>
        <v/>
      </c>
      <c r="J231" s="9"/>
    </row>
    <row r="232" spans="1:10" x14ac:dyDescent="0.65">
      <c r="A232" s="16"/>
      <c r="B232" s="9"/>
      <c r="C232" s="9"/>
      <c r="D232" s="9"/>
      <c r="E232" s="9"/>
      <c r="F232" s="9"/>
      <c r="G232" s="10" t="str">
        <f>IF(E232="","",INDEX(Rates!$B$2:$B$5,MATCH(E232,Rates!$A$2:$A$5,0)))</f>
        <v/>
      </c>
      <c r="H232" s="17" t="str">
        <f t="shared" si="3"/>
        <v/>
      </c>
      <c r="I232" s="17" t="str">
        <f>IF(H232="","",SUM($H$2:H232))</f>
        <v/>
      </c>
      <c r="J232" s="9"/>
    </row>
    <row r="233" spans="1:10" x14ac:dyDescent="0.65">
      <c r="A233" s="16"/>
      <c r="B233" s="9"/>
      <c r="C233" s="9"/>
      <c r="D233" s="9"/>
      <c r="E233" s="9"/>
      <c r="F233" s="9"/>
      <c r="G233" s="10" t="str">
        <f>IF(E233="","",INDEX(Rates!$B$2:$B$5,MATCH(E233,Rates!$A$2:$A$5,0)))</f>
        <v/>
      </c>
      <c r="H233" s="17" t="str">
        <f t="shared" si="3"/>
        <v/>
      </c>
      <c r="I233" s="17" t="str">
        <f>IF(H233="","",SUM($H$2:H233))</f>
        <v/>
      </c>
      <c r="J233" s="9"/>
    </row>
    <row r="234" spans="1:10" x14ac:dyDescent="0.65">
      <c r="A234" s="16"/>
      <c r="B234" s="9"/>
      <c r="C234" s="9"/>
      <c r="D234" s="9"/>
      <c r="E234" s="9"/>
      <c r="F234" s="9"/>
      <c r="G234" s="10" t="str">
        <f>IF(E234="","",INDEX(Rates!$B$2:$B$5,MATCH(E234,Rates!$A$2:$A$5,0)))</f>
        <v/>
      </c>
      <c r="H234" s="17" t="str">
        <f t="shared" si="3"/>
        <v/>
      </c>
      <c r="I234" s="17" t="str">
        <f>IF(H234="","",SUM($H$2:H234))</f>
        <v/>
      </c>
      <c r="J234" s="9"/>
    </row>
    <row r="235" spans="1:10" x14ac:dyDescent="0.65">
      <c r="A235" s="16"/>
      <c r="B235" s="9"/>
      <c r="C235" s="9"/>
      <c r="D235" s="9"/>
      <c r="E235" s="9"/>
      <c r="F235" s="9"/>
      <c r="G235" s="10" t="str">
        <f>IF(E235="","",INDEX(Rates!$B$2:$B$5,MATCH(E235,Rates!$A$2:$A$5,0)))</f>
        <v/>
      </c>
      <c r="H235" s="17" t="str">
        <f t="shared" si="3"/>
        <v/>
      </c>
      <c r="I235" s="17" t="str">
        <f>IF(H235="","",SUM($H$2:H235))</f>
        <v/>
      </c>
      <c r="J235" s="9"/>
    </row>
    <row r="236" spans="1:10" x14ac:dyDescent="0.65">
      <c r="A236" s="16"/>
      <c r="B236" s="9"/>
      <c r="C236" s="9"/>
      <c r="D236" s="9"/>
      <c r="E236" s="9"/>
      <c r="F236" s="9"/>
      <c r="G236" s="10" t="str">
        <f>IF(E236="","",INDEX(Rates!$B$2:$B$5,MATCH(E236,Rates!$A$2:$A$5,0)))</f>
        <v/>
      </c>
      <c r="H236" s="17" t="str">
        <f t="shared" si="3"/>
        <v/>
      </c>
      <c r="I236" s="17" t="str">
        <f>IF(H236="","",SUM($H$2:H236))</f>
        <v/>
      </c>
      <c r="J236" s="9"/>
    </row>
    <row r="237" spans="1:10" x14ac:dyDescent="0.65">
      <c r="A237" s="16"/>
      <c r="B237" s="9"/>
      <c r="C237" s="9"/>
      <c r="D237" s="9"/>
      <c r="E237" s="9"/>
      <c r="F237" s="9"/>
      <c r="G237" s="10" t="str">
        <f>IF(E237="","",INDEX(Rates!$B$2:$B$5,MATCH(E237,Rates!$A$2:$A$5,0)))</f>
        <v/>
      </c>
      <c r="H237" s="17" t="str">
        <f t="shared" si="3"/>
        <v/>
      </c>
      <c r="I237" s="17" t="str">
        <f>IF(H237="","",SUM($H$2:H237))</f>
        <v/>
      </c>
      <c r="J237" s="9"/>
    </row>
    <row r="238" spans="1:10" x14ac:dyDescent="0.65">
      <c r="A238" s="16"/>
      <c r="B238" s="9"/>
      <c r="C238" s="9"/>
      <c r="D238" s="9"/>
      <c r="E238" s="9"/>
      <c r="F238" s="9"/>
      <c r="G238" s="10" t="str">
        <f>IF(E238="","",INDEX(Rates!$B$2:$B$5,MATCH(E238,Rates!$A$2:$A$5,0)))</f>
        <v/>
      </c>
      <c r="H238" s="17" t="str">
        <f t="shared" si="3"/>
        <v/>
      </c>
      <c r="I238" s="17" t="str">
        <f>IF(H238="","",SUM($H$2:H238))</f>
        <v/>
      </c>
      <c r="J238" s="9"/>
    </row>
    <row r="239" spans="1:10" x14ac:dyDescent="0.65">
      <c r="A239" s="16"/>
      <c r="B239" s="9"/>
      <c r="C239" s="9"/>
      <c r="D239" s="9"/>
      <c r="E239" s="9"/>
      <c r="F239" s="9"/>
      <c r="G239" s="10" t="str">
        <f>IF(E239="","",INDEX(Rates!$B$2:$B$5,MATCH(E239,Rates!$A$2:$A$5,0)))</f>
        <v/>
      </c>
      <c r="H239" s="17" t="str">
        <f t="shared" si="3"/>
        <v/>
      </c>
      <c r="I239" s="17" t="str">
        <f>IF(H239="","",SUM($H$2:H239))</f>
        <v/>
      </c>
      <c r="J239" s="9"/>
    </row>
    <row r="240" spans="1:10" x14ac:dyDescent="0.65">
      <c r="A240" s="16"/>
      <c r="B240" s="9"/>
      <c r="C240" s="9"/>
      <c r="D240" s="9"/>
      <c r="E240" s="9"/>
      <c r="F240" s="9"/>
      <c r="G240" s="10" t="str">
        <f>IF(E240="","",INDEX(Rates!$B$2:$B$5,MATCH(E240,Rates!$A$2:$A$5,0)))</f>
        <v/>
      </c>
      <c r="H240" s="17" t="str">
        <f t="shared" si="3"/>
        <v/>
      </c>
      <c r="I240" s="17" t="str">
        <f>IF(H240="","",SUM($H$2:H240))</f>
        <v/>
      </c>
      <c r="J240" s="9"/>
    </row>
    <row r="241" spans="1:10" x14ac:dyDescent="0.65">
      <c r="A241" s="16"/>
      <c r="B241" s="9"/>
      <c r="C241" s="9"/>
      <c r="D241" s="9"/>
      <c r="E241" s="9"/>
      <c r="F241" s="9"/>
      <c r="G241" s="10" t="str">
        <f>IF(E241="","",INDEX(Rates!$B$2:$B$5,MATCH(E241,Rates!$A$2:$A$5,0)))</f>
        <v/>
      </c>
      <c r="H241" s="17" t="str">
        <f t="shared" si="3"/>
        <v/>
      </c>
      <c r="I241" s="17" t="str">
        <f>IF(H241="","",SUM($H$2:H241))</f>
        <v/>
      </c>
      <c r="J241" s="9"/>
    </row>
    <row r="242" spans="1:10" x14ac:dyDescent="0.65">
      <c r="A242" s="16"/>
      <c r="B242" s="9"/>
      <c r="C242" s="9"/>
      <c r="D242" s="9"/>
      <c r="E242" s="9"/>
      <c r="F242" s="9"/>
      <c r="G242" s="10" t="str">
        <f>IF(E242="","",INDEX(Rates!$B$2:$B$5,MATCH(E242,Rates!$A$2:$A$5,0)))</f>
        <v/>
      </c>
      <c r="H242" s="17" t="str">
        <f t="shared" si="3"/>
        <v/>
      </c>
      <c r="I242" s="17" t="str">
        <f>IF(H242="","",SUM($H$2:H242))</f>
        <v/>
      </c>
      <c r="J242" s="9"/>
    </row>
    <row r="243" spans="1:10" x14ac:dyDescent="0.65">
      <c r="A243" s="16"/>
      <c r="B243" s="9"/>
      <c r="C243" s="9"/>
      <c r="D243" s="9"/>
      <c r="E243" s="9"/>
      <c r="F243" s="9"/>
      <c r="G243" s="10" t="str">
        <f>IF(E243="","",INDEX(Rates!$B$2:$B$5,MATCH(E243,Rates!$A$2:$A$5,0)))</f>
        <v/>
      </c>
      <c r="H243" s="17" t="str">
        <f t="shared" si="3"/>
        <v/>
      </c>
      <c r="I243" s="17" t="str">
        <f>IF(H243="","",SUM($H$2:H243))</f>
        <v/>
      </c>
      <c r="J243" s="9"/>
    </row>
    <row r="244" spans="1:10" x14ac:dyDescent="0.65">
      <c r="A244" s="16"/>
      <c r="B244" s="9"/>
      <c r="C244" s="9"/>
      <c r="D244" s="9"/>
      <c r="E244" s="9"/>
      <c r="F244" s="9"/>
      <c r="G244" s="10" t="str">
        <f>IF(E244="","",INDEX(Rates!$B$2:$B$5,MATCH(E244,Rates!$A$2:$A$5,0)))</f>
        <v/>
      </c>
      <c r="H244" s="17" t="str">
        <f t="shared" si="3"/>
        <v/>
      </c>
      <c r="I244" s="17" t="str">
        <f>IF(H244="","",SUM($H$2:H244))</f>
        <v/>
      </c>
      <c r="J244" s="9"/>
    </row>
    <row r="245" spans="1:10" x14ac:dyDescent="0.65">
      <c r="A245" s="16"/>
      <c r="B245" s="9"/>
      <c r="C245" s="9"/>
      <c r="D245" s="9"/>
      <c r="E245" s="9"/>
      <c r="F245" s="9"/>
      <c r="G245" s="10" t="str">
        <f>IF(E245="","",INDEX(Rates!$B$2:$B$5,MATCH(E245,Rates!$A$2:$A$5,0)))</f>
        <v/>
      </c>
      <c r="H245" s="17" t="str">
        <f t="shared" si="3"/>
        <v/>
      </c>
      <c r="I245" s="17" t="str">
        <f>IF(H245="","",SUM($H$2:H245))</f>
        <v/>
      </c>
      <c r="J245" s="9"/>
    </row>
    <row r="246" spans="1:10" x14ac:dyDescent="0.65">
      <c r="A246" s="16"/>
      <c r="B246" s="9"/>
      <c r="C246" s="9"/>
      <c r="D246" s="9"/>
      <c r="E246" s="9"/>
      <c r="F246" s="9"/>
      <c r="G246" s="10" t="str">
        <f>IF(E246="","",INDEX(Rates!$B$2:$B$5,MATCH(E246,Rates!$A$2:$A$5,0)))</f>
        <v/>
      </c>
      <c r="H246" s="17" t="str">
        <f t="shared" si="3"/>
        <v/>
      </c>
      <c r="I246" s="17" t="str">
        <f>IF(H246="","",SUM($H$2:H246))</f>
        <v/>
      </c>
      <c r="J246" s="9"/>
    </row>
    <row r="247" spans="1:10" x14ac:dyDescent="0.65">
      <c r="A247" s="16"/>
      <c r="B247" s="9"/>
      <c r="C247" s="9"/>
      <c r="D247" s="9"/>
      <c r="E247" s="9"/>
      <c r="F247" s="9"/>
      <c r="G247" s="10" t="str">
        <f>IF(E247="","",INDEX(Rates!$B$2:$B$5,MATCH(E247,Rates!$A$2:$A$5,0)))</f>
        <v/>
      </c>
      <c r="H247" s="17" t="str">
        <f t="shared" si="3"/>
        <v/>
      </c>
      <c r="I247" s="17" t="str">
        <f>IF(H247="","",SUM($H$2:H247))</f>
        <v/>
      </c>
      <c r="J247" s="9"/>
    </row>
    <row r="248" spans="1:10" x14ac:dyDescent="0.65">
      <c r="A248" s="16"/>
      <c r="B248" s="9"/>
      <c r="C248" s="9"/>
      <c r="D248" s="9"/>
      <c r="E248" s="9"/>
      <c r="F248" s="9"/>
      <c r="G248" s="10" t="str">
        <f>IF(E248="","",INDEX(Rates!$B$2:$B$5,MATCH(E248,Rates!$A$2:$A$5,0)))</f>
        <v/>
      </c>
      <c r="H248" s="17" t="str">
        <f t="shared" si="3"/>
        <v/>
      </c>
      <c r="I248" s="17" t="str">
        <f>IF(H248="","",SUM($H$2:H248))</f>
        <v/>
      </c>
      <c r="J248" s="9"/>
    </row>
    <row r="249" spans="1:10" x14ac:dyDescent="0.65">
      <c r="A249" s="16"/>
      <c r="B249" s="9"/>
      <c r="C249" s="9"/>
      <c r="D249" s="9"/>
      <c r="E249" s="9"/>
      <c r="F249" s="9"/>
      <c r="G249" s="10" t="str">
        <f>IF(E249="","",INDEX(Rates!$B$2:$B$5,MATCH(E249,Rates!$A$2:$A$5,0)))</f>
        <v/>
      </c>
      <c r="H249" s="17" t="str">
        <f t="shared" si="3"/>
        <v/>
      </c>
      <c r="I249" s="17" t="str">
        <f>IF(H249="","",SUM($H$2:H249))</f>
        <v/>
      </c>
      <c r="J249" s="9"/>
    </row>
    <row r="250" spans="1:10" x14ac:dyDescent="0.65">
      <c r="A250" s="16"/>
      <c r="B250" s="9"/>
      <c r="C250" s="9"/>
      <c r="D250" s="9"/>
      <c r="E250" s="9"/>
      <c r="F250" s="9"/>
      <c r="G250" s="10" t="str">
        <f>IF(E250="","",INDEX(Rates!$B$2:$B$5,MATCH(E250,Rates!$A$2:$A$5,0)))</f>
        <v/>
      </c>
      <c r="H250" s="17" t="str">
        <f t="shared" si="3"/>
        <v/>
      </c>
      <c r="I250" s="17" t="str">
        <f>IF(H250="","",SUM($H$2:H250))</f>
        <v/>
      </c>
      <c r="J250" s="9"/>
    </row>
    <row r="251" spans="1:10" x14ac:dyDescent="0.65">
      <c r="A251" s="16"/>
      <c r="B251" s="9"/>
      <c r="C251" s="9"/>
      <c r="D251" s="9"/>
      <c r="E251" s="9"/>
      <c r="F251" s="9"/>
      <c r="G251" s="10" t="str">
        <f>IF(E251="","",INDEX(Rates!$B$2:$B$5,MATCH(E251,Rates!$A$2:$A$5,0)))</f>
        <v/>
      </c>
      <c r="H251" s="17" t="str">
        <f t="shared" si="3"/>
        <v/>
      </c>
      <c r="I251" s="17" t="str">
        <f>IF(H251="","",SUM($H$2:H251))</f>
        <v/>
      </c>
      <c r="J251" s="9"/>
    </row>
  </sheetData>
  <dataValidations count="2">
    <dataValidation type="list" allowBlank="1" sqref="B2:B251" xr:uid="{00000000-0002-0000-0400-000000000000}">
      <formula1>"Pre-Trip,Norway,London,Scotland,Ireland,Portugal,Other"</formula1>
    </dataValidation>
    <dataValidation type="list" allowBlank="1" sqref="C2:C251" xr:uid="{00000000-0002-0000-0400-000001000000}">
      <formula1>"Accommodation,Food,Transport,Activities,Gear/Insurance,Other"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2000000}">
          <x14:formula1>
            <xm:f>Rates!$A$2:$A$5</xm:f>
          </x14:formula1>
          <xm:sqref>E2:E251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Summary</vt:lpstr>
      <vt:lpstr>Rates</vt:lpstr>
      <vt:lpstr>Funding Sources</vt:lpstr>
      <vt:lpstr>Budget Plan</vt:lpstr>
      <vt:lpstr>Expense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Omri Shamgar OS</cp:lastModifiedBy>
  <dcterms:created xsi:type="dcterms:W3CDTF">2026-07-12T16:43:32Z</dcterms:created>
  <dcterms:modified xsi:type="dcterms:W3CDTF">2026-08-22T20:35:15Z</dcterms:modified>
</cp:coreProperties>
</file>