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עמרי\Shmags 2\projects\job-search\moonactive-prep\"/>
    </mc:Choice>
  </mc:AlternateContent>
  <xr:revisionPtr revIDLastSave="0" documentId="13_ncr:1_{9FE28D9F-2FF2-4055-918D-4DA7C690CC05}" xr6:coauthVersionLast="47" xr6:coauthVersionMax="47" xr10:uidLastSave="{00000000-0000-0000-0000-000000000000}"/>
  <bookViews>
    <workbookView xWindow="5775" yWindow="15" windowWidth="7830" windowHeight="10875" xr2:uid="{00000000-000D-0000-FFFF-FFFF00000000}"/>
  </bookViews>
  <sheets>
    <sheet name="Cohort Analysis - Problem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6" i="1"/>
  <c r="B13" i="1"/>
  <c r="A13" i="1"/>
  <c r="B12" i="1"/>
  <c r="A12" i="1"/>
  <c r="B11" i="1"/>
  <c r="A11" i="1"/>
  <c r="C11" i="1" l="1"/>
  <c r="E11" i="1" s="1"/>
  <c r="C13" i="1"/>
  <c r="E13" i="1" s="1"/>
  <c r="C12" i="1"/>
  <c r="D12" i="1" s="1"/>
  <c r="D13" i="1" l="1"/>
  <c r="E12" i="1"/>
  <c r="D11" i="1"/>
</calcChain>
</file>

<file path=xl/sharedStrings.xml><?xml version="1.0" encoding="utf-8"?>
<sst xmlns="http://schemas.openxmlformats.org/spreadsheetml/2006/main" count="27" uniqueCount="27">
  <si>
    <t>COHORT DIAGNOSIS ANALYSIS</t>
  </si>
  <si>
    <t>Fill YELLOW cells. BLUE cells auto-calculate. Use to find profitable channels.</t>
  </si>
  <si>
    <t>INPUT DATA (Fill these in)</t>
  </si>
  <si>
    <t>Channel</t>
  </si>
  <si>
    <t>Spend $</t>
  </si>
  <si>
    <t>Installs</t>
  </si>
  <si>
    <t>CAC $</t>
  </si>
  <si>
    <t>D1 %</t>
  </si>
  <si>
    <t>D7 %</t>
  </si>
  <si>
    <t>D30 ARPU</t>
  </si>
  <si>
    <t>Tail Rev</t>
  </si>
  <si>
    <t>Facebook</t>
  </si>
  <si>
    <t>Google UAC</t>
  </si>
  <si>
    <t>Apple Search</t>
  </si>
  <si>
    <t>RESULTS (Auto-calculate)</t>
  </si>
  <si>
    <t>HEALTHY BENCHMARKS</t>
  </si>
  <si>
    <t>CAC:LTV Ratio:</t>
  </si>
  <si>
    <t>1:3 to 1:5 (aim for 0.20-0.33)</t>
  </si>
  <si>
    <t>D7 Retention:</t>
  </si>
  <si>
    <t>Casual 20-40% | Mid-core 40-60%</t>
  </si>
  <si>
    <t>Payback Period:</t>
  </si>
  <si>
    <t>Under 12 months</t>
  </si>
  <si>
    <t>Budget Next Q</t>
  </si>
  <si>
    <t>D30 LTV</t>
  </si>
  <si>
    <t>CAC:LTV</t>
  </si>
  <si>
    <t>Ratio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</si>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</sst>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"/>
  </numFmts>
  <fonts count="9" x14ac:knownFonts="1">
    <font>
      <sz val="11"/>
      <color theme="1"/>
      <name val="Arial"/>
      <family val="2"/>
      <scheme val="minor"/>
    </font>
    <font>
      <b/>
      <sz val="14"/>
      <color rgb="FF1F7A8F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8DCE8"/>
        <bgColor rgb="FFB8DCE8"/>
      </patternFill>
    </fill>
    <fill>
      <patternFill patternType="solid">
        <fgColor rgb="FF1F7A8F"/>
        <bgColor rgb="FF1F7A8F"/>
      </patternFill>
    </fill>
    <fill>
      <patternFill patternType="solid">
        <fgColor rgb="FFFFF9E6"/>
        <bgColor rgb="FFFFF9E6"/>
      </patternFill>
    </fill>
    <fill>
      <patternFill patternType="solid">
        <fgColor rgb="FFE6F3FF"/>
        <bgColor rgb="FFE6F3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/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0" borderId="1" xfId="0" applyFont="1" applyBorder="1" applyAlignment="1">
      <alignment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65" zoomScaleNormal="89" workbookViewId="0">
      <selection activeCell="F13" sqref="F13"/>
    </sheetView>
  </sheetViews>
  <sheetFormatPr defaultRowHeight="14.25" x14ac:dyDescent="0.65"/>
  <cols>
    <col min="1" max="1" width="21.70703125" bestFit="1" customWidth="1"/>
    <col min="2" max="7" width="12" customWidth="1"/>
    <col min="8" max="8" width="7.6640625" bestFit="1" customWidth="1"/>
    <col min="9" max="9" width="13.45703125" bestFit="1" customWidth="1"/>
  </cols>
  <sheetData>
    <row r="1" spans="1:9" ht="18" x14ac:dyDescent="0.8">
      <c r="A1" s="21" t="s">
        <v>0</v>
      </c>
      <c r="B1" s="20"/>
      <c r="C1" s="20"/>
      <c r="D1" s="20"/>
      <c r="E1" s="20"/>
      <c r="F1" s="20"/>
      <c r="G1" s="20"/>
      <c r="H1" s="20"/>
    </row>
    <row r="2" spans="1:9" x14ac:dyDescent="0.65">
      <c r="A2" s="19" t="s">
        <v>1</v>
      </c>
      <c r="B2" s="20"/>
      <c r="C2" s="20"/>
      <c r="D2" s="20"/>
      <c r="E2" s="20"/>
      <c r="F2" s="20"/>
      <c r="G2" s="20"/>
      <c r="H2" s="20"/>
    </row>
    <row r="4" spans="1:9" x14ac:dyDescent="0.65">
      <c r="A4" s="1" t="s">
        <v>2</v>
      </c>
    </row>
    <row r="5" spans="1:9" ht="14.5" x14ac:dyDescent="0.6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12" t="s">
        <v>22</v>
      </c>
    </row>
    <row r="6" spans="1:9" x14ac:dyDescent="0.65">
      <c r="A6" s="3" t="s">
        <v>11</v>
      </c>
      <c r="B6" s="4">
        <v>20000</v>
      </c>
      <c r="C6" s="4">
        <v>50000</v>
      </c>
      <c r="D6" s="5">
        <f>B6/C6</f>
        <v>0.4</v>
      </c>
      <c r="E6" s="6">
        <v>0.5</v>
      </c>
      <c r="F6" s="6">
        <v>0.25</v>
      </c>
      <c r="G6" s="5">
        <v>0.12</v>
      </c>
      <c r="H6" s="5">
        <v>0.02</v>
      </c>
      <c r="I6" s="5">
        <v>25000</v>
      </c>
    </row>
    <row r="7" spans="1:9" x14ac:dyDescent="0.65">
      <c r="A7" s="3" t="s">
        <v>12</v>
      </c>
      <c r="B7" s="4">
        <v>15000</v>
      </c>
      <c r="C7" s="4">
        <v>30000</v>
      </c>
      <c r="D7" s="5">
        <f t="shared" ref="D7:D8" si="0">B7/C7</f>
        <v>0.5</v>
      </c>
      <c r="E7" s="6">
        <v>0.45</v>
      </c>
      <c r="F7" s="6">
        <v>0.18</v>
      </c>
      <c r="G7" s="5">
        <v>0.08</v>
      </c>
      <c r="H7" s="5">
        <v>0.02</v>
      </c>
      <c r="I7" s="5">
        <v>20000</v>
      </c>
    </row>
    <row r="8" spans="1:9" x14ac:dyDescent="0.65">
      <c r="A8" s="3" t="s">
        <v>13</v>
      </c>
      <c r="B8" s="4">
        <v>10000</v>
      </c>
      <c r="C8" s="4">
        <v>5000</v>
      </c>
      <c r="D8" s="5">
        <f t="shared" si="0"/>
        <v>2</v>
      </c>
      <c r="E8" s="6">
        <v>0.65</v>
      </c>
      <c r="F8" s="6">
        <v>0.4</v>
      </c>
      <c r="G8" s="5">
        <v>0.18</v>
      </c>
      <c r="H8" s="5">
        <v>0.02</v>
      </c>
      <c r="I8" s="5">
        <v>15000</v>
      </c>
    </row>
    <row r="10" spans="1:9" x14ac:dyDescent="0.65">
      <c r="A10" s="1" t="s">
        <v>14</v>
      </c>
      <c r="B10" s="16" t="s">
        <v>23</v>
      </c>
      <c r="C10" s="17" t="s">
        <v>24</v>
      </c>
      <c r="D10" s="17" t="s">
        <v>25</v>
      </c>
      <c r="E10" s="17" t="s">
        <v>26</v>
      </c>
    </row>
    <row r="11" spans="1:9" ht="14.5" x14ac:dyDescent="0.65">
      <c r="A11" s="13" t="str">
        <f>A6</f>
        <v>Facebook</v>
      </c>
      <c r="B11" s="14">
        <f>(G6*12)+H6</f>
        <v>1.46</v>
      </c>
      <c r="C11" s="15">
        <f>D6/B11</f>
        <v>0.27397260273972607</v>
      </c>
      <c r="D11" s="13" t="str">
        <f>"1:" &amp; TEXT(1/C11, "0.0")</f>
        <v>1:3.7</v>
      </c>
      <c r="E11" s="13" t="str">
        <f>IF(C11&lt;0.33,"EXCELLENT",IF(C11&lt;0.5,"GOOD",IF(C11&lt;1,"MARGINAL","PAUSE")))</f>
        <v>EXCELLENT</v>
      </c>
    </row>
    <row r="12" spans="1:9" x14ac:dyDescent="0.65">
      <c r="A12" s="7" t="str">
        <f>A7</f>
        <v>Google UAC</v>
      </c>
      <c r="B12" s="8">
        <f>(G7*12)+H7</f>
        <v>0.98</v>
      </c>
      <c r="C12" s="9">
        <f>D7/B12</f>
        <v>0.51020408163265307</v>
      </c>
      <c r="D12" s="10" t="str">
        <f>"1:" &amp; TEXT(1/C12, "0.0")</f>
        <v>1:2.0</v>
      </c>
      <c r="E12" s="10" t="str">
        <f>IF(C12&lt;0.33,"EXCELLENT",IF(C12&lt;0.5,"GOOD",IF(C12&lt;1,"MARGINAL","PAUSE")))</f>
        <v>MARGINAL</v>
      </c>
    </row>
    <row r="13" spans="1:9" x14ac:dyDescent="0.65">
      <c r="A13" s="7" t="str">
        <f>A8</f>
        <v>Apple Search</v>
      </c>
      <c r="B13" s="8">
        <f>(G8*12)+H8</f>
        <v>2.1800000000000002</v>
      </c>
      <c r="C13" s="9">
        <f>D8/B13</f>
        <v>0.9174311926605504</v>
      </c>
      <c r="D13" s="10" t="str">
        <f>"1:" &amp; TEXT(1/C13, "0.0")</f>
        <v>1:1.1</v>
      </c>
      <c r="E13" s="10" t="str">
        <f>IF(C13&lt;0.33,"EXCELLENT",IF(C13&lt;0.5,"GOOD",IF(C13&lt;1,"MARGINAL","PAUSE")))</f>
        <v>MARGINAL</v>
      </c>
    </row>
    <row r="15" spans="1:9" x14ac:dyDescent="0.65">
      <c r="A15" s="1" t="s">
        <v>15</v>
      </c>
    </row>
    <row r="16" spans="1:9" ht="24" x14ac:dyDescent="0.65">
      <c r="A16" s="11" t="s">
        <v>16</v>
      </c>
      <c r="B16" s="18" t="s">
        <v>17</v>
      </c>
    </row>
    <row r="17" spans="1:2" ht="35.75" x14ac:dyDescent="0.65">
      <c r="A17" s="11" t="s">
        <v>18</v>
      </c>
      <c r="B17" s="18" t="s">
        <v>19</v>
      </c>
    </row>
    <row r="18" spans="1:2" ht="24" x14ac:dyDescent="0.65">
      <c r="A18" s="11" t="s">
        <v>20</v>
      </c>
      <c r="B18" s="18" t="s">
        <v>21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Cohort Analysis - Problem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Omri Shamgar OS</cp:lastModifiedBy>
  <dcterms:created xsi:type="dcterms:W3CDTF">2026-05-16T09:34:52Z</dcterms:created>
  <dcterms:modified xsi:type="dcterms:W3CDTF">2026-05-16T11:57:50Z</dcterms:modified>
</cp:coreProperties>
</file>