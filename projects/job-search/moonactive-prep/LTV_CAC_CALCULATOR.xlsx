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עמרי\Shmags 2\projects\job-search\moonactive-prep\"/>
    </mc:Choice>
  </mc:AlternateContent>
  <xr:revisionPtr revIDLastSave="0" documentId="13_ncr:1_{A03F065D-FDEA-4B7E-8354-F5A2410D844D}" xr6:coauthVersionLast="47" xr6:coauthVersionMax="47" xr10:uidLastSave="{00000000-0000-0000-0000-000000000000}"/>
  <bookViews>
    <workbookView xWindow="-75" yWindow="0" windowWidth="11670" windowHeight="10875" xr2:uid="{00000000-000D-0000-FFFF-FFFF00000000}"/>
  </bookViews>
  <sheets>
    <sheet name="LTV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18" i="1"/>
  <c r="C6" i="1"/>
  <c r="B9" i="1"/>
  <c r="B27" i="1" s="1"/>
  <c r="B8" i="1"/>
  <c r="C7" i="1"/>
  <c r="C5" i="1"/>
  <c r="B26" i="1" l="1"/>
</calcChain>
</file>

<file path=xl/sharedStrings.xml><?xml version="1.0" encoding="utf-8"?>
<sst xmlns="http://schemas.openxmlformats.org/spreadsheetml/2006/main" count="29" uniqueCount="29">
  <si>
    <t>LTV &amp; CAC CALCULATOR</t>
  </si>
  <si>
    <t>Complete this to understand unit economics</t>
  </si>
  <si>
    <t>INPUT: User Acquisition</t>
  </si>
  <si>
    <t>Total Marketing Spend ($)</t>
  </si>
  <si>
    <t>Total Installs</t>
  </si>
  <si>
    <t>Paying Users (Conversion %)</t>
  </si>
  <si>
    <t>Cost Per Install (CPI)</t>
  </si>
  <si>
    <t>Cost Per Paying User (CAC)</t>
  </si>
  <si>
    <t>INPUT: Revenue Over Time</t>
  </si>
  <si>
    <t>D1 ARPU (Revenue on Day 1)</t>
  </si>
  <si>
    <t>D7 ARPU (Revenue by Day 7)</t>
  </si>
  <si>
    <t>D30 ARPU (Revenue by Day 30)</t>
  </si>
  <si>
    <t>Estimated Tail Revenue (Days 31+)</t>
  </si>
  <si>
    <t>LIFETIME VALUE (LTV)</t>
  </si>
  <si>
    <t>LTV Calculation Method 1: (D30 ARPU * 12) + Tail</t>
  </si>
  <si>
    <t>Interpretation:</t>
  </si>
  <si>
    <t xml:space="preserve">  If user spends $0.20 by day 30, assume they spend $0.20/month</t>
  </si>
  <si>
    <t xml:space="preserve">  for next 12 months = $2.40, plus tail revenue from later = $2.70 LTV</t>
  </si>
  <si>
    <t>KEY METRICS</t>
  </si>
  <si>
    <t>CAC:LTV Ratio</t>
  </si>
  <si>
    <t>Should be 1:3 to 1:5 (ratio 0.20-0.33)</t>
  </si>
  <si>
    <t>Payback Period (months)</t>
  </si>
  <si>
    <t>How many months to recoup CAC</t>
  </si>
  <si>
    <t>D7 Spend Efficiency</t>
  </si>
  <si>
    <t>D7 revenue vs. CAC (should be &gt;0.5)</t>
  </si>
  <si>
    <t>WHAT THIS MEANS</t>
  </si>
  <si>
    <t xml:space="preserve">  CAC:LTV 1:3 = For every $1 you spend, you get $3 back (healthy)</t>
  </si>
  <si>
    <t xml:space="preserve">  CAC:LTV 1:5 = For every $1 you spend, you get $5 back (excellent)</t>
  </si>
  <si>
    <t xml:space="preserve">  CAC:LTV 1:1 = Break even only after 1 year (pause channel)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</si>
</sst>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7" x14ac:knownFonts="1">
    <font>
      <sz val="11"/>
      <color theme="1"/>
      <name val="Arial"/>
      <family val="2"/>
      <scheme val="minor"/>
    </font>
    <font>
      <b/>
      <sz val="14"/>
      <color rgb="FF1F7A8F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8"/>
      <color rgb="FF66666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8DCE8"/>
        <bgColor rgb="FFB8DCE8"/>
      </patternFill>
    </fill>
    <fill>
      <patternFill patternType="solid">
        <fgColor rgb="FFFFF9E6"/>
        <bgColor rgb="FFFFF9E6"/>
      </patternFill>
    </fill>
    <fill>
      <patternFill patternType="solid">
        <fgColor rgb="FFE6F3FF"/>
        <bgColor rgb="FFE6F3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3" fontId="0" fillId="3" borderId="1" xfId="0" applyNumberFormat="1" applyFill="1" applyBorder="1"/>
    <xf numFmtId="0" fontId="5" fillId="0" borderId="0" xfId="0" applyFont="1"/>
    <xf numFmtId="0" fontId="6" fillId="0" borderId="0" xfId="0" applyFont="1"/>
    <xf numFmtId="164" fontId="0" fillId="4" borderId="1" xfId="0" applyNumberFormat="1" applyFill="1" applyBorder="1"/>
    <xf numFmtId="164" fontId="0" fillId="3" borderId="1" xfId="0" applyNumberFormat="1" applyFill="1" applyBorder="1"/>
    <xf numFmtId="164" fontId="3" fillId="4" borderId="1" xfId="0" applyNumberFormat="1" applyFont="1" applyFill="1" applyBorder="1"/>
    <xf numFmtId="2" fontId="0" fillId="4" borderId="1" xfId="0" applyNumberFormat="1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87" workbookViewId="0">
      <selection activeCell="B26" sqref="B26"/>
    </sheetView>
  </sheetViews>
  <sheetFormatPr defaultRowHeight="14.25" x14ac:dyDescent="0.65"/>
  <cols>
    <col min="1" max="1" width="56.70703125" bestFit="1" customWidth="1"/>
    <col min="2" max="4" width="20" customWidth="1"/>
  </cols>
  <sheetData>
    <row r="1" spans="1:4" ht="18" x14ac:dyDescent="0.8">
      <c r="A1" s="11" t="s">
        <v>0</v>
      </c>
      <c r="B1" s="12"/>
      <c r="C1" s="12"/>
      <c r="D1" s="12"/>
    </row>
    <row r="2" spans="1:4" x14ac:dyDescent="0.65">
      <c r="A2" s="13" t="s">
        <v>1</v>
      </c>
      <c r="B2" s="12"/>
      <c r="C2" s="12"/>
      <c r="D2" s="12"/>
    </row>
    <row r="4" spans="1:4" ht="14.5" x14ac:dyDescent="0.7">
      <c r="A4" s="2" t="s">
        <v>2</v>
      </c>
    </row>
    <row r="5" spans="1:4" x14ac:dyDescent="0.65">
      <c r="A5" s="3" t="s">
        <v>3</v>
      </c>
      <c r="B5" s="4">
        <v>10000</v>
      </c>
      <c r="C5" s="5" t="str">
        <f>A:A</f>
        <v>Total Marketing Spend ($)</v>
      </c>
    </row>
    <row r="6" spans="1:4" x14ac:dyDescent="0.65">
      <c r="A6" s="3" t="s">
        <v>4</v>
      </c>
      <c r="B6" s="4">
        <v>25000</v>
      </c>
      <c r="C6" s="5" t="e">
        <f>Enter number of installs</f>
        <v>#NAME?</v>
      </c>
    </row>
    <row r="7" spans="1:4" x14ac:dyDescent="0.65">
      <c r="A7" s="3" t="s">
        <v>5</v>
      </c>
      <c r="B7" s="4">
        <v>5000</v>
      </c>
      <c r="C7" s="5">
        <f>25000 * 0.2</f>
        <v>5000</v>
      </c>
    </row>
    <row r="8" spans="1:4" ht="14.5" x14ac:dyDescent="0.7">
      <c r="A8" s="6" t="s">
        <v>6</v>
      </c>
      <c r="B8" s="7">
        <f>B5/B6</f>
        <v>0.4</v>
      </c>
    </row>
    <row r="9" spans="1:4" ht="14.5" x14ac:dyDescent="0.7">
      <c r="A9" s="6" t="s">
        <v>7</v>
      </c>
      <c r="B9" s="7">
        <f>B5/B7</f>
        <v>2</v>
      </c>
    </row>
    <row r="11" spans="1:4" ht="14.5" x14ac:dyDescent="0.7">
      <c r="A11" s="2" t="s">
        <v>8</v>
      </c>
    </row>
    <row r="12" spans="1:4" x14ac:dyDescent="0.65">
      <c r="A12" s="3" t="s">
        <v>9</v>
      </c>
      <c r="B12" s="8">
        <v>0.05</v>
      </c>
    </row>
    <row r="13" spans="1:4" x14ac:dyDescent="0.65">
      <c r="A13" s="3" t="s">
        <v>10</v>
      </c>
      <c r="B13" s="8">
        <v>0.12</v>
      </c>
    </row>
    <row r="14" spans="1:4" x14ac:dyDescent="0.65">
      <c r="A14" s="3" t="s">
        <v>11</v>
      </c>
      <c r="B14" s="8">
        <v>0.2</v>
      </c>
    </row>
    <row r="15" spans="1:4" x14ac:dyDescent="0.65">
      <c r="A15" s="3" t="s">
        <v>12</v>
      </c>
      <c r="B15" s="8">
        <v>0.3</v>
      </c>
    </row>
    <row r="17" spans="1:3" ht="14.5" x14ac:dyDescent="0.7">
      <c r="A17" s="2" t="s">
        <v>13</v>
      </c>
    </row>
    <row r="18" spans="1:3" ht="14.5" x14ac:dyDescent="0.7">
      <c r="A18" t="s">
        <v>14</v>
      </c>
      <c r="B18" s="9">
        <f>(B14*12)+B15</f>
        <v>2.7</v>
      </c>
    </row>
    <row r="19" spans="1:3" x14ac:dyDescent="0.65">
      <c r="A19" s="1" t="s">
        <v>15</v>
      </c>
    </row>
    <row r="20" spans="1:3" x14ac:dyDescent="0.65">
      <c r="A20" t="s">
        <v>16</v>
      </c>
    </row>
    <row r="21" spans="1:3" x14ac:dyDescent="0.65">
      <c r="A21" t="s">
        <v>17</v>
      </c>
    </row>
    <row r="24" spans="1:3" ht="14.5" x14ac:dyDescent="0.7">
      <c r="A24" s="2" t="s">
        <v>18</v>
      </c>
    </row>
    <row r="25" spans="1:3" ht="14.5" x14ac:dyDescent="0.7">
      <c r="A25" s="6" t="s">
        <v>19</v>
      </c>
      <c r="B25" s="10">
        <f>B9/B18</f>
        <v>0.7407407407407407</v>
      </c>
      <c r="C25" s="5" t="s">
        <v>20</v>
      </c>
    </row>
    <row r="26" spans="1:3" ht="14.5" x14ac:dyDescent="0.7">
      <c r="A26" s="6" t="s">
        <v>21</v>
      </c>
      <c r="B26" s="10">
        <f>B9/(B14/30)</f>
        <v>300</v>
      </c>
      <c r="C26" s="5" t="s">
        <v>22</v>
      </c>
    </row>
    <row r="27" spans="1:3" ht="14.5" x14ac:dyDescent="0.7">
      <c r="A27" s="6" t="s">
        <v>23</v>
      </c>
      <c r="B27" s="10">
        <f>B13/B9</f>
        <v>0.06</v>
      </c>
      <c r="C27" s="5" t="s">
        <v>24</v>
      </c>
    </row>
    <row r="29" spans="1:3" ht="14.5" x14ac:dyDescent="0.7">
      <c r="A29" s="6" t="s">
        <v>25</v>
      </c>
    </row>
    <row r="30" spans="1:3" x14ac:dyDescent="0.65">
      <c r="A30" t="s">
        <v>26</v>
      </c>
    </row>
    <row r="31" spans="1:3" x14ac:dyDescent="0.65">
      <c r="A31" t="s">
        <v>27</v>
      </c>
    </row>
    <row r="32" spans="1:3" x14ac:dyDescent="0.65">
      <c r="A32" t="s">
        <v>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LTV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Omri Shamgar OS</cp:lastModifiedBy>
  <dcterms:created xsi:type="dcterms:W3CDTF">2026-05-16T09:35:07Z</dcterms:created>
  <dcterms:modified xsi:type="dcterms:W3CDTF">2026-05-16T10:41:42Z</dcterms:modified>
</cp:coreProperties>
</file>